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rchivos_Comisiones_2026\"/>
    </mc:Choice>
  </mc:AlternateContent>
  <xr:revisionPtr revIDLastSave="0" documentId="13_ncr:1_{865E7F0B-A7A7-408A-A7A3-68A3D5B822D9}" xr6:coauthVersionLast="47" xr6:coauthVersionMax="47" xr10:uidLastSave="{00000000-0000-0000-0000-000000000000}"/>
  <bookViews>
    <workbookView xWindow="-120" yWindow="-120" windowWidth="29040" windowHeight="15720" tabRatio="834" activeTab="7" xr2:uid="{63BB9A3D-9F7F-4E36-95B4-EC569DF2BACA}"/>
  </bookViews>
  <sheets>
    <sheet name="Liquidacion Lideres y Superviso" sheetId="25" r:id="rId1"/>
    <sheet name="TD Supervisores Y Lideres Prom" sheetId="6" state="hidden" r:id="rId2"/>
    <sheet name="Liq. Mercaderista 1ra Llave 95%" sheetId="1" state="hidden" r:id="rId3"/>
    <sheet name="Liq. Mercaderista 3ra Llave 70%" sheetId="18" state="hidden" r:id="rId4"/>
    <sheet name="Liq. Mercaderista 2da Llave 80%" sheetId="22" state="hidden" r:id="rId5"/>
    <sheet name="Liq. Mercaderista 3ra Llave" sheetId="23" state="hidden" r:id="rId6"/>
    <sheet name="Liquidacion por Rutas" sheetId="26" r:id="rId7"/>
    <sheet name="Indicadores" sheetId="9" r:id="rId8"/>
    <sheet name="Ventas" sheetId="16" state="hidden" r:id="rId9"/>
    <sheet name="INDICADORES CAPTURA" sheetId="15" state="hidden" r:id="rId10"/>
  </sheets>
  <definedNames>
    <definedName name="_xlnm._FilterDatabase" localSheetId="7" hidden="1">Indicadores!$A$1:$V$189</definedName>
    <definedName name="_xlnm._FilterDatabase" localSheetId="9" hidden="1">'INDICADORES CAPTURA'!$A$1:$AH$189</definedName>
    <definedName name="_xlnm._FilterDatabase" localSheetId="2" hidden="1">'Liq. Mercaderista 1ra Llave 95%'!$B$5:$Y$193</definedName>
    <definedName name="_xlnm._FilterDatabase" localSheetId="4" hidden="1">'Liq. Mercaderista 2da Llave 80%'!$B$5:$Y$193</definedName>
    <definedName name="_xlnm._FilterDatabase" localSheetId="5" hidden="1">'Liq. Mercaderista 3ra Llave'!$B$5:$Y$193</definedName>
    <definedName name="_xlnm._FilterDatabase" localSheetId="3" hidden="1">'Liq. Mercaderista 3ra Llave 70%'!$B$5:$AB$5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39" i="23" l="1"/>
  <c r="W133" i="23"/>
  <c r="W97" i="23"/>
  <c r="W96" i="23"/>
  <c r="C189" i="9" l="1"/>
  <c r="C125" i="9"/>
  <c r="C93" i="9"/>
  <c r="C77" i="9"/>
  <c r="N189" i="15"/>
  <c r="N188" i="15"/>
  <c r="C188" i="9" s="1"/>
  <c r="N187" i="15"/>
  <c r="C187" i="9" s="1"/>
  <c r="N186" i="15"/>
  <c r="C186" i="9" s="1"/>
  <c r="N185" i="15"/>
  <c r="C185" i="9" s="1"/>
  <c r="N184" i="15"/>
  <c r="C184" i="9" s="1"/>
  <c r="N183" i="15"/>
  <c r="C183" i="9" s="1"/>
  <c r="N182" i="15"/>
  <c r="C182" i="9" s="1"/>
  <c r="N181" i="15"/>
  <c r="C181" i="9" s="1"/>
  <c r="N180" i="15"/>
  <c r="C180" i="9" s="1"/>
  <c r="N179" i="15"/>
  <c r="C179" i="9" s="1"/>
  <c r="N178" i="15"/>
  <c r="C178" i="9" s="1"/>
  <c r="N177" i="15"/>
  <c r="C177" i="9" s="1"/>
  <c r="N176" i="15"/>
  <c r="C176" i="9" s="1"/>
  <c r="N175" i="15"/>
  <c r="C175" i="9" s="1"/>
  <c r="N174" i="15"/>
  <c r="C174" i="9" s="1"/>
  <c r="N173" i="15"/>
  <c r="C173" i="9" s="1"/>
  <c r="N172" i="15"/>
  <c r="C172" i="9" s="1"/>
  <c r="N171" i="15"/>
  <c r="C171" i="9" s="1"/>
  <c r="N170" i="15"/>
  <c r="C170" i="9" s="1"/>
  <c r="N169" i="15"/>
  <c r="C169" i="9" s="1"/>
  <c r="N168" i="15"/>
  <c r="C168" i="9" s="1"/>
  <c r="N167" i="15"/>
  <c r="C167" i="9" s="1"/>
  <c r="N166" i="15"/>
  <c r="C166" i="9" s="1"/>
  <c r="N165" i="15"/>
  <c r="C165" i="9" s="1"/>
  <c r="N164" i="15"/>
  <c r="C164" i="9" s="1"/>
  <c r="N163" i="15"/>
  <c r="C163" i="9" s="1"/>
  <c r="N162" i="15"/>
  <c r="C162" i="9" s="1"/>
  <c r="N161" i="15"/>
  <c r="C161" i="9" s="1"/>
  <c r="N160" i="15"/>
  <c r="C160" i="9" s="1"/>
  <c r="N159" i="15"/>
  <c r="C159" i="9" s="1"/>
  <c r="N158" i="15"/>
  <c r="C158" i="9" s="1"/>
  <c r="N157" i="15"/>
  <c r="C157" i="9" s="1"/>
  <c r="N156" i="15"/>
  <c r="C156" i="9" s="1"/>
  <c r="N155" i="15"/>
  <c r="C155" i="9" s="1"/>
  <c r="N154" i="15"/>
  <c r="C154" i="9" s="1"/>
  <c r="N153" i="15"/>
  <c r="C153" i="9" s="1"/>
  <c r="N152" i="15"/>
  <c r="C152" i="9" s="1"/>
  <c r="N151" i="15"/>
  <c r="C151" i="9" s="1"/>
  <c r="N150" i="15"/>
  <c r="C150" i="9" s="1"/>
  <c r="N149" i="15"/>
  <c r="C149" i="9" s="1"/>
  <c r="N148" i="15"/>
  <c r="C148" i="9" s="1"/>
  <c r="N147" i="15"/>
  <c r="C147" i="9" s="1"/>
  <c r="N146" i="15"/>
  <c r="C146" i="9" s="1"/>
  <c r="N145" i="15"/>
  <c r="C145" i="9" s="1"/>
  <c r="N144" i="15"/>
  <c r="C144" i="9" s="1"/>
  <c r="N143" i="15"/>
  <c r="C143" i="9" s="1"/>
  <c r="N142" i="15"/>
  <c r="C142" i="9" s="1"/>
  <c r="N141" i="15"/>
  <c r="C141" i="9" s="1"/>
  <c r="N140" i="15"/>
  <c r="C140" i="9" s="1"/>
  <c r="N139" i="15"/>
  <c r="C139" i="9" s="1"/>
  <c r="N138" i="15"/>
  <c r="C138" i="9" s="1"/>
  <c r="N137" i="15"/>
  <c r="C137" i="9" s="1"/>
  <c r="N136" i="15"/>
  <c r="C136" i="9" s="1"/>
  <c r="N135" i="15"/>
  <c r="C135" i="9" s="1"/>
  <c r="N134" i="15"/>
  <c r="C134" i="9" s="1"/>
  <c r="N133" i="15"/>
  <c r="C133" i="9" s="1"/>
  <c r="N132" i="15"/>
  <c r="C132" i="9" s="1"/>
  <c r="N131" i="15"/>
  <c r="C131" i="9" s="1"/>
  <c r="N130" i="15"/>
  <c r="C130" i="9" s="1"/>
  <c r="N129" i="15"/>
  <c r="C129" i="9" s="1"/>
  <c r="N128" i="15"/>
  <c r="C128" i="9" s="1"/>
  <c r="N127" i="15"/>
  <c r="C127" i="9" s="1"/>
  <c r="N126" i="15"/>
  <c r="C126" i="9" s="1"/>
  <c r="N125" i="15"/>
  <c r="N124" i="15"/>
  <c r="C124" i="9" s="1"/>
  <c r="N123" i="15"/>
  <c r="C123" i="9" s="1"/>
  <c r="N122" i="15"/>
  <c r="C122" i="9" s="1"/>
  <c r="N121" i="15"/>
  <c r="C121" i="9" s="1"/>
  <c r="N120" i="15"/>
  <c r="C120" i="9" s="1"/>
  <c r="N119" i="15"/>
  <c r="C119" i="9" s="1"/>
  <c r="N118" i="15"/>
  <c r="C118" i="9" s="1"/>
  <c r="N117" i="15"/>
  <c r="C117" i="9" s="1"/>
  <c r="N116" i="15"/>
  <c r="C116" i="9" s="1"/>
  <c r="N115" i="15"/>
  <c r="C115" i="9" s="1"/>
  <c r="N114" i="15"/>
  <c r="C114" i="9" s="1"/>
  <c r="N113" i="15"/>
  <c r="C113" i="9" s="1"/>
  <c r="N112" i="15"/>
  <c r="C112" i="9" s="1"/>
  <c r="N111" i="15"/>
  <c r="C111" i="9" s="1"/>
  <c r="N110" i="15"/>
  <c r="C110" i="9" s="1"/>
  <c r="N109" i="15"/>
  <c r="C109" i="9" s="1"/>
  <c r="N108" i="15"/>
  <c r="C108" i="9" s="1"/>
  <c r="N107" i="15"/>
  <c r="C107" i="9" s="1"/>
  <c r="N106" i="15"/>
  <c r="C106" i="9" s="1"/>
  <c r="N105" i="15"/>
  <c r="C105" i="9" s="1"/>
  <c r="N104" i="15"/>
  <c r="C104" i="9" s="1"/>
  <c r="N103" i="15"/>
  <c r="C103" i="9" s="1"/>
  <c r="N102" i="15"/>
  <c r="C102" i="9" s="1"/>
  <c r="N101" i="15"/>
  <c r="C101" i="9" s="1"/>
  <c r="N100" i="15"/>
  <c r="C100" i="9" s="1"/>
  <c r="N99" i="15"/>
  <c r="C99" i="9" s="1"/>
  <c r="N98" i="15"/>
  <c r="C98" i="9" s="1"/>
  <c r="N97" i="15"/>
  <c r="C97" i="9" s="1"/>
  <c r="N96" i="15"/>
  <c r="C96" i="9" s="1"/>
  <c r="N95" i="15"/>
  <c r="C95" i="9" s="1"/>
  <c r="N94" i="15"/>
  <c r="C94" i="9" s="1"/>
  <c r="N93" i="15"/>
  <c r="N92" i="15"/>
  <c r="C92" i="9" s="1"/>
  <c r="N91" i="15"/>
  <c r="C91" i="9" s="1"/>
  <c r="N90" i="15"/>
  <c r="C90" i="9" s="1"/>
  <c r="N89" i="15"/>
  <c r="C89" i="9" s="1"/>
  <c r="N88" i="15"/>
  <c r="C88" i="9" s="1"/>
  <c r="N87" i="15"/>
  <c r="C87" i="9" s="1"/>
  <c r="N86" i="15"/>
  <c r="C86" i="9" s="1"/>
  <c r="N85" i="15"/>
  <c r="C85" i="9" s="1"/>
  <c r="N84" i="15"/>
  <c r="C84" i="9" s="1"/>
  <c r="N83" i="15"/>
  <c r="C83" i="9" s="1"/>
  <c r="N82" i="15"/>
  <c r="C82" i="9" s="1"/>
  <c r="N81" i="15"/>
  <c r="C81" i="9" s="1"/>
  <c r="N80" i="15"/>
  <c r="C80" i="9" s="1"/>
  <c r="N79" i="15"/>
  <c r="C79" i="9" s="1"/>
  <c r="N78" i="15"/>
  <c r="C78" i="9" s="1"/>
  <c r="N77" i="15"/>
  <c r="N76" i="15"/>
  <c r="C76" i="9" s="1"/>
  <c r="N75" i="15"/>
  <c r="C75" i="9" s="1"/>
  <c r="N74" i="15"/>
  <c r="C74" i="9" s="1"/>
  <c r="N73" i="15"/>
  <c r="C73" i="9" s="1"/>
  <c r="N72" i="15"/>
  <c r="C72" i="9" s="1"/>
  <c r="N71" i="15"/>
  <c r="C71" i="9" s="1"/>
  <c r="N70" i="15"/>
  <c r="C70" i="9" s="1"/>
  <c r="N69" i="15"/>
  <c r="C69" i="9" s="1"/>
  <c r="N68" i="15"/>
  <c r="C68" i="9" s="1"/>
  <c r="N67" i="15"/>
  <c r="C67" i="9" s="1"/>
  <c r="N66" i="15"/>
  <c r="C66" i="9" s="1"/>
  <c r="N65" i="15"/>
  <c r="C65" i="9" s="1"/>
  <c r="N64" i="15"/>
  <c r="C64" i="9" s="1"/>
  <c r="N63" i="15"/>
  <c r="C63" i="9" s="1"/>
  <c r="N62" i="15"/>
  <c r="C62" i="9" s="1"/>
  <c r="N61" i="15"/>
  <c r="C61" i="9" s="1"/>
  <c r="N60" i="15"/>
  <c r="C60" i="9" s="1"/>
  <c r="N59" i="15"/>
  <c r="C59" i="9" s="1"/>
  <c r="N58" i="15"/>
  <c r="C58" i="9" s="1"/>
  <c r="N57" i="15"/>
  <c r="C57" i="9" s="1"/>
  <c r="N56" i="15"/>
  <c r="C56" i="9" s="1"/>
  <c r="N55" i="15"/>
  <c r="C55" i="9" s="1"/>
  <c r="N54" i="15"/>
  <c r="C54" i="9" s="1"/>
  <c r="N53" i="15"/>
  <c r="C53" i="9" s="1"/>
  <c r="N52" i="15"/>
  <c r="C52" i="9" s="1"/>
  <c r="N51" i="15"/>
  <c r="C51" i="9" s="1"/>
  <c r="N50" i="15"/>
  <c r="C50" i="9" s="1"/>
  <c r="N49" i="15"/>
  <c r="C49" i="9" s="1"/>
  <c r="N48" i="15"/>
  <c r="C48" i="9" s="1"/>
  <c r="N47" i="15"/>
  <c r="C47" i="9" s="1"/>
  <c r="N46" i="15"/>
  <c r="C46" i="9" s="1"/>
  <c r="N45" i="15"/>
  <c r="C45" i="9" s="1"/>
  <c r="N44" i="15"/>
  <c r="C44" i="9" s="1"/>
  <c r="N43" i="15"/>
  <c r="C43" i="9" s="1"/>
  <c r="N42" i="15"/>
  <c r="C42" i="9" s="1"/>
  <c r="N41" i="15"/>
  <c r="C41" i="9" s="1"/>
  <c r="N40" i="15"/>
  <c r="C40" i="9" s="1"/>
  <c r="N39" i="15"/>
  <c r="C39" i="9" s="1"/>
  <c r="N38" i="15"/>
  <c r="C38" i="9" s="1"/>
  <c r="N37" i="15"/>
  <c r="C37" i="9" s="1"/>
  <c r="N36" i="15"/>
  <c r="C36" i="9" s="1"/>
  <c r="N35" i="15"/>
  <c r="C35" i="9" s="1"/>
  <c r="N34" i="15"/>
  <c r="C34" i="9" s="1"/>
  <c r="N33" i="15"/>
  <c r="C33" i="9" s="1"/>
  <c r="N32" i="15"/>
  <c r="C32" i="9" s="1"/>
  <c r="N31" i="15"/>
  <c r="C31" i="9" s="1"/>
  <c r="N30" i="15"/>
  <c r="C30" i="9" s="1"/>
  <c r="N29" i="15"/>
  <c r="C29" i="9" s="1"/>
  <c r="N28" i="15"/>
  <c r="C28" i="9" s="1"/>
  <c r="N27" i="15"/>
  <c r="C27" i="9" s="1"/>
  <c r="N26" i="15"/>
  <c r="C26" i="9" s="1"/>
  <c r="N25" i="15"/>
  <c r="C25" i="9" s="1"/>
  <c r="N24" i="15"/>
  <c r="C24" i="9" s="1"/>
  <c r="N23" i="15"/>
  <c r="C23" i="9" s="1"/>
  <c r="N22" i="15"/>
  <c r="C22" i="9" s="1"/>
  <c r="N21" i="15"/>
  <c r="C21" i="9" s="1"/>
  <c r="N20" i="15"/>
  <c r="C20" i="9" s="1"/>
  <c r="N19" i="15"/>
  <c r="C19" i="9" s="1"/>
  <c r="N18" i="15"/>
  <c r="C18" i="9" s="1"/>
  <c r="N17" i="15"/>
  <c r="C17" i="9" s="1"/>
  <c r="N16" i="15"/>
  <c r="C16" i="9" s="1"/>
  <c r="N15" i="15"/>
  <c r="C15" i="9" s="1"/>
  <c r="N14" i="15"/>
  <c r="C14" i="9" s="1"/>
  <c r="N13" i="15"/>
  <c r="C13" i="9" s="1"/>
  <c r="N12" i="15"/>
  <c r="C12" i="9" s="1"/>
  <c r="N11" i="15"/>
  <c r="C11" i="9" s="1"/>
  <c r="N10" i="15"/>
  <c r="C10" i="9" s="1"/>
  <c r="N9" i="15"/>
  <c r="C9" i="9" s="1"/>
  <c r="N8" i="15"/>
  <c r="C8" i="9" s="1"/>
  <c r="N7" i="15"/>
  <c r="C7" i="9" s="1"/>
  <c r="N6" i="15"/>
  <c r="C6" i="9" s="1"/>
  <c r="N5" i="15"/>
  <c r="C5" i="9" s="1"/>
  <c r="N4" i="15"/>
  <c r="C4" i="9" s="1"/>
  <c r="N3" i="15"/>
  <c r="C3" i="9" s="1"/>
  <c r="N2" i="15"/>
  <c r="C2" i="9" s="1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J139" i="23"/>
  <c r="J133" i="23"/>
  <c r="J97" i="23"/>
  <c r="J96" i="23"/>
  <c r="L31" i="23" l="1"/>
  <c r="L48" i="23"/>
  <c r="L71" i="23"/>
  <c r="L7" i="23"/>
  <c r="L79" i="23"/>
  <c r="L100" i="22"/>
  <c r="L112" i="23"/>
  <c r="L80" i="23"/>
  <c r="L176" i="23"/>
  <c r="L27" i="23"/>
  <c r="L63" i="23"/>
  <c r="L111" i="1"/>
  <c r="L15" i="23"/>
  <c r="L55" i="23"/>
  <c r="L131" i="22"/>
  <c r="L167" i="1"/>
  <c r="L47" i="23"/>
  <c r="L151" i="23"/>
  <c r="L23" i="23"/>
  <c r="L159" i="1"/>
  <c r="L143" i="1"/>
  <c r="L39" i="23"/>
  <c r="L87" i="1"/>
  <c r="L95" i="1"/>
  <c r="L90" i="22"/>
  <c r="L15" i="22"/>
  <c r="L7" i="1"/>
  <c r="L79" i="22"/>
  <c r="L15" i="1"/>
  <c r="L63" i="1"/>
  <c r="L71" i="1"/>
  <c r="L164" i="23"/>
  <c r="L164" i="22"/>
  <c r="L164" i="1"/>
  <c r="L58" i="23"/>
  <c r="L58" i="22"/>
  <c r="L58" i="1"/>
  <c r="L36" i="23"/>
  <c r="L36" i="22"/>
  <c r="L36" i="1"/>
  <c r="L115" i="23"/>
  <c r="L115" i="1"/>
  <c r="L115" i="22"/>
  <c r="L79" i="1"/>
  <c r="L23" i="22"/>
  <c r="L154" i="22"/>
  <c r="L154" i="23"/>
  <c r="L154" i="1"/>
  <c r="L152" i="22"/>
  <c r="L152" i="23"/>
  <c r="L152" i="1"/>
  <c r="L125" i="23"/>
  <c r="L125" i="22"/>
  <c r="L125" i="1"/>
  <c r="L121" i="22"/>
  <c r="L121" i="23"/>
  <c r="L121" i="1"/>
  <c r="L114" i="23"/>
  <c r="L114" i="1"/>
  <c r="L130" i="22"/>
  <c r="L130" i="23"/>
  <c r="L130" i="1"/>
  <c r="L37" i="23"/>
  <c r="L37" i="22"/>
  <c r="L37" i="1"/>
  <c r="L28" i="23"/>
  <c r="L28" i="22"/>
  <c r="L28" i="1"/>
  <c r="L77" i="23"/>
  <c r="L77" i="22"/>
  <c r="L77" i="1"/>
  <c r="L52" i="23"/>
  <c r="L52" i="22"/>
  <c r="L52" i="1"/>
  <c r="L16" i="23"/>
  <c r="L16" i="22"/>
  <c r="L16" i="1"/>
  <c r="L12" i="23"/>
  <c r="L12" i="22"/>
  <c r="L12" i="1"/>
  <c r="L65" i="23"/>
  <c r="L65" i="22"/>
  <c r="L65" i="1"/>
  <c r="L155" i="23"/>
  <c r="L155" i="1"/>
  <c r="L155" i="22"/>
  <c r="L53" i="23"/>
  <c r="L53" i="22"/>
  <c r="L53" i="1"/>
  <c r="L105" i="22"/>
  <c r="L105" i="23"/>
  <c r="L105" i="1"/>
  <c r="L103" i="23"/>
  <c r="L103" i="22"/>
  <c r="L145" i="22"/>
  <c r="L145" i="23"/>
  <c r="L145" i="1"/>
  <c r="L162" i="22"/>
  <c r="L162" i="23"/>
  <c r="L162" i="1"/>
  <c r="L13" i="23"/>
  <c r="L13" i="22"/>
  <c r="L13" i="1"/>
  <c r="L175" i="23"/>
  <c r="L175" i="22"/>
  <c r="L54" i="23"/>
  <c r="L54" i="22"/>
  <c r="L54" i="1"/>
  <c r="L78" i="23"/>
  <c r="L78" i="22"/>
  <c r="L78" i="1"/>
  <c r="L40" i="23"/>
  <c r="L40" i="22"/>
  <c r="L40" i="1"/>
  <c r="L85" i="23"/>
  <c r="L85" i="1"/>
  <c r="L85" i="22"/>
  <c r="L192" i="22"/>
  <c r="L192" i="23"/>
  <c r="L192" i="1"/>
  <c r="L189" i="23"/>
  <c r="L189" i="22"/>
  <c r="L189" i="1"/>
  <c r="L182" i="23"/>
  <c r="L182" i="22"/>
  <c r="L182" i="1"/>
  <c r="L23" i="1"/>
  <c r="L151" i="1"/>
  <c r="L31" i="22"/>
  <c r="L44" i="23"/>
  <c r="L44" i="22"/>
  <c r="L44" i="1"/>
  <c r="L69" i="23"/>
  <c r="L69" i="22"/>
  <c r="L69" i="1"/>
  <c r="L133" i="23"/>
  <c r="L133" i="22"/>
  <c r="L133" i="1"/>
  <c r="L135" i="23"/>
  <c r="L135" i="22"/>
  <c r="L141" i="23"/>
  <c r="L141" i="22"/>
  <c r="L141" i="1"/>
  <c r="L124" i="23"/>
  <c r="L124" i="22"/>
  <c r="L124" i="1"/>
  <c r="L87" i="23"/>
  <c r="L87" i="22"/>
  <c r="L99" i="23"/>
  <c r="L99" i="1"/>
  <c r="L99" i="22"/>
  <c r="L48" i="22"/>
  <c r="L48" i="1"/>
  <c r="L158" i="23"/>
  <c r="L158" i="22"/>
  <c r="L158" i="1"/>
  <c r="L193" i="22"/>
  <c r="L193" i="23"/>
  <c r="L193" i="1"/>
  <c r="L31" i="1"/>
  <c r="L39" i="22"/>
  <c r="L114" i="22"/>
  <c r="L42" i="23"/>
  <c r="L42" i="22"/>
  <c r="L42" i="1"/>
  <c r="L108" i="23"/>
  <c r="L108" i="22"/>
  <c r="L108" i="1"/>
  <c r="L67" i="23"/>
  <c r="L67" i="22"/>
  <c r="L67" i="1"/>
  <c r="L172" i="23"/>
  <c r="L172" i="1"/>
  <c r="L90" i="23"/>
  <c r="L90" i="1"/>
  <c r="L118" i="23"/>
  <c r="L118" i="22"/>
  <c r="L118" i="1"/>
  <c r="L81" i="23"/>
  <c r="L81" i="1"/>
  <c r="L81" i="22"/>
  <c r="L45" i="23"/>
  <c r="L45" i="22"/>
  <c r="L45" i="1"/>
  <c r="L51" i="23"/>
  <c r="L51" i="22"/>
  <c r="L51" i="1"/>
  <c r="L75" i="23"/>
  <c r="L75" i="22"/>
  <c r="L75" i="1"/>
  <c r="L191" i="23"/>
  <c r="L191" i="22"/>
  <c r="L177" i="22"/>
  <c r="L177" i="23"/>
  <c r="L177" i="1"/>
  <c r="L190" i="23"/>
  <c r="L190" i="22"/>
  <c r="L190" i="1"/>
  <c r="L39" i="1"/>
  <c r="L103" i="1"/>
  <c r="L47" i="22"/>
  <c r="L166" i="23"/>
  <c r="L166" i="22"/>
  <c r="L166" i="1"/>
  <c r="L76" i="23"/>
  <c r="L76" i="22"/>
  <c r="L76" i="1"/>
  <c r="L159" i="23"/>
  <c r="L159" i="22"/>
  <c r="L60" i="23"/>
  <c r="L60" i="22"/>
  <c r="L60" i="1"/>
  <c r="L113" i="22"/>
  <c r="L113" i="23"/>
  <c r="L113" i="1"/>
  <c r="L135" i="1"/>
  <c r="L181" i="23"/>
  <c r="L181" i="22"/>
  <c r="L181" i="1"/>
  <c r="L122" i="23"/>
  <c r="L122" i="22"/>
  <c r="L122" i="1"/>
  <c r="L132" i="23"/>
  <c r="L132" i="1"/>
  <c r="L132" i="22"/>
  <c r="L168" i="22"/>
  <c r="L168" i="1"/>
  <c r="L168" i="23"/>
  <c r="L142" i="23"/>
  <c r="L142" i="22"/>
  <c r="L142" i="1"/>
  <c r="L149" i="23"/>
  <c r="L149" i="22"/>
  <c r="L149" i="1"/>
  <c r="L179" i="23"/>
  <c r="L179" i="1"/>
  <c r="L179" i="22"/>
  <c r="L70" i="23"/>
  <c r="L70" i="22"/>
  <c r="L70" i="1"/>
  <c r="L163" i="23"/>
  <c r="L163" i="22"/>
  <c r="L163" i="1"/>
  <c r="L138" i="22"/>
  <c r="L138" i="23"/>
  <c r="L138" i="1"/>
  <c r="L129" i="22"/>
  <c r="L129" i="23"/>
  <c r="L129" i="1"/>
  <c r="L56" i="23"/>
  <c r="L56" i="22"/>
  <c r="L56" i="1"/>
  <c r="L117" i="23"/>
  <c r="L117" i="22"/>
  <c r="L117" i="1"/>
  <c r="L161" i="22"/>
  <c r="L161" i="23"/>
  <c r="L161" i="1"/>
  <c r="L186" i="22"/>
  <c r="L186" i="23"/>
  <c r="L186" i="1"/>
  <c r="L106" i="23"/>
  <c r="L106" i="22"/>
  <c r="L106" i="1"/>
  <c r="L72" i="23"/>
  <c r="L72" i="22"/>
  <c r="L72" i="1"/>
  <c r="L11" i="22"/>
  <c r="L11" i="1"/>
  <c r="L11" i="23"/>
  <c r="L112" i="22"/>
  <c r="L112" i="1"/>
  <c r="L14" i="23"/>
  <c r="L14" i="22"/>
  <c r="L14" i="1"/>
  <c r="L175" i="1"/>
  <c r="L55" i="22"/>
  <c r="L151" i="22"/>
  <c r="L146" i="22"/>
  <c r="L146" i="23"/>
  <c r="L146" i="1"/>
  <c r="L25" i="23"/>
  <c r="L25" i="22"/>
  <c r="L25" i="1"/>
  <c r="L143" i="23"/>
  <c r="L143" i="22"/>
  <c r="L184" i="22"/>
  <c r="L184" i="23"/>
  <c r="L184" i="1"/>
  <c r="L107" i="23"/>
  <c r="L107" i="22"/>
  <c r="L107" i="1"/>
  <c r="L24" i="22"/>
  <c r="L24" i="1"/>
  <c r="L24" i="23"/>
  <c r="L22" i="23"/>
  <c r="L22" i="22"/>
  <c r="L22" i="1"/>
  <c r="L33" i="23"/>
  <c r="L33" i="22"/>
  <c r="L33" i="1"/>
  <c r="L95" i="22"/>
  <c r="L95" i="23"/>
  <c r="L84" i="23"/>
  <c r="L84" i="1"/>
  <c r="L84" i="22"/>
  <c r="L43" i="23"/>
  <c r="L43" i="22"/>
  <c r="L43" i="1"/>
  <c r="L119" i="23"/>
  <c r="L119" i="22"/>
  <c r="L170" i="22"/>
  <c r="L170" i="23"/>
  <c r="L170" i="1"/>
  <c r="L86" i="23"/>
  <c r="L86" i="22"/>
  <c r="L86" i="1"/>
  <c r="L116" i="23"/>
  <c r="L116" i="1"/>
  <c r="L116" i="22"/>
  <c r="L6" i="23"/>
  <c r="L6" i="22"/>
  <c r="L6" i="1"/>
  <c r="L136" i="22"/>
  <c r="L136" i="23"/>
  <c r="L136" i="1"/>
  <c r="L144" i="22"/>
  <c r="L144" i="23"/>
  <c r="L144" i="1"/>
  <c r="L18" i="23"/>
  <c r="L18" i="22"/>
  <c r="L18" i="1"/>
  <c r="L73" i="23"/>
  <c r="L73" i="22"/>
  <c r="L73" i="1"/>
  <c r="L20" i="23"/>
  <c r="L20" i="22"/>
  <c r="L20" i="1"/>
  <c r="L83" i="23"/>
  <c r="L83" i="1"/>
  <c r="L83" i="22"/>
  <c r="L82" i="23"/>
  <c r="L82" i="1"/>
  <c r="L82" i="22"/>
  <c r="L92" i="23"/>
  <c r="L92" i="1"/>
  <c r="L92" i="22"/>
  <c r="L62" i="23"/>
  <c r="L62" i="22"/>
  <c r="L62" i="1"/>
  <c r="L137" i="22"/>
  <c r="L137" i="23"/>
  <c r="L137" i="1"/>
  <c r="L64" i="23"/>
  <c r="L64" i="22"/>
  <c r="L64" i="1"/>
  <c r="L128" i="22"/>
  <c r="L128" i="23"/>
  <c r="L128" i="1"/>
  <c r="L147" i="23"/>
  <c r="L147" i="22"/>
  <c r="L147" i="1"/>
  <c r="L21" i="23"/>
  <c r="L21" i="22"/>
  <c r="L21" i="1"/>
  <c r="L17" i="23"/>
  <c r="L17" i="22"/>
  <c r="L17" i="1"/>
  <c r="L139" i="23"/>
  <c r="L139" i="1"/>
  <c r="L139" i="22"/>
  <c r="L104" i="22"/>
  <c r="L104" i="23"/>
  <c r="L104" i="1"/>
  <c r="L110" i="23"/>
  <c r="L110" i="22"/>
  <c r="L110" i="1"/>
  <c r="L26" i="23"/>
  <c r="L26" i="22"/>
  <c r="L26" i="1"/>
  <c r="L46" i="23"/>
  <c r="L46" i="22"/>
  <c r="L46" i="1"/>
  <c r="L100" i="23"/>
  <c r="L100" i="1"/>
  <c r="L80" i="22"/>
  <c r="L80" i="1"/>
  <c r="L8" i="23"/>
  <c r="L8" i="22"/>
  <c r="L8" i="1"/>
  <c r="L47" i="1"/>
  <c r="L88" i="22"/>
  <c r="L88" i="23"/>
  <c r="L88" i="1"/>
  <c r="L30" i="23"/>
  <c r="L30" i="22"/>
  <c r="L30" i="1"/>
  <c r="L131" i="23"/>
  <c r="L131" i="1"/>
  <c r="L120" i="22"/>
  <c r="L120" i="23"/>
  <c r="L120" i="1"/>
  <c r="L50" i="23"/>
  <c r="L50" i="22"/>
  <c r="L50" i="1"/>
  <c r="L188" i="23"/>
  <c r="L188" i="22"/>
  <c r="L188" i="1"/>
  <c r="L10" i="23"/>
  <c r="L10" i="22"/>
  <c r="L10" i="1"/>
  <c r="L93" i="23"/>
  <c r="L93" i="1"/>
  <c r="L93" i="22"/>
  <c r="L157" i="23"/>
  <c r="L157" i="22"/>
  <c r="L157" i="1"/>
  <c r="L183" i="23"/>
  <c r="L183" i="22"/>
  <c r="L98" i="23"/>
  <c r="L98" i="22"/>
  <c r="L98" i="1"/>
  <c r="L35" i="22"/>
  <c r="L35" i="1"/>
  <c r="L35" i="23"/>
  <c r="L176" i="22"/>
  <c r="L176" i="1"/>
  <c r="L74" i="23"/>
  <c r="L74" i="22"/>
  <c r="L74" i="1"/>
  <c r="L134" i="23"/>
  <c r="L134" i="22"/>
  <c r="L134" i="1"/>
  <c r="L27" i="22"/>
  <c r="L27" i="1"/>
  <c r="L111" i="23"/>
  <c r="L111" i="22"/>
  <c r="L109" i="23"/>
  <c r="L109" i="22"/>
  <c r="L109" i="1"/>
  <c r="L148" i="23"/>
  <c r="L148" i="1"/>
  <c r="L148" i="22"/>
  <c r="L160" i="22"/>
  <c r="L160" i="23"/>
  <c r="L160" i="1"/>
  <c r="L91" i="23"/>
  <c r="L91" i="1"/>
  <c r="L91" i="22"/>
  <c r="L180" i="23"/>
  <c r="L180" i="1"/>
  <c r="L180" i="22"/>
  <c r="L55" i="1"/>
  <c r="L119" i="1"/>
  <c r="L183" i="1"/>
  <c r="L63" i="22"/>
  <c r="L172" i="22"/>
  <c r="L173" i="23"/>
  <c r="L173" i="22"/>
  <c r="L173" i="1"/>
  <c r="L9" i="23"/>
  <c r="L9" i="22"/>
  <c r="L9" i="1"/>
  <c r="L165" i="23"/>
  <c r="L165" i="22"/>
  <c r="L165" i="1"/>
  <c r="L68" i="23"/>
  <c r="L68" i="22"/>
  <c r="L68" i="1"/>
  <c r="L102" i="23"/>
  <c r="L102" i="22"/>
  <c r="L102" i="1"/>
  <c r="L174" i="23"/>
  <c r="L174" i="22"/>
  <c r="L174" i="1"/>
  <c r="L59" i="23"/>
  <c r="L59" i="22"/>
  <c r="L59" i="1"/>
  <c r="L187" i="23"/>
  <c r="L187" i="22"/>
  <c r="L187" i="1"/>
  <c r="L61" i="23"/>
  <c r="L61" i="22"/>
  <c r="L61" i="1"/>
  <c r="L96" i="22"/>
  <c r="L96" i="23"/>
  <c r="L96" i="1"/>
  <c r="L97" i="22"/>
  <c r="L97" i="23"/>
  <c r="L97" i="1"/>
  <c r="L150" i="23"/>
  <c r="L150" i="22"/>
  <c r="L150" i="1"/>
  <c r="L34" i="23"/>
  <c r="L34" i="22"/>
  <c r="L34" i="1"/>
  <c r="L29" i="23"/>
  <c r="L29" i="22"/>
  <c r="L29" i="1"/>
  <c r="L101" i="23"/>
  <c r="L101" i="1"/>
  <c r="L101" i="22"/>
  <c r="L123" i="23"/>
  <c r="L123" i="22"/>
  <c r="L123" i="1"/>
  <c r="L126" i="23"/>
  <c r="L126" i="22"/>
  <c r="L126" i="1"/>
  <c r="L57" i="23"/>
  <c r="L57" i="22"/>
  <c r="L57" i="1"/>
  <c r="L171" i="23"/>
  <c r="L171" i="1"/>
  <c r="L171" i="22"/>
  <c r="L127" i="23"/>
  <c r="L127" i="22"/>
  <c r="L140" i="23"/>
  <c r="L140" i="1"/>
  <c r="L140" i="22"/>
  <c r="L38" i="23"/>
  <c r="L38" i="22"/>
  <c r="L38" i="1"/>
  <c r="L49" i="23"/>
  <c r="L49" i="22"/>
  <c r="L49" i="1"/>
  <c r="L167" i="23"/>
  <c r="L167" i="22"/>
  <c r="L178" i="22"/>
  <c r="L178" i="23"/>
  <c r="L178" i="1"/>
  <c r="L41" i="23"/>
  <c r="L41" i="22"/>
  <c r="L41" i="1"/>
  <c r="L89" i="22"/>
  <c r="L89" i="23"/>
  <c r="L89" i="1"/>
  <c r="L66" i="23"/>
  <c r="L66" i="22"/>
  <c r="L66" i="1"/>
  <c r="L153" i="22"/>
  <c r="L153" i="23"/>
  <c r="L153" i="1"/>
  <c r="L169" i="22"/>
  <c r="L169" i="23"/>
  <c r="L169" i="1"/>
  <c r="L185" i="22"/>
  <c r="L185" i="23"/>
  <c r="L185" i="1"/>
  <c r="L94" i="23"/>
  <c r="L94" i="22"/>
  <c r="L94" i="1"/>
  <c r="L19" i="23"/>
  <c r="L19" i="22"/>
  <c r="L19" i="1"/>
  <c r="L156" i="23"/>
  <c r="L156" i="1"/>
  <c r="L156" i="22"/>
  <c r="L127" i="1"/>
  <c r="L191" i="1"/>
  <c r="L7" i="22"/>
  <c r="L71" i="22"/>
  <c r="S193" i="23" l="1"/>
  <c r="Q193" i="23"/>
  <c r="O193" i="23"/>
  <c r="R193" i="23" s="1"/>
  <c r="N193" i="23"/>
  <c r="K193" i="23"/>
  <c r="F193" i="23"/>
  <c r="S192" i="23"/>
  <c r="Q192" i="23"/>
  <c r="O192" i="23"/>
  <c r="R192" i="23" s="1"/>
  <c r="N192" i="23"/>
  <c r="K192" i="23"/>
  <c r="F192" i="23"/>
  <c r="S191" i="23"/>
  <c r="Q191" i="23"/>
  <c r="O191" i="23"/>
  <c r="R191" i="23" s="1"/>
  <c r="K191" i="23"/>
  <c r="F191" i="23"/>
  <c r="S190" i="23"/>
  <c r="Q190" i="23"/>
  <c r="O190" i="23"/>
  <c r="R190" i="23" s="1"/>
  <c r="N190" i="23"/>
  <c r="K190" i="23"/>
  <c r="F190" i="23"/>
  <c r="S189" i="23"/>
  <c r="Q189" i="23"/>
  <c r="O189" i="23"/>
  <c r="R189" i="23" s="1"/>
  <c r="N189" i="23"/>
  <c r="K189" i="23"/>
  <c r="F189" i="23"/>
  <c r="S188" i="23"/>
  <c r="Q188" i="23"/>
  <c r="O188" i="23"/>
  <c r="R188" i="23" s="1"/>
  <c r="M188" i="23"/>
  <c r="N188" i="23"/>
  <c r="K188" i="23"/>
  <c r="F188" i="23"/>
  <c r="S187" i="23"/>
  <c r="Q187" i="23"/>
  <c r="O187" i="23"/>
  <c r="R187" i="23" s="1"/>
  <c r="K187" i="23"/>
  <c r="F187" i="23"/>
  <c r="S186" i="23"/>
  <c r="R186" i="23"/>
  <c r="Q186" i="23"/>
  <c r="O186" i="23"/>
  <c r="M186" i="23"/>
  <c r="K186" i="23"/>
  <c r="F186" i="23"/>
  <c r="S185" i="23"/>
  <c r="R185" i="23"/>
  <c r="Q185" i="23"/>
  <c r="O185" i="23"/>
  <c r="N185" i="23"/>
  <c r="K185" i="23"/>
  <c r="F185" i="23"/>
  <c r="S184" i="23"/>
  <c r="Q184" i="23"/>
  <c r="O184" i="23"/>
  <c r="R184" i="23" s="1"/>
  <c r="N184" i="23"/>
  <c r="K184" i="23"/>
  <c r="F184" i="23"/>
  <c r="S183" i="23"/>
  <c r="Q183" i="23"/>
  <c r="O183" i="23"/>
  <c r="R183" i="23" s="1"/>
  <c r="N183" i="23"/>
  <c r="K183" i="23"/>
  <c r="F183" i="23"/>
  <c r="S182" i="23"/>
  <c r="Q182" i="23"/>
  <c r="O182" i="23"/>
  <c r="R182" i="23" s="1"/>
  <c r="M182" i="23"/>
  <c r="K182" i="23"/>
  <c r="F182" i="23"/>
  <c r="S181" i="23"/>
  <c r="Q181" i="23"/>
  <c r="O181" i="23"/>
  <c r="R181" i="23" s="1"/>
  <c r="N181" i="23"/>
  <c r="K181" i="23"/>
  <c r="F181" i="23"/>
  <c r="S180" i="23"/>
  <c r="Q180" i="23"/>
  <c r="O180" i="23"/>
  <c r="R180" i="23" s="1"/>
  <c r="N180" i="23"/>
  <c r="K180" i="23"/>
  <c r="F180" i="23"/>
  <c r="S179" i="23"/>
  <c r="Q179" i="23"/>
  <c r="O179" i="23"/>
  <c r="R179" i="23" s="1"/>
  <c r="N179" i="23"/>
  <c r="K179" i="23"/>
  <c r="F179" i="23"/>
  <c r="S178" i="23"/>
  <c r="Q178" i="23"/>
  <c r="O178" i="23"/>
  <c r="R178" i="23" s="1"/>
  <c r="M178" i="23"/>
  <c r="K178" i="23"/>
  <c r="F178" i="23"/>
  <c r="S177" i="23"/>
  <c r="Q177" i="23"/>
  <c r="O177" i="23"/>
  <c r="R177" i="23" s="1"/>
  <c r="N177" i="23"/>
  <c r="K177" i="23"/>
  <c r="F177" i="23"/>
  <c r="S176" i="23"/>
  <c r="Q176" i="23"/>
  <c r="O176" i="23"/>
  <c r="R176" i="23" s="1"/>
  <c r="N176" i="23"/>
  <c r="K176" i="23"/>
  <c r="F176" i="23"/>
  <c r="S175" i="23"/>
  <c r="Q175" i="23"/>
  <c r="O175" i="23"/>
  <c r="R175" i="23" s="1"/>
  <c r="N175" i="23"/>
  <c r="K175" i="23"/>
  <c r="F175" i="23"/>
  <c r="S174" i="23"/>
  <c r="Q174" i="23"/>
  <c r="O174" i="23"/>
  <c r="R174" i="23" s="1"/>
  <c r="N174" i="23"/>
  <c r="K174" i="23"/>
  <c r="F174" i="23"/>
  <c r="S173" i="23"/>
  <c r="R173" i="23"/>
  <c r="Q173" i="23"/>
  <c r="O173" i="23"/>
  <c r="N173" i="23"/>
  <c r="K173" i="23"/>
  <c r="F173" i="23"/>
  <c r="S172" i="23"/>
  <c r="Q172" i="23"/>
  <c r="O172" i="23"/>
  <c r="R172" i="23" s="1"/>
  <c r="N172" i="23"/>
  <c r="K172" i="23"/>
  <c r="F172" i="23"/>
  <c r="S171" i="23"/>
  <c r="R171" i="23"/>
  <c r="Q171" i="23"/>
  <c r="O171" i="23"/>
  <c r="N171" i="23"/>
  <c r="K171" i="23"/>
  <c r="F171" i="23"/>
  <c r="S170" i="23"/>
  <c r="R170" i="23"/>
  <c r="Q170" i="23"/>
  <c r="O170" i="23"/>
  <c r="M170" i="23"/>
  <c r="K170" i="23"/>
  <c r="F170" i="23"/>
  <c r="S169" i="23"/>
  <c r="Q169" i="23"/>
  <c r="O169" i="23"/>
  <c r="R169" i="23" s="1"/>
  <c r="N169" i="23"/>
  <c r="K169" i="23"/>
  <c r="F169" i="23"/>
  <c r="S168" i="23"/>
  <c r="Q168" i="23"/>
  <c r="O168" i="23"/>
  <c r="R168" i="23" s="1"/>
  <c r="N168" i="23"/>
  <c r="K168" i="23"/>
  <c r="F168" i="23"/>
  <c r="S167" i="23"/>
  <c r="Q167" i="23"/>
  <c r="O167" i="23"/>
  <c r="R167" i="23" s="1"/>
  <c r="N167" i="23"/>
  <c r="K167" i="23"/>
  <c r="F167" i="23"/>
  <c r="S166" i="23"/>
  <c r="Q166" i="23"/>
  <c r="O166" i="23"/>
  <c r="R166" i="23" s="1"/>
  <c r="N166" i="23"/>
  <c r="K166" i="23"/>
  <c r="F166" i="23"/>
  <c r="S165" i="23"/>
  <c r="Q165" i="23"/>
  <c r="O165" i="23"/>
  <c r="R165" i="23" s="1"/>
  <c r="N165" i="23"/>
  <c r="K165" i="23"/>
  <c r="F165" i="23"/>
  <c r="S164" i="23"/>
  <c r="Q164" i="23"/>
  <c r="O164" i="23"/>
  <c r="R164" i="23" s="1"/>
  <c r="N164" i="23"/>
  <c r="K164" i="23"/>
  <c r="F164" i="23"/>
  <c r="S163" i="23"/>
  <c r="Q163" i="23"/>
  <c r="O163" i="23"/>
  <c r="R163" i="23" s="1"/>
  <c r="N163" i="23"/>
  <c r="K163" i="23"/>
  <c r="F163" i="23"/>
  <c r="S162" i="23"/>
  <c r="Q162" i="23"/>
  <c r="O162" i="23"/>
  <c r="R162" i="23" s="1"/>
  <c r="N162" i="23"/>
  <c r="K162" i="23"/>
  <c r="F162" i="23"/>
  <c r="S161" i="23"/>
  <c r="Q161" i="23"/>
  <c r="O161" i="23"/>
  <c r="R161" i="23" s="1"/>
  <c r="N161" i="23"/>
  <c r="K161" i="23"/>
  <c r="F161" i="23"/>
  <c r="S160" i="23"/>
  <c r="R160" i="23"/>
  <c r="Q160" i="23"/>
  <c r="O160" i="23"/>
  <c r="N160" i="23"/>
  <c r="K160" i="23"/>
  <c r="F160" i="23"/>
  <c r="S159" i="23"/>
  <c r="R159" i="23"/>
  <c r="Q159" i="23"/>
  <c r="O159" i="23"/>
  <c r="N159" i="23"/>
  <c r="K159" i="23"/>
  <c r="F159" i="23"/>
  <c r="S158" i="23"/>
  <c r="Q158" i="23"/>
  <c r="O158" i="23"/>
  <c r="R158" i="23" s="1"/>
  <c r="N158" i="23"/>
  <c r="K158" i="23"/>
  <c r="F158" i="23"/>
  <c r="S157" i="23"/>
  <c r="Q157" i="23"/>
  <c r="O157" i="23"/>
  <c r="R157" i="23" s="1"/>
  <c r="N157" i="23"/>
  <c r="K157" i="23"/>
  <c r="F157" i="23"/>
  <c r="S156" i="23"/>
  <c r="Q156" i="23"/>
  <c r="O156" i="23"/>
  <c r="R156" i="23" s="1"/>
  <c r="N156" i="23"/>
  <c r="K156" i="23"/>
  <c r="F156" i="23"/>
  <c r="S155" i="23"/>
  <c r="Q155" i="23"/>
  <c r="O155" i="23"/>
  <c r="R155" i="23" s="1"/>
  <c r="N155" i="23"/>
  <c r="K155" i="23"/>
  <c r="F155" i="23"/>
  <c r="S154" i="23"/>
  <c r="R154" i="23"/>
  <c r="Q154" i="23"/>
  <c r="O154" i="23"/>
  <c r="M154" i="23"/>
  <c r="K154" i="23"/>
  <c r="F154" i="23"/>
  <c r="S153" i="23"/>
  <c r="Q153" i="23"/>
  <c r="O153" i="23"/>
  <c r="R153" i="23" s="1"/>
  <c r="N153" i="23"/>
  <c r="K153" i="23"/>
  <c r="F153" i="23"/>
  <c r="S152" i="23"/>
  <c r="Q152" i="23"/>
  <c r="O152" i="23"/>
  <c r="R152" i="23" s="1"/>
  <c r="N152" i="23"/>
  <c r="K152" i="23"/>
  <c r="F152" i="23"/>
  <c r="S151" i="23"/>
  <c r="Q151" i="23"/>
  <c r="O151" i="23"/>
  <c r="R151" i="23" s="1"/>
  <c r="N151" i="23"/>
  <c r="K151" i="23"/>
  <c r="F151" i="23"/>
  <c r="S150" i="23"/>
  <c r="Q150" i="23"/>
  <c r="O150" i="23"/>
  <c r="R150" i="23" s="1"/>
  <c r="M150" i="23"/>
  <c r="K150" i="23"/>
  <c r="F150" i="23"/>
  <c r="S149" i="23"/>
  <c r="R149" i="23"/>
  <c r="Q149" i="23"/>
  <c r="O149" i="23"/>
  <c r="N149" i="23"/>
  <c r="K149" i="23"/>
  <c r="F149" i="23"/>
  <c r="S148" i="23"/>
  <c r="R148" i="23"/>
  <c r="Q148" i="23"/>
  <c r="O148" i="23"/>
  <c r="N148" i="23"/>
  <c r="K148" i="23"/>
  <c r="F148" i="23"/>
  <c r="S147" i="23"/>
  <c r="Q147" i="23"/>
  <c r="O147" i="23"/>
  <c r="R147" i="23" s="1"/>
  <c r="M147" i="23"/>
  <c r="K147" i="23"/>
  <c r="F147" i="23"/>
  <c r="S146" i="23"/>
  <c r="Q146" i="23"/>
  <c r="O146" i="23"/>
  <c r="R146" i="23" s="1"/>
  <c r="M146" i="23"/>
  <c r="K146" i="23"/>
  <c r="F146" i="23"/>
  <c r="S145" i="23"/>
  <c r="Q145" i="23"/>
  <c r="O145" i="23"/>
  <c r="R145" i="23" s="1"/>
  <c r="N145" i="23"/>
  <c r="K145" i="23"/>
  <c r="F145" i="23"/>
  <c r="S144" i="23"/>
  <c r="Q144" i="23"/>
  <c r="O144" i="23"/>
  <c r="R144" i="23" s="1"/>
  <c r="N144" i="23"/>
  <c r="K144" i="23"/>
  <c r="F144" i="23"/>
  <c r="S143" i="23"/>
  <c r="Q143" i="23"/>
  <c r="O143" i="23"/>
  <c r="R143" i="23" s="1"/>
  <c r="M143" i="23"/>
  <c r="K143" i="23"/>
  <c r="F143" i="23"/>
  <c r="S142" i="23"/>
  <c r="Q142" i="23"/>
  <c r="O142" i="23"/>
  <c r="R142" i="23" s="1"/>
  <c r="N142" i="23"/>
  <c r="K142" i="23"/>
  <c r="F142" i="23"/>
  <c r="S141" i="23"/>
  <c r="Q141" i="23"/>
  <c r="O141" i="23"/>
  <c r="R141" i="23" s="1"/>
  <c r="N141" i="23"/>
  <c r="K141" i="23"/>
  <c r="F141" i="23"/>
  <c r="S140" i="23"/>
  <c r="R140" i="23"/>
  <c r="Q140" i="23"/>
  <c r="O140" i="23"/>
  <c r="N140" i="23"/>
  <c r="K140" i="23"/>
  <c r="F140" i="23"/>
  <c r="S139" i="23"/>
  <c r="R139" i="23"/>
  <c r="Q139" i="23"/>
  <c r="O139" i="23"/>
  <c r="N139" i="23"/>
  <c r="K139" i="23"/>
  <c r="F139" i="23"/>
  <c r="S138" i="23"/>
  <c r="Q138" i="23"/>
  <c r="O138" i="23"/>
  <c r="R138" i="23" s="1"/>
  <c r="N138" i="23"/>
  <c r="K138" i="23"/>
  <c r="F138" i="23"/>
  <c r="S137" i="23"/>
  <c r="R137" i="23"/>
  <c r="Q137" i="23"/>
  <c r="O137" i="23"/>
  <c r="M137" i="23"/>
  <c r="K137" i="23"/>
  <c r="F137" i="23"/>
  <c r="S136" i="23"/>
  <c r="Q136" i="23"/>
  <c r="O136" i="23"/>
  <c r="R136" i="23" s="1"/>
  <c r="M136" i="23"/>
  <c r="K136" i="23"/>
  <c r="N136" i="23" s="1"/>
  <c r="F136" i="23"/>
  <c r="S135" i="23"/>
  <c r="Q135" i="23"/>
  <c r="O135" i="23"/>
  <c r="R135" i="23" s="1"/>
  <c r="N135" i="23"/>
  <c r="K135" i="23"/>
  <c r="F135" i="23"/>
  <c r="S134" i="23"/>
  <c r="Q134" i="23"/>
  <c r="O134" i="23"/>
  <c r="R134" i="23" s="1"/>
  <c r="N134" i="23"/>
  <c r="K134" i="23"/>
  <c r="F134" i="23"/>
  <c r="S133" i="23"/>
  <c r="R133" i="23"/>
  <c r="Q133" i="23"/>
  <c r="O133" i="23"/>
  <c r="M133" i="23"/>
  <c r="K133" i="23"/>
  <c r="F133" i="23"/>
  <c r="S132" i="23"/>
  <c r="R132" i="23"/>
  <c r="Q132" i="23"/>
  <c r="O132" i="23"/>
  <c r="M132" i="23"/>
  <c r="K132" i="23"/>
  <c r="F132" i="23"/>
  <c r="S131" i="23"/>
  <c r="Q131" i="23"/>
  <c r="O131" i="23"/>
  <c r="R131" i="23" s="1"/>
  <c r="M131" i="23"/>
  <c r="K131" i="23"/>
  <c r="F131" i="23"/>
  <c r="S130" i="23"/>
  <c r="Q130" i="23"/>
  <c r="O130" i="23"/>
  <c r="R130" i="23" s="1"/>
  <c r="N130" i="23"/>
  <c r="K130" i="23"/>
  <c r="F130" i="23"/>
  <c r="S129" i="23"/>
  <c r="Q129" i="23"/>
  <c r="O129" i="23"/>
  <c r="R129" i="23" s="1"/>
  <c r="K129" i="23"/>
  <c r="F129" i="23"/>
  <c r="S128" i="23"/>
  <c r="Q128" i="23"/>
  <c r="O128" i="23"/>
  <c r="R128" i="23" s="1"/>
  <c r="K128" i="23"/>
  <c r="F128" i="23"/>
  <c r="S127" i="23"/>
  <c r="Q127" i="23"/>
  <c r="O127" i="23"/>
  <c r="R127" i="23" s="1"/>
  <c r="N127" i="23"/>
  <c r="K127" i="23"/>
  <c r="F127" i="23"/>
  <c r="S126" i="23"/>
  <c r="Q126" i="23"/>
  <c r="O126" i="23"/>
  <c r="R126" i="23" s="1"/>
  <c r="M126" i="23"/>
  <c r="K126" i="23"/>
  <c r="F126" i="23"/>
  <c r="S125" i="23"/>
  <c r="Q125" i="23"/>
  <c r="O125" i="23"/>
  <c r="R125" i="23" s="1"/>
  <c r="M125" i="23"/>
  <c r="K125" i="23"/>
  <c r="F125" i="23"/>
  <c r="S124" i="23"/>
  <c r="Q124" i="23"/>
  <c r="O124" i="23"/>
  <c r="R124" i="23" s="1"/>
  <c r="M124" i="23"/>
  <c r="K124" i="23"/>
  <c r="F124" i="23"/>
  <c r="S123" i="23"/>
  <c r="Q123" i="23"/>
  <c r="O123" i="23"/>
  <c r="R123" i="23" s="1"/>
  <c r="N123" i="23"/>
  <c r="K123" i="23"/>
  <c r="F123" i="23"/>
  <c r="S122" i="23"/>
  <c r="Q122" i="23"/>
  <c r="O122" i="23"/>
  <c r="R122" i="23" s="1"/>
  <c r="N122" i="23"/>
  <c r="K122" i="23"/>
  <c r="F122" i="23"/>
  <c r="S121" i="23"/>
  <c r="Q121" i="23"/>
  <c r="O121" i="23"/>
  <c r="R121" i="23" s="1"/>
  <c r="N121" i="23"/>
  <c r="K121" i="23"/>
  <c r="F121" i="23"/>
  <c r="S120" i="23"/>
  <c r="Q120" i="23"/>
  <c r="O120" i="23"/>
  <c r="R120" i="23" s="1"/>
  <c r="N120" i="23"/>
  <c r="K120" i="23"/>
  <c r="F120" i="23"/>
  <c r="S119" i="23"/>
  <c r="Q119" i="23"/>
  <c r="O119" i="23"/>
  <c r="R119" i="23" s="1"/>
  <c r="N119" i="23"/>
  <c r="M119" i="23"/>
  <c r="K119" i="23"/>
  <c r="F119" i="23"/>
  <c r="S118" i="23"/>
  <c r="Q118" i="23"/>
  <c r="O118" i="23"/>
  <c r="R118" i="23" s="1"/>
  <c r="N118" i="23"/>
  <c r="K118" i="23"/>
  <c r="F118" i="23"/>
  <c r="S117" i="23"/>
  <c r="R117" i="23"/>
  <c r="Q117" i="23"/>
  <c r="O117" i="23"/>
  <c r="N117" i="23"/>
  <c r="K117" i="23"/>
  <c r="F117" i="23"/>
  <c r="S116" i="23"/>
  <c r="Q116" i="23"/>
  <c r="O116" i="23"/>
  <c r="R116" i="23" s="1"/>
  <c r="N116" i="23"/>
  <c r="K116" i="23"/>
  <c r="F116" i="23"/>
  <c r="S115" i="23"/>
  <c r="R115" i="23"/>
  <c r="Q115" i="23"/>
  <c r="O115" i="23"/>
  <c r="N115" i="23"/>
  <c r="K115" i="23"/>
  <c r="F115" i="23"/>
  <c r="S114" i="23"/>
  <c r="Q114" i="23"/>
  <c r="O114" i="23"/>
  <c r="R114" i="23" s="1"/>
  <c r="M114" i="23"/>
  <c r="K114" i="23"/>
  <c r="F114" i="23"/>
  <c r="S113" i="23"/>
  <c r="Q113" i="23"/>
  <c r="O113" i="23"/>
  <c r="R113" i="23" s="1"/>
  <c r="N113" i="23"/>
  <c r="K113" i="23"/>
  <c r="F113" i="23"/>
  <c r="S112" i="23"/>
  <c r="Q112" i="23"/>
  <c r="O112" i="23"/>
  <c r="R112" i="23" s="1"/>
  <c r="N112" i="23"/>
  <c r="K112" i="23"/>
  <c r="F112" i="23"/>
  <c r="S111" i="23"/>
  <c r="R111" i="23"/>
  <c r="Q111" i="23"/>
  <c r="O111" i="23"/>
  <c r="N111" i="23"/>
  <c r="K111" i="23"/>
  <c r="F111" i="23"/>
  <c r="S110" i="23"/>
  <c r="Q110" i="23"/>
  <c r="O110" i="23"/>
  <c r="R110" i="23" s="1"/>
  <c r="M110" i="23"/>
  <c r="K110" i="23"/>
  <c r="F110" i="23"/>
  <c r="S109" i="23"/>
  <c r="R109" i="23"/>
  <c r="Q109" i="23"/>
  <c r="O109" i="23"/>
  <c r="N109" i="23"/>
  <c r="K109" i="23"/>
  <c r="F109" i="23"/>
  <c r="S108" i="23"/>
  <c r="R108" i="23"/>
  <c r="Q108" i="23"/>
  <c r="O108" i="23"/>
  <c r="N108" i="23"/>
  <c r="K108" i="23"/>
  <c r="F108" i="23"/>
  <c r="S107" i="23"/>
  <c r="Q107" i="23"/>
  <c r="O107" i="23"/>
  <c r="R107" i="23" s="1"/>
  <c r="N107" i="23"/>
  <c r="K107" i="23"/>
  <c r="F107" i="23"/>
  <c r="S106" i="23"/>
  <c r="Q106" i="23"/>
  <c r="O106" i="23"/>
  <c r="R106" i="23" s="1"/>
  <c r="N106" i="23"/>
  <c r="K106" i="23"/>
  <c r="F106" i="23"/>
  <c r="S105" i="23"/>
  <c r="Q105" i="23"/>
  <c r="O105" i="23"/>
  <c r="R105" i="23" s="1"/>
  <c r="N105" i="23"/>
  <c r="K105" i="23"/>
  <c r="F105" i="23"/>
  <c r="S104" i="23"/>
  <c r="Q104" i="23"/>
  <c r="O104" i="23"/>
  <c r="R104" i="23" s="1"/>
  <c r="N104" i="23"/>
  <c r="K104" i="23"/>
  <c r="F104" i="23"/>
  <c r="S103" i="23"/>
  <c r="Q103" i="23"/>
  <c r="O103" i="23"/>
  <c r="R103" i="23" s="1"/>
  <c r="M103" i="23"/>
  <c r="K103" i="23"/>
  <c r="F103" i="23"/>
  <c r="S102" i="23"/>
  <c r="Q102" i="23"/>
  <c r="O102" i="23"/>
  <c r="R102" i="23" s="1"/>
  <c r="N102" i="23"/>
  <c r="K102" i="23"/>
  <c r="F102" i="23"/>
  <c r="S101" i="23"/>
  <c r="Q101" i="23"/>
  <c r="O101" i="23"/>
  <c r="R101" i="23" s="1"/>
  <c r="K101" i="23"/>
  <c r="N101" i="23" s="1"/>
  <c r="F101" i="23"/>
  <c r="S100" i="23"/>
  <c r="Q100" i="23"/>
  <c r="O100" i="23"/>
  <c r="R100" i="23" s="1"/>
  <c r="N100" i="23"/>
  <c r="K100" i="23"/>
  <c r="F100" i="23"/>
  <c r="S99" i="23"/>
  <c r="Q99" i="23"/>
  <c r="O99" i="23"/>
  <c r="R99" i="23" s="1"/>
  <c r="M99" i="23"/>
  <c r="K99" i="23"/>
  <c r="F99" i="23"/>
  <c r="S98" i="23"/>
  <c r="Q98" i="23"/>
  <c r="O98" i="23"/>
  <c r="R98" i="23" s="1"/>
  <c r="M98" i="23"/>
  <c r="K98" i="23"/>
  <c r="F98" i="23"/>
  <c r="S97" i="23"/>
  <c r="Q97" i="23"/>
  <c r="O97" i="23"/>
  <c r="R97" i="23" s="1"/>
  <c r="N97" i="23"/>
  <c r="K97" i="23"/>
  <c r="F97" i="23"/>
  <c r="S96" i="23"/>
  <c r="R96" i="23"/>
  <c r="Q96" i="23"/>
  <c r="O96" i="23"/>
  <c r="M96" i="23"/>
  <c r="K96" i="23"/>
  <c r="F96" i="23"/>
  <c r="S95" i="23"/>
  <c r="R95" i="23"/>
  <c r="Q95" i="23"/>
  <c r="O95" i="23"/>
  <c r="N95" i="23"/>
  <c r="K95" i="23"/>
  <c r="F95" i="23"/>
  <c r="S94" i="23"/>
  <c r="Q94" i="23"/>
  <c r="O94" i="23"/>
  <c r="R94" i="23" s="1"/>
  <c r="M94" i="23"/>
  <c r="K94" i="23"/>
  <c r="F94" i="23"/>
  <c r="S93" i="23"/>
  <c r="Q93" i="23"/>
  <c r="O93" i="23"/>
  <c r="R93" i="23" s="1"/>
  <c r="N93" i="23"/>
  <c r="K93" i="23"/>
  <c r="F93" i="23"/>
  <c r="S92" i="23"/>
  <c r="Q92" i="23"/>
  <c r="O92" i="23"/>
  <c r="R92" i="23" s="1"/>
  <c r="N92" i="23"/>
  <c r="K92" i="23"/>
  <c r="F92" i="23"/>
  <c r="S91" i="23"/>
  <c r="R91" i="23"/>
  <c r="Q91" i="23"/>
  <c r="O91" i="23"/>
  <c r="N91" i="23"/>
  <c r="K91" i="23"/>
  <c r="F91" i="23"/>
  <c r="S90" i="23"/>
  <c r="Q90" i="23"/>
  <c r="O90" i="23"/>
  <c r="R90" i="23" s="1"/>
  <c r="N90" i="23"/>
  <c r="K90" i="23"/>
  <c r="F90" i="23"/>
  <c r="S89" i="23"/>
  <c r="R89" i="23"/>
  <c r="Q89" i="23"/>
  <c r="O89" i="23"/>
  <c r="N89" i="23"/>
  <c r="K89" i="23"/>
  <c r="F89" i="23"/>
  <c r="S88" i="23"/>
  <c r="Q88" i="23"/>
  <c r="O88" i="23"/>
  <c r="R88" i="23" s="1"/>
  <c r="M88" i="23"/>
  <c r="K88" i="23"/>
  <c r="F88" i="23"/>
  <c r="S87" i="23"/>
  <c r="Q87" i="23"/>
  <c r="O87" i="23"/>
  <c r="R87" i="23" s="1"/>
  <c r="N87" i="23"/>
  <c r="K87" i="23"/>
  <c r="F87" i="23"/>
  <c r="S86" i="23"/>
  <c r="Q86" i="23"/>
  <c r="O86" i="23"/>
  <c r="R86" i="23" s="1"/>
  <c r="M86" i="23"/>
  <c r="K86" i="23"/>
  <c r="F86" i="23"/>
  <c r="S85" i="23"/>
  <c r="Q85" i="23"/>
  <c r="O85" i="23"/>
  <c r="R85" i="23" s="1"/>
  <c r="M85" i="23"/>
  <c r="K85" i="23"/>
  <c r="F85" i="23"/>
  <c r="S84" i="23"/>
  <c r="Q84" i="23"/>
  <c r="O84" i="23"/>
  <c r="R84" i="23" s="1"/>
  <c r="N84" i="23"/>
  <c r="K84" i="23"/>
  <c r="F84" i="23"/>
  <c r="S83" i="23"/>
  <c r="Q83" i="23"/>
  <c r="O83" i="23"/>
  <c r="R83" i="23" s="1"/>
  <c r="N83" i="23"/>
  <c r="K83" i="23"/>
  <c r="F83" i="23"/>
  <c r="S82" i="23"/>
  <c r="Q82" i="23"/>
  <c r="O82" i="23"/>
  <c r="R82" i="23" s="1"/>
  <c r="N82" i="23"/>
  <c r="K82" i="23"/>
  <c r="F82" i="23"/>
  <c r="S81" i="23"/>
  <c r="Q81" i="23"/>
  <c r="O81" i="23"/>
  <c r="R81" i="23" s="1"/>
  <c r="N81" i="23"/>
  <c r="K81" i="23"/>
  <c r="F81" i="23"/>
  <c r="S80" i="23"/>
  <c r="R80" i="23"/>
  <c r="Q80" i="23"/>
  <c r="O80" i="23"/>
  <c r="N80" i="23"/>
  <c r="K80" i="23"/>
  <c r="F80" i="23"/>
  <c r="S79" i="23"/>
  <c r="Q79" i="23"/>
  <c r="O79" i="23"/>
  <c r="R79" i="23" s="1"/>
  <c r="N79" i="23"/>
  <c r="K79" i="23"/>
  <c r="F79" i="23"/>
  <c r="S78" i="23"/>
  <c r="Q78" i="23"/>
  <c r="O78" i="23"/>
  <c r="R78" i="23" s="1"/>
  <c r="N78" i="23"/>
  <c r="K78" i="23"/>
  <c r="F78" i="23"/>
  <c r="S77" i="23"/>
  <c r="Q77" i="23"/>
  <c r="O77" i="23"/>
  <c r="R77" i="23" s="1"/>
  <c r="N77" i="23"/>
  <c r="K77" i="23"/>
  <c r="F77" i="23"/>
  <c r="S76" i="23"/>
  <c r="R76" i="23"/>
  <c r="Q76" i="23"/>
  <c r="O76" i="23"/>
  <c r="N76" i="23"/>
  <c r="K76" i="23"/>
  <c r="F76" i="23"/>
  <c r="S75" i="23"/>
  <c r="Q75" i="23"/>
  <c r="O75" i="23"/>
  <c r="R75" i="23" s="1"/>
  <c r="N75" i="23"/>
  <c r="K75" i="23"/>
  <c r="F75" i="23"/>
  <c r="S74" i="23"/>
  <c r="Q74" i="23"/>
  <c r="O74" i="23"/>
  <c r="R74" i="23" s="1"/>
  <c r="N74" i="23"/>
  <c r="K74" i="23"/>
  <c r="F74" i="23"/>
  <c r="S73" i="23"/>
  <c r="R73" i="23"/>
  <c r="Q73" i="23"/>
  <c r="O73" i="23"/>
  <c r="N73" i="23"/>
  <c r="K73" i="23"/>
  <c r="F73" i="23"/>
  <c r="S72" i="23"/>
  <c r="Q72" i="23"/>
  <c r="O72" i="23"/>
  <c r="R72" i="23" s="1"/>
  <c r="N72" i="23"/>
  <c r="K72" i="23"/>
  <c r="F72" i="23"/>
  <c r="S71" i="23"/>
  <c r="Q71" i="23"/>
  <c r="O71" i="23"/>
  <c r="R71" i="23" s="1"/>
  <c r="N71" i="23"/>
  <c r="K71" i="23"/>
  <c r="F71" i="23"/>
  <c r="S70" i="23"/>
  <c r="Q70" i="23"/>
  <c r="O70" i="23"/>
  <c r="R70" i="23" s="1"/>
  <c r="M70" i="23"/>
  <c r="K70" i="23"/>
  <c r="N70" i="23" s="1"/>
  <c r="F70" i="23"/>
  <c r="S69" i="23"/>
  <c r="R69" i="23"/>
  <c r="Q69" i="23"/>
  <c r="O69" i="23"/>
  <c r="M69" i="23"/>
  <c r="K69" i="23"/>
  <c r="F69" i="23"/>
  <c r="S68" i="23"/>
  <c r="Q68" i="23"/>
  <c r="O68" i="23"/>
  <c r="R68" i="23" s="1"/>
  <c r="N68" i="23"/>
  <c r="K68" i="23"/>
  <c r="F68" i="23"/>
  <c r="S67" i="23"/>
  <c r="Q67" i="23"/>
  <c r="O67" i="23"/>
  <c r="R67" i="23" s="1"/>
  <c r="N67" i="23"/>
  <c r="K67" i="23"/>
  <c r="F67" i="23"/>
  <c r="S66" i="23"/>
  <c r="Q66" i="23"/>
  <c r="O66" i="23"/>
  <c r="R66" i="23" s="1"/>
  <c r="N66" i="23"/>
  <c r="K66" i="23"/>
  <c r="F66" i="23"/>
  <c r="S65" i="23"/>
  <c r="R65" i="23"/>
  <c r="Q65" i="23"/>
  <c r="O65" i="23"/>
  <c r="N65" i="23"/>
  <c r="K65" i="23"/>
  <c r="F65" i="23"/>
  <c r="S64" i="23"/>
  <c r="R64" i="23"/>
  <c r="Q64" i="23"/>
  <c r="O64" i="23"/>
  <c r="N64" i="23"/>
  <c r="K64" i="23"/>
  <c r="F64" i="23"/>
  <c r="S63" i="23"/>
  <c r="Q63" i="23"/>
  <c r="O63" i="23"/>
  <c r="R63" i="23" s="1"/>
  <c r="N63" i="23"/>
  <c r="K63" i="23"/>
  <c r="F63" i="23"/>
  <c r="S62" i="23"/>
  <c r="Q62" i="23"/>
  <c r="O62" i="23"/>
  <c r="R62" i="23" s="1"/>
  <c r="M62" i="23"/>
  <c r="N62" i="23"/>
  <c r="K62" i="23"/>
  <c r="F62" i="23"/>
  <c r="S61" i="23"/>
  <c r="Q61" i="23"/>
  <c r="O61" i="23"/>
  <c r="R61" i="23" s="1"/>
  <c r="N61" i="23"/>
  <c r="K61" i="23"/>
  <c r="F61" i="23"/>
  <c r="S60" i="23"/>
  <c r="R60" i="23"/>
  <c r="Q60" i="23"/>
  <c r="O60" i="23"/>
  <c r="N60" i="23"/>
  <c r="K60" i="23"/>
  <c r="F60" i="23"/>
  <c r="S59" i="23"/>
  <c r="Q59" i="23"/>
  <c r="O59" i="23"/>
  <c r="R59" i="23" s="1"/>
  <c r="M59" i="23"/>
  <c r="N59" i="23"/>
  <c r="K59" i="23"/>
  <c r="F59" i="23"/>
  <c r="S58" i="23"/>
  <c r="Q58" i="23"/>
  <c r="O58" i="23"/>
  <c r="R58" i="23" s="1"/>
  <c r="N58" i="23"/>
  <c r="K58" i="23"/>
  <c r="F58" i="23"/>
  <c r="S57" i="23"/>
  <c r="R57" i="23"/>
  <c r="Q57" i="23"/>
  <c r="O57" i="23"/>
  <c r="N57" i="23"/>
  <c r="K57" i="23"/>
  <c r="F57" i="23"/>
  <c r="S56" i="23"/>
  <c r="Q56" i="23"/>
  <c r="O56" i="23"/>
  <c r="R56" i="23" s="1"/>
  <c r="N56" i="23"/>
  <c r="K56" i="23"/>
  <c r="F56" i="23"/>
  <c r="S55" i="23"/>
  <c r="Q55" i="23"/>
  <c r="O55" i="23"/>
  <c r="R55" i="23" s="1"/>
  <c r="N55" i="23"/>
  <c r="K55" i="23"/>
  <c r="F55" i="23"/>
  <c r="S54" i="23"/>
  <c r="Q54" i="23"/>
  <c r="O54" i="23"/>
  <c r="R54" i="23" s="1"/>
  <c r="N54" i="23"/>
  <c r="K54" i="23"/>
  <c r="F54" i="23"/>
  <c r="S53" i="23"/>
  <c r="Q53" i="23"/>
  <c r="O53" i="23"/>
  <c r="R53" i="23" s="1"/>
  <c r="N53" i="23"/>
  <c r="K53" i="23"/>
  <c r="F53" i="23"/>
  <c r="S52" i="23"/>
  <c r="Q52" i="23"/>
  <c r="O52" i="23"/>
  <c r="R52" i="23" s="1"/>
  <c r="K52" i="23"/>
  <c r="N52" i="23" s="1"/>
  <c r="F52" i="23"/>
  <c r="S51" i="23"/>
  <c r="Q51" i="23"/>
  <c r="O51" i="23"/>
  <c r="R51" i="23" s="1"/>
  <c r="N51" i="23"/>
  <c r="K51" i="23"/>
  <c r="F51" i="23"/>
  <c r="S50" i="23"/>
  <c r="Q50" i="23"/>
  <c r="O50" i="23"/>
  <c r="R50" i="23" s="1"/>
  <c r="K50" i="23"/>
  <c r="N50" i="23" s="1"/>
  <c r="F50" i="23"/>
  <c r="S49" i="23"/>
  <c r="R49" i="23"/>
  <c r="Q49" i="23"/>
  <c r="O49" i="23"/>
  <c r="N49" i="23"/>
  <c r="K49" i="23"/>
  <c r="F49" i="23"/>
  <c r="S48" i="23"/>
  <c r="Q48" i="23"/>
  <c r="O48" i="23"/>
  <c r="R48" i="23" s="1"/>
  <c r="N48" i="23"/>
  <c r="K48" i="23"/>
  <c r="F48" i="23"/>
  <c r="S47" i="23"/>
  <c r="Q47" i="23"/>
  <c r="O47" i="23"/>
  <c r="R47" i="23" s="1"/>
  <c r="N47" i="23"/>
  <c r="K47" i="23"/>
  <c r="F47" i="23"/>
  <c r="S46" i="23"/>
  <c r="Q46" i="23"/>
  <c r="O46" i="23"/>
  <c r="R46" i="23" s="1"/>
  <c r="N46" i="23"/>
  <c r="K46" i="23"/>
  <c r="F46" i="23"/>
  <c r="S45" i="23"/>
  <c r="R45" i="23"/>
  <c r="Q45" i="23"/>
  <c r="O45" i="23"/>
  <c r="N45" i="23"/>
  <c r="K45" i="23"/>
  <c r="F45" i="23"/>
  <c r="S44" i="23"/>
  <c r="R44" i="23"/>
  <c r="Q44" i="23"/>
  <c r="O44" i="23"/>
  <c r="M44" i="23"/>
  <c r="K44" i="23"/>
  <c r="F44" i="23"/>
  <c r="S43" i="23"/>
  <c r="Q43" i="23"/>
  <c r="O43" i="23"/>
  <c r="R43" i="23" s="1"/>
  <c r="N43" i="23"/>
  <c r="K43" i="23"/>
  <c r="F43" i="23"/>
  <c r="S42" i="23"/>
  <c r="Q42" i="23"/>
  <c r="O42" i="23"/>
  <c r="R42" i="23" s="1"/>
  <c r="M42" i="23"/>
  <c r="N42" i="23"/>
  <c r="K42" i="23"/>
  <c r="F42" i="23"/>
  <c r="S41" i="23"/>
  <c r="Q41" i="23"/>
  <c r="O41" i="23"/>
  <c r="R41" i="23" s="1"/>
  <c r="N41" i="23"/>
  <c r="K41" i="23"/>
  <c r="F41" i="23"/>
  <c r="S40" i="23"/>
  <c r="R40" i="23"/>
  <c r="Q40" i="23"/>
  <c r="O40" i="23"/>
  <c r="N40" i="23"/>
  <c r="K40" i="23"/>
  <c r="F40" i="23"/>
  <c r="S39" i="23"/>
  <c r="Q39" i="23"/>
  <c r="O39" i="23"/>
  <c r="R39" i="23" s="1"/>
  <c r="N39" i="23"/>
  <c r="K39" i="23"/>
  <c r="F39" i="23"/>
  <c r="S38" i="23"/>
  <c r="R38" i="23"/>
  <c r="Q38" i="23"/>
  <c r="O38" i="23"/>
  <c r="N38" i="23"/>
  <c r="K38" i="23"/>
  <c r="F38" i="23"/>
  <c r="S37" i="23"/>
  <c r="Q37" i="23"/>
  <c r="O37" i="23"/>
  <c r="R37" i="23" s="1"/>
  <c r="N37" i="23"/>
  <c r="K37" i="23"/>
  <c r="F37" i="23"/>
  <c r="S36" i="23"/>
  <c r="Q36" i="23"/>
  <c r="O36" i="23"/>
  <c r="R36" i="23" s="1"/>
  <c r="N36" i="23"/>
  <c r="K36" i="23"/>
  <c r="F36" i="23"/>
  <c r="S35" i="23"/>
  <c r="Q35" i="23"/>
  <c r="O35" i="23"/>
  <c r="R35" i="23" s="1"/>
  <c r="N35" i="23"/>
  <c r="K35" i="23"/>
  <c r="F35" i="23"/>
  <c r="S34" i="23"/>
  <c r="Q34" i="23"/>
  <c r="O34" i="23"/>
  <c r="R34" i="23" s="1"/>
  <c r="N34" i="23"/>
  <c r="K34" i="23"/>
  <c r="F34" i="23"/>
  <c r="S33" i="23"/>
  <c r="Q33" i="23"/>
  <c r="O33" i="23"/>
  <c r="R33" i="23" s="1"/>
  <c r="N33" i="23"/>
  <c r="K33" i="23"/>
  <c r="F33" i="23"/>
  <c r="S32" i="23"/>
  <c r="Q32" i="23"/>
  <c r="O32" i="23"/>
  <c r="R32" i="23" s="1"/>
  <c r="K32" i="23"/>
  <c r="F32" i="23"/>
  <c r="S31" i="23"/>
  <c r="Q31" i="23"/>
  <c r="O31" i="23"/>
  <c r="R31" i="23" s="1"/>
  <c r="M31" i="23"/>
  <c r="N31" i="23"/>
  <c r="K31" i="23"/>
  <c r="F31" i="23"/>
  <c r="S30" i="23"/>
  <c r="Q30" i="23"/>
  <c r="O30" i="23"/>
  <c r="R30" i="23" s="1"/>
  <c r="M30" i="23"/>
  <c r="K30" i="23"/>
  <c r="F30" i="23"/>
  <c r="S29" i="23"/>
  <c r="Q29" i="23"/>
  <c r="O29" i="23"/>
  <c r="R29" i="23" s="1"/>
  <c r="N29" i="23"/>
  <c r="K29" i="23"/>
  <c r="F29" i="23"/>
  <c r="S28" i="23"/>
  <c r="Q28" i="23"/>
  <c r="O28" i="23"/>
  <c r="R28" i="23" s="1"/>
  <c r="N28" i="23"/>
  <c r="K28" i="23"/>
  <c r="F28" i="23"/>
  <c r="S27" i="23"/>
  <c r="R27" i="23"/>
  <c r="Q27" i="23"/>
  <c r="O27" i="23"/>
  <c r="M27" i="23"/>
  <c r="K27" i="23"/>
  <c r="F27" i="23"/>
  <c r="S26" i="23"/>
  <c r="R26" i="23"/>
  <c r="Q26" i="23"/>
  <c r="O26" i="23"/>
  <c r="N26" i="23"/>
  <c r="K26" i="23"/>
  <c r="F26" i="23"/>
  <c r="S25" i="23"/>
  <c r="Q25" i="23"/>
  <c r="O25" i="23"/>
  <c r="R25" i="23" s="1"/>
  <c r="M25" i="23"/>
  <c r="K25" i="23"/>
  <c r="F25" i="23"/>
  <c r="S24" i="23"/>
  <c r="Q24" i="23"/>
  <c r="O24" i="23"/>
  <c r="R24" i="23" s="1"/>
  <c r="N24" i="23"/>
  <c r="K24" i="23"/>
  <c r="F24" i="23"/>
  <c r="S23" i="23"/>
  <c r="Q23" i="23"/>
  <c r="O23" i="23"/>
  <c r="R23" i="23" s="1"/>
  <c r="M23" i="23"/>
  <c r="K23" i="23"/>
  <c r="F23" i="23"/>
  <c r="S22" i="23"/>
  <c r="Q22" i="23"/>
  <c r="O22" i="23"/>
  <c r="R22" i="23" s="1"/>
  <c r="N22" i="23"/>
  <c r="K22" i="23"/>
  <c r="F22" i="23"/>
  <c r="S21" i="23"/>
  <c r="Q21" i="23"/>
  <c r="O21" i="23"/>
  <c r="R21" i="23" s="1"/>
  <c r="M21" i="23"/>
  <c r="K21" i="23"/>
  <c r="F21" i="23"/>
  <c r="S20" i="23"/>
  <c r="Q20" i="23"/>
  <c r="O20" i="23"/>
  <c r="R20" i="23" s="1"/>
  <c r="N20" i="23"/>
  <c r="K20" i="23"/>
  <c r="F20" i="23"/>
  <c r="S19" i="23"/>
  <c r="Q19" i="23"/>
  <c r="O19" i="23"/>
  <c r="R19" i="23" s="1"/>
  <c r="N19" i="23"/>
  <c r="K19" i="23"/>
  <c r="F19" i="23"/>
  <c r="S18" i="23"/>
  <c r="Q18" i="23"/>
  <c r="O18" i="23"/>
  <c r="R18" i="23" s="1"/>
  <c r="N18" i="23"/>
  <c r="K18" i="23"/>
  <c r="F18" i="23"/>
  <c r="S17" i="23"/>
  <c r="Q17" i="23"/>
  <c r="O17" i="23"/>
  <c r="R17" i="23" s="1"/>
  <c r="M17" i="23"/>
  <c r="K17" i="23"/>
  <c r="F17" i="23"/>
  <c r="S16" i="23"/>
  <c r="Q16" i="23"/>
  <c r="O16" i="23"/>
  <c r="R16" i="23" s="1"/>
  <c r="N16" i="23"/>
  <c r="K16" i="23"/>
  <c r="F16" i="23"/>
  <c r="S15" i="23"/>
  <c r="R15" i="23"/>
  <c r="Q15" i="23"/>
  <c r="O15" i="23"/>
  <c r="N15" i="23"/>
  <c r="K15" i="23"/>
  <c r="F15" i="23"/>
  <c r="S14" i="23"/>
  <c r="Q14" i="23"/>
  <c r="O14" i="23"/>
  <c r="R14" i="23" s="1"/>
  <c r="N14" i="23"/>
  <c r="K14" i="23"/>
  <c r="F14" i="23"/>
  <c r="S13" i="23"/>
  <c r="Q13" i="23"/>
  <c r="O13" i="23"/>
  <c r="R13" i="23" s="1"/>
  <c r="N13" i="23"/>
  <c r="K13" i="23"/>
  <c r="F13" i="23"/>
  <c r="S12" i="23"/>
  <c r="R12" i="23"/>
  <c r="Q12" i="23"/>
  <c r="O12" i="23"/>
  <c r="N12" i="23"/>
  <c r="K12" i="23"/>
  <c r="F12" i="23"/>
  <c r="S11" i="23"/>
  <c r="Q11" i="23"/>
  <c r="O11" i="23"/>
  <c r="R11" i="23" s="1"/>
  <c r="N11" i="23"/>
  <c r="K11" i="23"/>
  <c r="F11" i="23"/>
  <c r="S10" i="23"/>
  <c r="R10" i="23"/>
  <c r="Q10" i="23"/>
  <c r="O10" i="23"/>
  <c r="M10" i="23"/>
  <c r="K10" i="23"/>
  <c r="F10" i="23"/>
  <c r="S9" i="23"/>
  <c r="Q9" i="23"/>
  <c r="O9" i="23"/>
  <c r="R9" i="23" s="1"/>
  <c r="N9" i="23"/>
  <c r="K9" i="23"/>
  <c r="F9" i="23"/>
  <c r="S8" i="23"/>
  <c r="Q8" i="23"/>
  <c r="O8" i="23"/>
  <c r="R8" i="23" s="1"/>
  <c r="N8" i="23"/>
  <c r="K8" i="23"/>
  <c r="F8" i="23"/>
  <c r="S7" i="23"/>
  <c r="Q7" i="23"/>
  <c r="O7" i="23"/>
  <c r="R7" i="23" s="1"/>
  <c r="N7" i="23"/>
  <c r="K7" i="23"/>
  <c r="F7" i="23"/>
  <c r="S6" i="23"/>
  <c r="Q6" i="23"/>
  <c r="O6" i="23"/>
  <c r="R6" i="23" s="1"/>
  <c r="N6" i="23"/>
  <c r="K6" i="23"/>
  <c r="F6" i="23"/>
  <c r="J139" i="22"/>
  <c r="J133" i="22"/>
  <c r="J97" i="22"/>
  <c r="J96" i="22"/>
  <c r="S193" i="22"/>
  <c r="Q193" i="22"/>
  <c r="O193" i="22"/>
  <c r="R193" i="22" s="1"/>
  <c r="N193" i="22"/>
  <c r="K193" i="22"/>
  <c r="F193" i="22"/>
  <c r="S192" i="22"/>
  <c r="Q192" i="22"/>
  <c r="O192" i="22"/>
  <c r="R192" i="22" s="1"/>
  <c r="N192" i="22"/>
  <c r="K192" i="22"/>
  <c r="F192" i="22"/>
  <c r="S191" i="22"/>
  <c r="Q191" i="22"/>
  <c r="O191" i="22"/>
  <c r="R191" i="22" s="1"/>
  <c r="N191" i="22"/>
  <c r="K191" i="22"/>
  <c r="F191" i="22"/>
  <c r="S190" i="22"/>
  <c r="Q190" i="22"/>
  <c r="O190" i="22"/>
  <c r="R190" i="22" s="1"/>
  <c r="N190" i="22"/>
  <c r="K190" i="22"/>
  <c r="F190" i="22"/>
  <c r="S189" i="22"/>
  <c r="Q189" i="22"/>
  <c r="O189" i="22"/>
  <c r="R189" i="22" s="1"/>
  <c r="N189" i="22"/>
  <c r="K189" i="22"/>
  <c r="F189" i="22"/>
  <c r="S188" i="22"/>
  <c r="R188" i="22"/>
  <c r="Q188" i="22"/>
  <c r="O188" i="22"/>
  <c r="N188" i="22"/>
  <c r="K188" i="22"/>
  <c r="F188" i="22"/>
  <c r="S187" i="22"/>
  <c r="Q187" i="22"/>
  <c r="O187" i="22"/>
  <c r="R187" i="22" s="1"/>
  <c r="N187" i="22"/>
  <c r="K187" i="22"/>
  <c r="F187" i="22"/>
  <c r="S186" i="22"/>
  <c r="Q186" i="22"/>
  <c r="O186" i="22"/>
  <c r="R186" i="22" s="1"/>
  <c r="N186" i="22"/>
  <c r="K186" i="22"/>
  <c r="F186" i="22"/>
  <c r="S185" i="22"/>
  <c r="Q185" i="22"/>
  <c r="O185" i="22"/>
  <c r="R185" i="22" s="1"/>
  <c r="K185" i="22"/>
  <c r="F185" i="22"/>
  <c r="S184" i="22"/>
  <c r="R184" i="22"/>
  <c r="Q184" i="22"/>
  <c r="O184" i="22"/>
  <c r="N184" i="22"/>
  <c r="K184" i="22"/>
  <c r="F184" i="22"/>
  <c r="S183" i="22"/>
  <c r="Q183" i="22"/>
  <c r="O183" i="22"/>
  <c r="R183" i="22" s="1"/>
  <c r="N183" i="22"/>
  <c r="K183" i="22"/>
  <c r="F183" i="22"/>
  <c r="S182" i="22"/>
  <c r="Q182" i="22"/>
  <c r="O182" i="22"/>
  <c r="R182" i="22" s="1"/>
  <c r="M182" i="22"/>
  <c r="K182" i="22"/>
  <c r="F182" i="22"/>
  <c r="S181" i="22"/>
  <c r="R181" i="22"/>
  <c r="Q181" i="22"/>
  <c r="O181" i="22"/>
  <c r="M181" i="22"/>
  <c r="K181" i="22"/>
  <c r="F181" i="22"/>
  <c r="S180" i="22"/>
  <c r="R180" i="22"/>
  <c r="Q180" i="22"/>
  <c r="O180" i="22"/>
  <c r="N180" i="22"/>
  <c r="K180" i="22"/>
  <c r="F180" i="22"/>
  <c r="S179" i="22"/>
  <c r="Q179" i="22"/>
  <c r="O179" i="22"/>
  <c r="R179" i="22" s="1"/>
  <c r="K179" i="22"/>
  <c r="F179" i="22"/>
  <c r="S178" i="22"/>
  <c r="Q178" i="22"/>
  <c r="O178" i="22"/>
  <c r="R178" i="22" s="1"/>
  <c r="N178" i="22"/>
  <c r="K178" i="22"/>
  <c r="F178" i="22"/>
  <c r="S177" i="22"/>
  <c r="R177" i="22"/>
  <c r="Q177" i="22"/>
  <c r="O177" i="22"/>
  <c r="M177" i="22"/>
  <c r="K177" i="22"/>
  <c r="F177" i="22"/>
  <c r="S176" i="22"/>
  <c r="Q176" i="22"/>
  <c r="O176" i="22"/>
  <c r="R176" i="22" s="1"/>
  <c r="N176" i="22"/>
  <c r="K176" i="22"/>
  <c r="F176" i="22"/>
  <c r="S175" i="22"/>
  <c r="Q175" i="22"/>
  <c r="O175" i="22"/>
  <c r="R175" i="22" s="1"/>
  <c r="N175" i="22"/>
  <c r="K175" i="22"/>
  <c r="F175" i="22"/>
  <c r="S174" i="22"/>
  <c r="Q174" i="22"/>
  <c r="O174" i="22"/>
  <c r="R174" i="22" s="1"/>
  <c r="M174" i="22"/>
  <c r="K174" i="22"/>
  <c r="F174" i="22"/>
  <c r="S173" i="22"/>
  <c r="Q173" i="22"/>
  <c r="O173" i="22"/>
  <c r="R173" i="22" s="1"/>
  <c r="N173" i="22"/>
  <c r="K173" i="22"/>
  <c r="F173" i="22"/>
  <c r="S172" i="22"/>
  <c r="R172" i="22"/>
  <c r="Q172" i="22"/>
  <c r="O172" i="22"/>
  <c r="K172" i="22"/>
  <c r="F172" i="22"/>
  <c r="S171" i="22"/>
  <c r="Q171" i="22"/>
  <c r="O171" i="22"/>
  <c r="R171" i="22" s="1"/>
  <c r="N171" i="22"/>
  <c r="K171" i="22"/>
  <c r="F171" i="22"/>
  <c r="S170" i="22"/>
  <c r="R170" i="22"/>
  <c r="Q170" i="22"/>
  <c r="O170" i="22"/>
  <c r="N170" i="22"/>
  <c r="K170" i="22"/>
  <c r="F170" i="22"/>
  <c r="S169" i="22"/>
  <c r="R169" i="22"/>
  <c r="Q169" i="22"/>
  <c r="O169" i="22"/>
  <c r="M169" i="22"/>
  <c r="K169" i="22"/>
  <c r="F169" i="22"/>
  <c r="S168" i="22"/>
  <c r="R168" i="22"/>
  <c r="Q168" i="22"/>
  <c r="O168" i="22"/>
  <c r="K168" i="22"/>
  <c r="F168" i="22"/>
  <c r="S167" i="22"/>
  <c r="Q167" i="22"/>
  <c r="O167" i="22"/>
  <c r="R167" i="22" s="1"/>
  <c r="N167" i="22"/>
  <c r="K167" i="22"/>
  <c r="F167" i="22"/>
  <c r="S166" i="22"/>
  <c r="R166" i="22"/>
  <c r="Q166" i="22"/>
  <c r="O166" i="22"/>
  <c r="M166" i="22"/>
  <c r="K166" i="22"/>
  <c r="F166" i="22"/>
  <c r="S165" i="22"/>
  <c r="Q165" i="22"/>
  <c r="O165" i="22"/>
  <c r="R165" i="22" s="1"/>
  <c r="N165" i="22"/>
  <c r="K165" i="22"/>
  <c r="F165" i="22"/>
  <c r="S164" i="22"/>
  <c r="R164" i="22"/>
  <c r="Q164" i="22"/>
  <c r="O164" i="22"/>
  <c r="N164" i="22"/>
  <c r="K164" i="22"/>
  <c r="F164" i="22"/>
  <c r="S163" i="22"/>
  <c r="Q163" i="22"/>
  <c r="O163" i="22"/>
  <c r="R163" i="22" s="1"/>
  <c r="N163" i="22"/>
  <c r="K163" i="22"/>
  <c r="F163" i="22"/>
  <c r="S162" i="22"/>
  <c r="Q162" i="22"/>
  <c r="O162" i="22"/>
  <c r="R162" i="22" s="1"/>
  <c r="M162" i="22"/>
  <c r="K162" i="22"/>
  <c r="F162" i="22"/>
  <c r="S161" i="22"/>
  <c r="Q161" i="22"/>
  <c r="O161" i="22"/>
  <c r="R161" i="22" s="1"/>
  <c r="N161" i="22"/>
  <c r="K161" i="22"/>
  <c r="F161" i="22"/>
  <c r="S160" i="22"/>
  <c r="Q160" i="22"/>
  <c r="O160" i="22"/>
  <c r="R160" i="22" s="1"/>
  <c r="M160" i="22"/>
  <c r="N160" i="22"/>
  <c r="K160" i="22"/>
  <c r="F160" i="22"/>
  <c r="S159" i="22"/>
  <c r="R159" i="22"/>
  <c r="Q159" i="22"/>
  <c r="O159" i="22"/>
  <c r="K159" i="22"/>
  <c r="F159" i="22"/>
  <c r="S158" i="22"/>
  <c r="Q158" i="22"/>
  <c r="O158" i="22"/>
  <c r="R158" i="22" s="1"/>
  <c r="N158" i="22"/>
  <c r="K158" i="22"/>
  <c r="F158" i="22"/>
  <c r="S157" i="22"/>
  <c r="R157" i="22"/>
  <c r="Q157" i="22"/>
  <c r="O157" i="22"/>
  <c r="N157" i="22"/>
  <c r="K157" i="22"/>
  <c r="F157" i="22"/>
  <c r="S156" i="22"/>
  <c r="Q156" i="22"/>
  <c r="O156" i="22"/>
  <c r="R156" i="22" s="1"/>
  <c r="K156" i="22"/>
  <c r="F156" i="22"/>
  <c r="S155" i="22"/>
  <c r="R155" i="22"/>
  <c r="Q155" i="22"/>
  <c r="O155" i="22"/>
  <c r="N155" i="22"/>
  <c r="K155" i="22"/>
  <c r="F155" i="22"/>
  <c r="S154" i="22"/>
  <c r="Q154" i="22"/>
  <c r="O154" i="22"/>
  <c r="R154" i="22" s="1"/>
  <c r="K154" i="22"/>
  <c r="N154" i="22" s="1"/>
  <c r="F154" i="22"/>
  <c r="S153" i="22"/>
  <c r="Q153" i="22"/>
  <c r="O153" i="22"/>
  <c r="R153" i="22" s="1"/>
  <c r="N153" i="22"/>
  <c r="K153" i="22"/>
  <c r="F153" i="22"/>
  <c r="S152" i="22"/>
  <c r="Q152" i="22"/>
  <c r="O152" i="22"/>
  <c r="R152" i="22" s="1"/>
  <c r="N152" i="22"/>
  <c r="K152" i="22"/>
  <c r="F152" i="22"/>
  <c r="S151" i="22"/>
  <c r="Q151" i="22"/>
  <c r="O151" i="22"/>
  <c r="R151" i="22" s="1"/>
  <c r="N151" i="22"/>
  <c r="K151" i="22"/>
  <c r="F151" i="22"/>
  <c r="S150" i="22"/>
  <c r="Q150" i="22"/>
  <c r="O150" i="22"/>
  <c r="R150" i="22" s="1"/>
  <c r="N150" i="22"/>
  <c r="K150" i="22"/>
  <c r="F150" i="22"/>
  <c r="S149" i="22"/>
  <c r="Q149" i="22"/>
  <c r="O149" i="22"/>
  <c r="R149" i="22" s="1"/>
  <c r="M149" i="22"/>
  <c r="K149" i="22"/>
  <c r="F149" i="22"/>
  <c r="S148" i="22"/>
  <c r="Q148" i="22"/>
  <c r="O148" i="22"/>
  <c r="R148" i="22" s="1"/>
  <c r="N148" i="22"/>
  <c r="K148" i="22"/>
  <c r="F148" i="22"/>
  <c r="S147" i="22"/>
  <c r="Q147" i="22"/>
  <c r="O147" i="22"/>
  <c r="R147" i="22" s="1"/>
  <c r="N147" i="22"/>
  <c r="K147" i="22"/>
  <c r="F147" i="22"/>
  <c r="S146" i="22"/>
  <c r="R146" i="22"/>
  <c r="Q146" i="22"/>
  <c r="O146" i="22"/>
  <c r="M146" i="22"/>
  <c r="K146" i="22"/>
  <c r="F146" i="22"/>
  <c r="S145" i="22"/>
  <c r="Q145" i="22"/>
  <c r="O145" i="22"/>
  <c r="R145" i="22" s="1"/>
  <c r="N145" i="22"/>
  <c r="K145" i="22"/>
  <c r="F145" i="22"/>
  <c r="S144" i="22"/>
  <c r="R144" i="22"/>
  <c r="Q144" i="22"/>
  <c r="O144" i="22"/>
  <c r="K144" i="22"/>
  <c r="F144" i="22"/>
  <c r="S143" i="22"/>
  <c r="R143" i="22"/>
  <c r="Q143" i="22"/>
  <c r="O143" i="22"/>
  <c r="N143" i="22"/>
  <c r="K143" i="22"/>
  <c r="F143" i="22"/>
  <c r="S142" i="22"/>
  <c r="Q142" i="22"/>
  <c r="O142" i="22"/>
  <c r="R142" i="22" s="1"/>
  <c r="N142" i="22"/>
  <c r="K142" i="22"/>
  <c r="F142" i="22"/>
  <c r="S141" i="22"/>
  <c r="Q141" i="22"/>
  <c r="O141" i="22"/>
  <c r="R141" i="22" s="1"/>
  <c r="N141" i="22"/>
  <c r="K141" i="22"/>
  <c r="F141" i="22"/>
  <c r="S140" i="22"/>
  <c r="Q140" i="22"/>
  <c r="O140" i="22"/>
  <c r="R140" i="22" s="1"/>
  <c r="N140" i="22"/>
  <c r="K140" i="22"/>
  <c r="F140" i="22"/>
  <c r="S139" i="22"/>
  <c r="Q139" i="22"/>
  <c r="O139" i="22"/>
  <c r="R139" i="22" s="1"/>
  <c r="K139" i="22"/>
  <c r="F139" i="22"/>
  <c r="S138" i="22"/>
  <c r="Q138" i="22"/>
  <c r="O138" i="22"/>
  <c r="R138" i="22" s="1"/>
  <c r="K138" i="22"/>
  <c r="F138" i="22"/>
  <c r="S137" i="22"/>
  <c r="Q137" i="22"/>
  <c r="O137" i="22"/>
  <c r="R137" i="22" s="1"/>
  <c r="M137" i="22"/>
  <c r="K137" i="22"/>
  <c r="F137" i="22"/>
  <c r="S136" i="22"/>
  <c r="R136" i="22"/>
  <c r="Q136" i="22"/>
  <c r="O136" i="22"/>
  <c r="M136" i="22"/>
  <c r="K136" i="22"/>
  <c r="N136" i="22" s="1"/>
  <c r="F136" i="22"/>
  <c r="S135" i="22"/>
  <c r="R135" i="22"/>
  <c r="Q135" i="22"/>
  <c r="O135" i="22"/>
  <c r="K135" i="22"/>
  <c r="F135" i="22"/>
  <c r="S134" i="22"/>
  <c r="R134" i="22"/>
  <c r="Q134" i="22"/>
  <c r="O134" i="22"/>
  <c r="N134" i="22"/>
  <c r="K134" i="22"/>
  <c r="F134" i="22"/>
  <c r="S133" i="22"/>
  <c r="Q133" i="22"/>
  <c r="O133" i="22"/>
  <c r="R133" i="22" s="1"/>
  <c r="M133" i="22"/>
  <c r="K133" i="22"/>
  <c r="F133" i="22"/>
  <c r="S132" i="22"/>
  <c r="Q132" i="22"/>
  <c r="O132" i="22"/>
  <c r="R132" i="22" s="1"/>
  <c r="M132" i="22"/>
  <c r="K132" i="22"/>
  <c r="F132" i="22"/>
  <c r="S131" i="22"/>
  <c r="R131" i="22"/>
  <c r="Q131" i="22"/>
  <c r="O131" i="22"/>
  <c r="M131" i="22"/>
  <c r="K131" i="22"/>
  <c r="F131" i="22"/>
  <c r="S130" i="22"/>
  <c r="Q130" i="22"/>
  <c r="O130" i="22"/>
  <c r="R130" i="22" s="1"/>
  <c r="N130" i="22"/>
  <c r="K130" i="22"/>
  <c r="F130" i="22"/>
  <c r="S129" i="22"/>
  <c r="Q129" i="22"/>
  <c r="O129" i="22"/>
  <c r="R129" i="22" s="1"/>
  <c r="K129" i="22"/>
  <c r="F129" i="22"/>
  <c r="S128" i="22"/>
  <c r="Q128" i="22"/>
  <c r="O128" i="22"/>
  <c r="R128" i="22" s="1"/>
  <c r="K128" i="22"/>
  <c r="F128" i="22"/>
  <c r="S127" i="22"/>
  <c r="R127" i="22"/>
  <c r="Q127" i="22"/>
  <c r="O127" i="22"/>
  <c r="M127" i="22"/>
  <c r="K127" i="22"/>
  <c r="F127" i="22"/>
  <c r="S126" i="22"/>
  <c r="R126" i="22"/>
  <c r="Q126" i="22"/>
  <c r="O126" i="22"/>
  <c r="K126" i="22"/>
  <c r="F126" i="22"/>
  <c r="S125" i="22"/>
  <c r="Q125" i="22"/>
  <c r="O125" i="22"/>
  <c r="R125" i="22" s="1"/>
  <c r="N125" i="22"/>
  <c r="K125" i="22"/>
  <c r="F125" i="22"/>
  <c r="S124" i="22"/>
  <c r="Q124" i="22"/>
  <c r="O124" i="22"/>
  <c r="R124" i="22" s="1"/>
  <c r="M124" i="22"/>
  <c r="K124" i="22"/>
  <c r="F124" i="22"/>
  <c r="S123" i="22"/>
  <c r="Q123" i="22"/>
  <c r="O123" i="22"/>
  <c r="R123" i="22" s="1"/>
  <c r="M123" i="22"/>
  <c r="K123" i="22"/>
  <c r="F123" i="22"/>
  <c r="S122" i="22"/>
  <c r="R122" i="22"/>
  <c r="Q122" i="22"/>
  <c r="O122" i="22"/>
  <c r="N122" i="22"/>
  <c r="K122" i="22"/>
  <c r="F122" i="22"/>
  <c r="S121" i="22"/>
  <c r="Q121" i="22"/>
  <c r="O121" i="22"/>
  <c r="R121" i="22" s="1"/>
  <c r="N121" i="22"/>
  <c r="K121" i="22"/>
  <c r="F121" i="22"/>
  <c r="S120" i="22"/>
  <c r="Q120" i="22"/>
  <c r="O120" i="22"/>
  <c r="R120" i="22" s="1"/>
  <c r="N120" i="22"/>
  <c r="K120" i="22"/>
  <c r="F120" i="22"/>
  <c r="S119" i="22"/>
  <c r="R119" i="22"/>
  <c r="Q119" i="22"/>
  <c r="O119" i="22"/>
  <c r="N119" i="22"/>
  <c r="K119" i="22"/>
  <c r="F119" i="22"/>
  <c r="S118" i="22"/>
  <c r="Q118" i="22"/>
  <c r="O118" i="22"/>
  <c r="R118" i="22" s="1"/>
  <c r="N118" i="22"/>
  <c r="K118" i="22"/>
  <c r="F118" i="22"/>
  <c r="S117" i="22"/>
  <c r="Q117" i="22"/>
  <c r="O117" i="22"/>
  <c r="R117" i="22" s="1"/>
  <c r="N117" i="22"/>
  <c r="K117" i="22"/>
  <c r="F117" i="22"/>
  <c r="S116" i="22"/>
  <c r="Q116" i="22"/>
  <c r="O116" i="22"/>
  <c r="R116" i="22" s="1"/>
  <c r="N116" i="22"/>
  <c r="K116" i="22"/>
  <c r="F116" i="22"/>
  <c r="S115" i="22"/>
  <c r="Q115" i="22"/>
  <c r="O115" i="22"/>
  <c r="R115" i="22" s="1"/>
  <c r="N115" i="22"/>
  <c r="K115" i="22"/>
  <c r="F115" i="22"/>
  <c r="S114" i="22"/>
  <c r="Q114" i="22"/>
  <c r="O114" i="22"/>
  <c r="R114" i="22" s="1"/>
  <c r="N114" i="22"/>
  <c r="K114" i="22"/>
  <c r="F114" i="22"/>
  <c r="S113" i="22"/>
  <c r="R113" i="22"/>
  <c r="Q113" i="22"/>
  <c r="O113" i="22"/>
  <c r="N113" i="22"/>
  <c r="K113" i="22"/>
  <c r="F113" i="22"/>
  <c r="S112" i="22"/>
  <c r="Q112" i="22"/>
  <c r="O112" i="22"/>
  <c r="R112" i="22" s="1"/>
  <c r="N112" i="22"/>
  <c r="K112" i="22"/>
  <c r="F112" i="22"/>
  <c r="S111" i="22"/>
  <c r="Q111" i="22"/>
  <c r="O111" i="22"/>
  <c r="R111" i="22" s="1"/>
  <c r="N111" i="22"/>
  <c r="K111" i="22"/>
  <c r="F111" i="22"/>
  <c r="S110" i="22"/>
  <c r="Q110" i="22"/>
  <c r="O110" i="22"/>
  <c r="R110" i="22" s="1"/>
  <c r="N110" i="22"/>
  <c r="K110" i="22"/>
  <c r="F110" i="22"/>
  <c r="S109" i="22"/>
  <c r="Q109" i="22"/>
  <c r="O109" i="22"/>
  <c r="R109" i="22" s="1"/>
  <c r="N109" i="22"/>
  <c r="K109" i="22"/>
  <c r="F109" i="22"/>
  <c r="S108" i="22"/>
  <c r="Q108" i="22"/>
  <c r="O108" i="22"/>
  <c r="R108" i="22" s="1"/>
  <c r="N108" i="22"/>
  <c r="K108" i="22"/>
  <c r="F108" i="22"/>
  <c r="S107" i="22"/>
  <c r="R107" i="22"/>
  <c r="Q107" i="22"/>
  <c r="O107" i="22"/>
  <c r="N107" i="22"/>
  <c r="K107" i="22"/>
  <c r="F107" i="22"/>
  <c r="S106" i="22"/>
  <c r="Q106" i="22"/>
  <c r="O106" i="22"/>
  <c r="R106" i="22" s="1"/>
  <c r="N106" i="22"/>
  <c r="K106" i="22"/>
  <c r="F106" i="22"/>
  <c r="S105" i="22"/>
  <c r="Q105" i="22"/>
  <c r="O105" i="22"/>
  <c r="R105" i="22" s="1"/>
  <c r="M105" i="22"/>
  <c r="K105" i="22"/>
  <c r="F105" i="22"/>
  <c r="S104" i="22"/>
  <c r="Q104" i="22"/>
  <c r="O104" i="22"/>
  <c r="R104" i="22" s="1"/>
  <c r="N104" i="22"/>
  <c r="K104" i="22"/>
  <c r="F104" i="22"/>
  <c r="S103" i="22"/>
  <c r="Q103" i="22"/>
  <c r="O103" i="22"/>
  <c r="R103" i="22" s="1"/>
  <c r="N103" i="22"/>
  <c r="K103" i="22"/>
  <c r="F103" i="22"/>
  <c r="S102" i="22"/>
  <c r="Q102" i="22"/>
  <c r="O102" i="22"/>
  <c r="R102" i="22" s="1"/>
  <c r="N102" i="22"/>
  <c r="K102" i="22"/>
  <c r="F102" i="22"/>
  <c r="S101" i="22"/>
  <c r="Q101" i="22"/>
  <c r="O101" i="22"/>
  <c r="R101" i="22" s="1"/>
  <c r="M101" i="22"/>
  <c r="K101" i="22"/>
  <c r="F101" i="22"/>
  <c r="S100" i="22"/>
  <c r="R100" i="22"/>
  <c r="Q100" i="22"/>
  <c r="O100" i="22"/>
  <c r="N100" i="22"/>
  <c r="K100" i="22"/>
  <c r="F100" i="22"/>
  <c r="S99" i="22"/>
  <c r="Q99" i="22"/>
  <c r="O99" i="22"/>
  <c r="R99" i="22" s="1"/>
  <c r="N99" i="22"/>
  <c r="K99" i="22"/>
  <c r="F99" i="22"/>
  <c r="S98" i="22"/>
  <c r="Q98" i="22"/>
  <c r="O98" i="22"/>
  <c r="R98" i="22" s="1"/>
  <c r="N98" i="22"/>
  <c r="K98" i="22"/>
  <c r="F98" i="22"/>
  <c r="S97" i="22"/>
  <c r="R97" i="22"/>
  <c r="Q97" i="22"/>
  <c r="O97" i="22"/>
  <c r="M97" i="22"/>
  <c r="K97" i="22"/>
  <c r="F97" i="22"/>
  <c r="S96" i="22"/>
  <c r="R96" i="22"/>
  <c r="Q96" i="22"/>
  <c r="O96" i="22"/>
  <c r="M96" i="22"/>
  <c r="K96" i="22"/>
  <c r="F96" i="22"/>
  <c r="S95" i="22"/>
  <c r="Q95" i="22"/>
  <c r="O95" i="22"/>
  <c r="R95" i="22" s="1"/>
  <c r="N95" i="22"/>
  <c r="K95" i="22"/>
  <c r="F95" i="22"/>
  <c r="S94" i="22"/>
  <c r="Q94" i="22"/>
  <c r="O94" i="22"/>
  <c r="R94" i="22" s="1"/>
  <c r="N94" i="22"/>
  <c r="K94" i="22"/>
  <c r="F94" i="22"/>
  <c r="S93" i="22"/>
  <c r="Q93" i="22"/>
  <c r="O93" i="22"/>
  <c r="R93" i="22" s="1"/>
  <c r="N93" i="22"/>
  <c r="K93" i="22"/>
  <c r="F93" i="22"/>
  <c r="S92" i="22"/>
  <c r="R92" i="22"/>
  <c r="Q92" i="22"/>
  <c r="O92" i="22"/>
  <c r="N92" i="22"/>
  <c r="K92" i="22"/>
  <c r="F92" i="22"/>
  <c r="S91" i="22"/>
  <c r="Q91" i="22"/>
  <c r="O91" i="22"/>
  <c r="R91" i="22" s="1"/>
  <c r="N91" i="22"/>
  <c r="K91" i="22"/>
  <c r="F91" i="22"/>
  <c r="S90" i="22"/>
  <c r="Q90" i="22"/>
  <c r="O90" i="22"/>
  <c r="R90" i="22" s="1"/>
  <c r="N90" i="22"/>
  <c r="K90" i="22"/>
  <c r="F90" i="22"/>
  <c r="S89" i="22"/>
  <c r="Q89" i="22"/>
  <c r="O89" i="22"/>
  <c r="R89" i="22" s="1"/>
  <c r="M89" i="22"/>
  <c r="K89" i="22"/>
  <c r="F89" i="22"/>
  <c r="S88" i="22"/>
  <c r="Q88" i="22"/>
  <c r="O88" i="22"/>
  <c r="R88" i="22" s="1"/>
  <c r="M88" i="22"/>
  <c r="K88" i="22"/>
  <c r="F88" i="22"/>
  <c r="S87" i="22"/>
  <c r="R87" i="22"/>
  <c r="Q87" i="22"/>
  <c r="O87" i="22"/>
  <c r="N87" i="22"/>
  <c r="K87" i="22"/>
  <c r="F87" i="22"/>
  <c r="S86" i="22"/>
  <c r="R86" i="22"/>
  <c r="Q86" i="22"/>
  <c r="O86" i="22"/>
  <c r="N86" i="22"/>
  <c r="K86" i="22"/>
  <c r="F86" i="22"/>
  <c r="S85" i="22"/>
  <c r="Q85" i="22"/>
  <c r="O85" i="22"/>
  <c r="R85" i="22" s="1"/>
  <c r="N85" i="22"/>
  <c r="K85" i="22"/>
  <c r="F85" i="22"/>
  <c r="S84" i="22"/>
  <c r="R84" i="22"/>
  <c r="Q84" i="22"/>
  <c r="O84" i="22"/>
  <c r="N84" i="22"/>
  <c r="K84" i="22"/>
  <c r="F84" i="22"/>
  <c r="S83" i="22"/>
  <c r="Q83" i="22"/>
  <c r="O83" i="22"/>
  <c r="R83" i="22" s="1"/>
  <c r="N83" i="22"/>
  <c r="K83" i="22"/>
  <c r="F83" i="22"/>
  <c r="S82" i="22"/>
  <c r="Q82" i="22"/>
  <c r="O82" i="22"/>
  <c r="R82" i="22" s="1"/>
  <c r="M82" i="22"/>
  <c r="K82" i="22"/>
  <c r="F82" i="22"/>
  <c r="S81" i="22"/>
  <c r="Q81" i="22"/>
  <c r="O81" i="22"/>
  <c r="R81" i="22" s="1"/>
  <c r="K81" i="22"/>
  <c r="F81" i="22"/>
  <c r="S80" i="22"/>
  <c r="Q80" i="22"/>
  <c r="O80" i="22"/>
  <c r="R80" i="22" s="1"/>
  <c r="M80" i="22"/>
  <c r="K80" i="22"/>
  <c r="F80" i="22"/>
  <c r="S79" i="22"/>
  <c r="Q79" i="22"/>
  <c r="O79" i="22"/>
  <c r="R79" i="22" s="1"/>
  <c r="K79" i="22"/>
  <c r="F79" i="22"/>
  <c r="S78" i="22"/>
  <c r="Q78" i="22"/>
  <c r="O78" i="22"/>
  <c r="R78" i="22" s="1"/>
  <c r="M78" i="22"/>
  <c r="K78" i="22"/>
  <c r="F78" i="22"/>
  <c r="S77" i="22"/>
  <c r="Q77" i="22"/>
  <c r="O77" i="22"/>
  <c r="R77" i="22" s="1"/>
  <c r="N77" i="22"/>
  <c r="K77" i="22"/>
  <c r="F77" i="22"/>
  <c r="S76" i="22"/>
  <c r="Q76" i="22"/>
  <c r="O76" i="22"/>
  <c r="R76" i="22" s="1"/>
  <c r="N76" i="22"/>
  <c r="K76" i="22"/>
  <c r="F76" i="22"/>
  <c r="S75" i="22"/>
  <c r="Q75" i="22"/>
  <c r="O75" i="22"/>
  <c r="R75" i="22" s="1"/>
  <c r="N75" i="22"/>
  <c r="K75" i="22"/>
  <c r="F75" i="22"/>
  <c r="S74" i="22"/>
  <c r="Q74" i="22"/>
  <c r="O74" i="22"/>
  <c r="R74" i="22" s="1"/>
  <c r="M74" i="22"/>
  <c r="K74" i="22"/>
  <c r="F74" i="22"/>
  <c r="S73" i="22"/>
  <c r="Q73" i="22"/>
  <c r="O73" i="22"/>
  <c r="R73" i="22" s="1"/>
  <c r="K73" i="22"/>
  <c r="F73" i="22"/>
  <c r="S72" i="22"/>
  <c r="Q72" i="22"/>
  <c r="O72" i="22"/>
  <c r="R72" i="22" s="1"/>
  <c r="N72" i="22"/>
  <c r="K72" i="22"/>
  <c r="F72" i="22"/>
  <c r="S71" i="22"/>
  <c r="Q71" i="22"/>
  <c r="O71" i="22"/>
  <c r="R71" i="22" s="1"/>
  <c r="K71" i="22"/>
  <c r="F71" i="22"/>
  <c r="S70" i="22"/>
  <c r="Q70" i="22"/>
  <c r="O70" i="22"/>
  <c r="R70" i="22" s="1"/>
  <c r="M70" i="22"/>
  <c r="K70" i="22"/>
  <c r="F70" i="22"/>
  <c r="S69" i="22"/>
  <c r="Q69" i="22"/>
  <c r="O69" i="22"/>
  <c r="R69" i="22" s="1"/>
  <c r="N69" i="22"/>
  <c r="K69" i="22"/>
  <c r="F69" i="22"/>
  <c r="S68" i="22"/>
  <c r="R68" i="22"/>
  <c r="Q68" i="22"/>
  <c r="O68" i="22"/>
  <c r="N68" i="22"/>
  <c r="K68" i="22"/>
  <c r="F68" i="22"/>
  <c r="S67" i="22"/>
  <c r="R67" i="22"/>
  <c r="Q67" i="22"/>
  <c r="O67" i="22"/>
  <c r="M67" i="22"/>
  <c r="K67" i="22"/>
  <c r="F67" i="22"/>
  <c r="S66" i="22"/>
  <c r="R66" i="22"/>
  <c r="Q66" i="22"/>
  <c r="O66" i="22"/>
  <c r="N66" i="22"/>
  <c r="K66" i="22"/>
  <c r="F66" i="22"/>
  <c r="S65" i="22"/>
  <c r="Q65" i="22"/>
  <c r="O65" i="22"/>
  <c r="R65" i="22" s="1"/>
  <c r="N65" i="22"/>
  <c r="K65" i="22"/>
  <c r="F65" i="22"/>
  <c r="S64" i="22"/>
  <c r="Q64" i="22"/>
  <c r="O64" i="22"/>
  <c r="R64" i="22" s="1"/>
  <c r="N64" i="22"/>
  <c r="K64" i="22"/>
  <c r="F64" i="22"/>
  <c r="S63" i="22"/>
  <c r="Q63" i="22"/>
  <c r="O63" i="22"/>
  <c r="R63" i="22" s="1"/>
  <c r="M63" i="22"/>
  <c r="K63" i="22"/>
  <c r="F63" i="22"/>
  <c r="S62" i="22"/>
  <c r="R62" i="22"/>
  <c r="Q62" i="22"/>
  <c r="O62" i="22"/>
  <c r="N62" i="22"/>
  <c r="K62" i="22"/>
  <c r="F62" i="22"/>
  <c r="S61" i="22"/>
  <c r="Q61" i="22"/>
  <c r="O61" i="22"/>
  <c r="R61" i="22" s="1"/>
  <c r="N61" i="22"/>
  <c r="K61" i="22"/>
  <c r="F61" i="22"/>
  <c r="S60" i="22"/>
  <c r="Q60" i="22"/>
  <c r="O60" i="22"/>
  <c r="R60" i="22" s="1"/>
  <c r="N60" i="22"/>
  <c r="K60" i="22"/>
  <c r="F60" i="22"/>
  <c r="S59" i="22"/>
  <c r="R59" i="22"/>
  <c r="Q59" i="22"/>
  <c r="O59" i="22"/>
  <c r="M59" i="22"/>
  <c r="K59" i="22"/>
  <c r="F59" i="22"/>
  <c r="S58" i="22"/>
  <c r="R58" i="22"/>
  <c r="Q58" i="22"/>
  <c r="O58" i="22"/>
  <c r="M58" i="22"/>
  <c r="K58" i="22"/>
  <c r="F58" i="22"/>
  <c r="S57" i="22"/>
  <c r="Q57" i="22"/>
  <c r="O57" i="22"/>
  <c r="R57" i="22" s="1"/>
  <c r="N57" i="22"/>
  <c r="K57" i="22"/>
  <c r="F57" i="22"/>
  <c r="S56" i="22"/>
  <c r="R56" i="22"/>
  <c r="Q56" i="22"/>
  <c r="O56" i="22"/>
  <c r="N56" i="22"/>
  <c r="K56" i="22"/>
  <c r="F56" i="22"/>
  <c r="S55" i="22"/>
  <c r="Q55" i="22"/>
  <c r="O55" i="22"/>
  <c r="R55" i="22" s="1"/>
  <c r="M55" i="22"/>
  <c r="K55" i="22"/>
  <c r="F55" i="22"/>
  <c r="S54" i="22"/>
  <c r="Q54" i="22"/>
  <c r="O54" i="22"/>
  <c r="R54" i="22" s="1"/>
  <c r="M54" i="22"/>
  <c r="K54" i="22"/>
  <c r="F54" i="22"/>
  <c r="S53" i="22"/>
  <c r="Q53" i="22"/>
  <c r="O53" i="22"/>
  <c r="R53" i="22" s="1"/>
  <c r="N53" i="22"/>
  <c r="K53" i="22"/>
  <c r="F53" i="22"/>
  <c r="S52" i="22"/>
  <c r="Q52" i="22"/>
  <c r="O52" i="22"/>
  <c r="R52" i="22" s="1"/>
  <c r="N52" i="22"/>
  <c r="K52" i="22"/>
  <c r="F52" i="22"/>
  <c r="S51" i="22"/>
  <c r="Q51" i="22"/>
  <c r="O51" i="22"/>
  <c r="R51" i="22" s="1"/>
  <c r="M51" i="22"/>
  <c r="K51" i="22"/>
  <c r="F51" i="22"/>
  <c r="S50" i="22"/>
  <c r="R50" i="22"/>
  <c r="Q50" i="22"/>
  <c r="O50" i="22"/>
  <c r="M50" i="22"/>
  <c r="K50" i="22"/>
  <c r="F50" i="22"/>
  <c r="S49" i="22"/>
  <c r="Q49" i="22"/>
  <c r="O49" i="22"/>
  <c r="R49" i="22" s="1"/>
  <c r="N49" i="22"/>
  <c r="K49" i="22"/>
  <c r="F49" i="22"/>
  <c r="S48" i="22"/>
  <c r="R48" i="22"/>
  <c r="Q48" i="22"/>
  <c r="O48" i="22"/>
  <c r="N48" i="22"/>
  <c r="K48" i="22"/>
  <c r="F48" i="22"/>
  <c r="S47" i="22"/>
  <c r="R47" i="22"/>
  <c r="Q47" i="22"/>
  <c r="O47" i="22"/>
  <c r="N47" i="22"/>
  <c r="K47" i="22"/>
  <c r="F47" i="22"/>
  <c r="S46" i="22"/>
  <c r="R46" i="22"/>
  <c r="Q46" i="22"/>
  <c r="O46" i="22"/>
  <c r="M46" i="22"/>
  <c r="K46" i="22"/>
  <c r="F46" i="22"/>
  <c r="S45" i="22"/>
  <c r="Q45" i="22"/>
  <c r="O45" i="22"/>
  <c r="R45" i="22" s="1"/>
  <c r="N45" i="22"/>
  <c r="K45" i="22"/>
  <c r="F45" i="22"/>
  <c r="S44" i="22"/>
  <c r="Q44" i="22"/>
  <c r="O44" i="22"/>
  <c r="R44" i="22" s="1"/>
  <c r="N44" i="22"/>
  <c r="K44" i="22"/>
  <c r="F44" i="22"/>
  <c r="S43" i="22"/>
  <c r="R43" i="22"/>
  <c r="Q43" i="22"/>
  <c r="O43" i="22"/>
  <c r="N43" i="22"/>
  <c r="K43" i="22"/>
  <c r="F43" i="22"/>
  <c r="S42" i="22"/>
  <c r="Q42" i="22"/>
  <c r="O42" i="22"/>
  <c r="R42" i="22" s="1"/>
  <c r="M42" i="22"/>
  <c r="K42" i="22"/>
  <c r="F42" i="22"/>
  <c r="S41" i="22"/>
  <c r="Q41" i="22"/>
  <c r="O41" i="22"/>
  <c r="R41" i="22" s="1"/>
  <c r="N41" i="22"/>
  <c r="K41" i="22"/>
  <c r="F41" i="22"/>
  <c r="S40" i="22"/>
  <c r="R40" i="22"/>
  <c r="Q40" i="22"/>
  <c r="O40" i="22"/>
  <c r="M40" i="22"/>
  <c r="K40" i="22"/>
  <c r="F40" i="22"/>
  <c r="S39" i="22"/>
  <c r="R39" i="22"/>
  <c r="Q39" i="22"/>
  <c r="O39" i="22"/>
  <c r="N39" i="22"/>
  <c r="K39" i="22"/>
  <c r="F39" i="22"/>
  <c r="S38" i="22"/>
  <c r="Q38" i="22"/>
  <c r="O38" i="22"/>
  <c r="R38" i="22" s="1"/>
  <c r="N38" i="22"/>
  <c r="K38" i="22"/>
  <c r="F38" i="22"/>
  <c r="S37" i="22"/>
  <c r="Q37" i="22"/>
  <c r="O37" i="22"/>
  <c r="R37" i="22" s="1"/>
  <c r="N37" i="22"/>
  <c r="K37" i="22"/>
  <c r="F37" i="22"/>
  <c r="S36" i="22"/>
  <c r="Q36" i="22"/>
  <c r="O36" i="22"/>
  <c r="R36" i="22" s="1"/>
  <c r="N36" i="22"/>
  <c r="K36" i="22"/>
  <c r="F36" i="22"/>
  <c r="S35" i="22"/>
  <c r="Q35" i="22"/>
  <c r="O35" i="22"/>
  <c r="R35" i="22" s="1"/>
  <c r="N35" i="22"/>
  <c r="K35" i="22"/>
  <c r="F35" i="22"/>
  <c r="S34" i="22"/>
  <c r="Q34" i="22"/>
  <c r="O34" i="22"/>
  <c r="R34" i="22" s="1"/>
  <c r="N34" i="22"/>
  <c r="K34" i="22"/>
  <c r="F34" i="22"/>
  <c r="S33" i="22"/>
  <c r="Q33" i="22"/>
  <c r="O33" i="22"/>
  <c r="R33" i="22" s="1"/>
  <c r="N33" i="22"/>
  <c r="K33" i="22"/>
  <c r="F33" i="22"/>
  <c r="S32" i="22"/>
  <c r="Q32" i="22"/>
  <c r="O32" i="22"/>
  <c r="R32" i="22" s="1"/>
  <c r="K32" i="22"/>
  <c r="F32" i="22"/>
  <c r="S31" i="22"/>
  <c r="Q31" i="22"/>
  <c r="O31" i="22"/>
  <c r="R31" i="22" s="1"/>
  <c r="M31" i="22"/>
  <c r="K31" i="22"/>
  <c r="F31" i="22"/>
  <c r="S30" i="22"/>
  <c r="Q30" i="22"/>
  <c r="O30" i="22"/>
  <c r="R30" i="22" s="1"/>
  <c r="N30" i="22"/>
  <c r="K30" i="22"/>
  <c r="F30" i="22"/>
  <c r="S29" i="22"/>
  <c r="Q29" i="22"/>
  <c r="O29" i="22"/>
  <c r="R29" i="22" s="1"/>
  <c r="N29" i="22"/>
  <c r="K29" i="22"/>
  <c r="F29" i="22"/>
  <c r="S28" i="22"/>
  <c r="Q28" i="22"/>
  <c r="O28" i="22"/>
  <c r="R28" i="22" s="1"/>
  <c r="N28" i="22"/>
  <c r="K28" i="22"/>
  <c r="F28" i="22"/>
  <c r="S27" i="22"/>
  <c r="R27" i="22"/>
  <c r="Q27" i="22"/>
  <c r="O27" i="22"/>
  <c r="N27" i="22"/>
  <c r="K27" i="22"/>
  <c r="F27" i="22"/>
  <c r="S26" i="22"/>
  <c r="R26" i="22"/>
  <c r="Q26" i="22"/>
  <c r="O26" i="22"/>
  <c r="M26" i="22"/>
  <c r="K26" i="22"/>
  <c r="F26" i="22"/>
  <c r="S25" i="22"/>
  <c r="Q25" i="22"/>
  <c r="O25" i="22"/>
  <c r="R25" i="22" s="1"/>
  <c r="M25" i="22"/>
  <c r="K25" i="22"/>
  <c r="F25" i="22"/>
  <c r="S24" i="22"/>
  <c r="Q24" i="22"/>
  <c r="O24" i="22"/>
  <c r="R24" i="22" s="1"/>
  <c r="N24" i="22"/>
  <c r="K24" i="22"/>
  <c r="F24" i="22"/>
  <c r="S23" i="22"/>
  <c r="R23" i="22"/>
  <c r="Q23" i="22"/>
  <c r="O23" i="22"/>
  <c r="N23" i="22"/>
  <c r="K23" i="22"/>
  <c r="F23" i="22"/>
  <c r="S22" i="22"/>
  <c r="Q22" i="22"/>
  <c r="O22" i="22"/>
  <c r="R22" i="22" s="1"/>
  <c r="N22" i="22"/>
  <c r="K22" i="22"/>
  <c r="F22" i="22"/>
  <c r="S21" i="22"/>
  <c r="Q21" i="22"/>
  <c r="O21" i="22"/>
  <c r="R21" i="22" s="1"/>
  <c r="M21" i="22"/>
  <c r="K21" i="22"/>
  <c r="F21" i="22"/>
  <c r="S20" i="22"/>
  <c r="R20" i="22"/>
  <c r="Q20" i="22"/>
  <c r="O20" i="22"/>
  <c r="N20" i="22"/>
  <c r="K20" i="22"/>
  <c r="F20" i="22"/>
  <c r="S19" i="22"/>
  <c r="R19" i="22"/>
  <c r="Q19" i="22"/>
  <c r="O19" i="22"/>
  <c r="N19" i="22"/>
  <c r="K19" i="22"/>
  <c r="F19" i="22"/>
  <c r="S18" i="22"/>
  <c r="Q18" i="22"/>
  <c r="O18" i="22"/>
  <c r="R18" i="22" s="1"/>
  <c r="N18" i="22"/>
  <c r="K18" i="22"/>
  <c r="F18" i="22"/>
  <c r="S17" i="22"/>
  <c r="Q17" i="22"/>
  <c r="O17" i="22"/>
  <c r="R17" i="22" s="1"/>
  <c r="M17" i="22"/>
  <c r="K17" i="22"/>
  <c r="F17" i="22"/>
  <c r="S16" i="22"/>
  <c r="Q16" i="22"/>
  <c r="O16" i="22"/>
  <c r="R16" i="22" s="1"/>
  <c r="N16" i="22"/>
  <c r="K16" i="22"/>
  <c r="F16" i="22"/>
  <c r="S15" i="22"/>
  <c r="Q15" i="22"/>
  <c r="O15" i="22"/>
  <c r="R15" i="22" s="1"/>
  <c r="N15" i="22"/>
  <c r="K15" i="22"/>
  <c r="F15" i="22"/>
  <c r="S14" i="22"/>
  <c r="R14" i="22"/>
  <c r="Q14" i="22"/>
  <c r="O14" i="22"/>
  <c r="N14" i="22"/>
  <c r="K14" i="22"/>
  <c r="F14" i="22"/>
  <c r="S13" i="22"/>
  <c r="Q13" i="22"/>
  <c r="O13" i="22"/>
  <c r="R13" i="22" s="1"/>
  <c r="M13" i="22"/>
  <c r="K13" i="22"/>
  <c r="F13" i="22"/>
  <c r="S12" i="22"/>
  <c r="Q12" i="22"/>
  <c r="O12" i="22"/>
  <c r="R12" i="22" s="1"/>
  <c r="N12" i="22"/>
  <c r="K12" i="22"/>
  <c r="F12" i="22"/>
  <c r="S11" i="22"/>
  <c r="Q11" i="22"/>
  <c r="O11" i="22"/>
  <c r="R11" i="22" s="1"/>
  <c r="N11" i="22"/>
  <c r="K11" i="22"/>
  <c r="F11" i="22"/>
  <c r="S10" i="22"/>
  <c r="R10" i="22"/>
  <c r="Q10" i="22"/>
  <c r="O10" i="22"/>
  <c r="N10" i="22"/>
  <c r="K10" i="22"/>
  <c r="F10" i="22"/>
  <c r="S9" i="22"/>
  <c r="Q9" i="22"/>
  <c r="O9" i="22"/>
  <c r="R9" i="22" s="1"/>
  <c r="N9" i="22"/>
  <c r="K9" i="22"/>
  <c r="F9" i="22"/>
  <c r="S8" i="22"/>
  <c r="R8" i="22"/>
  <c r="Q8" i="22"/>
  <c r="O8" i="22"/>
  <c r="N8" i="22"/>
  <c r="K8" i="22"/>
  <c r="F8" i="22"/>
  <c r="S7" i="22"/>
  <c r="Q7" i="22"/>
  <c r="O7" i="22"/>
  <c r="R7" i="22" s="1"/>
  <c r="N7" i="22"/>
  <c r="K7" i="22"/>
  <c r="F7" i="22"/>
  <c r="S6" i="22"/>
  <c r="Q6" i="22"/>
  <c r="O6" i="22"/>
  <c r="R6" i="22" s="1"/>
  <c r="M6" i="22"/>
  <c r="K6" i="22"/>
  <c r="F6" i="22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M13" i="23" l="1"/>
  <c r="M22" i="22"/>
  <c r="M110" i="22"/>
  <c r="N110" i="23"/>
  <c r="M115" i="23"/>
  <c r="N124" i="22"/>
  <c r="M26" i="23"/>
  <c r="N124" i="23"/>
  <c r="N125" i="23"/>
  <c r="N178" i="23"/>
  <c r="N149" i="22"/>
  <c r="M141" i="23"/>
  <c r="M167" i="23"/>
  <c r="N170" i="23"/>
  <c r="M65" i="23"/>
  <c r="N69" i="23"/>
  <c r="N17" i="22"/>
  <c r="N17" i="23"/>
  <c r="M35" i="23"/>
  <c r="M156" i="23"/>
  <c r="M161" i="23"/>
  <c r="M29" i="23"/>
  <c r="M67" i="23"/>
  <c r="M75" i="23"/>
  <c r="M101" i="23"/>
  <c r="N132" i="23"/>
  <c r="N182" i="23"/>
  <c r="M152" i="22"/>
  <c r="N23" i="23"/>
  <c r="N25" i="23"/>
  <c r="M50" i="23"/>
  <c r="M123" i="23"/>
  <c r="M171" i="23"/>
  <c r="M72" i="22"/>
  <c r="M170" i="22"/>
  <c r="M15" i="23"/>
  <c r="M54" i="23"/>
  <c r="M149" i="23"/>
  <c r="M169" i="23"/>
  <c r="M114" i="22"/>
  <c r="N162" i="22"/>
  <c r="M46" i="23"/>
  <c r="N96" i="23"/>
  <c r="M181" i="23"/>
  <c r="M19" i="23"/>
  <c r="N27" i="23"/>
  <c r="M33" i="23"/>
  <c r="M40" i="23"/>
  <c r="M48" i="23"/>
  <c r="M63" i="23"/>
  <c r="M102" i="23"/>
  <c r="M117" i="23"/>
  <c r="M130" i="23"/>
  <c r="N147" i="23"/>
  <c r="M173" i="23"/>
  <c r="N21" i="23"/>
  <c r="M58" i="23"/>
  <c r="M105" i="23"/>
  <c r="M138" i="23"/>
  <c r="M139" i="23"/>
  <c r="M157" i="23"/>
  <c r="M163" i="23"/>
  <c r="M174" i="23"/>
  <c r="M185" i="23"/>
  <c r="M52" i="23"/>
  <c r="N114" i="23"/>
  <c r="M120" i="23"/>
  <c r="M127" i="23"/>
  <c r="M158" i="23"/>
  <c r="M166" i="23"/>
  <c r="M177" i="23"/>
  <c r="N186" i="23"/>
  <c r="N10" i="23"/>
  <c r="N30" i="23"/>
  <c r="M39" i="23"/>
  <c r="M29" i="22"/>
  <c r="M91" i="22"/>
  <c r="M150" i="22"/>
  <c r="M190" i="22"/>
  <c r="M18" i="22"/>
  <c r="N58" i="22"/>
  <c r="M98" i="22"/>
  <c r="M143" i="22"/>
  <c r="M86" i="22"/>
  <c r="N101" i="22"/>
  <c r="N74" i="22"/>
  <c r="M85" i="22"/>
  <c r="N98" i="23"/>
  <c r="N103" i="23"/>
  <c r="N146" i="23"/>
  <c r="N150" i="23"/>
  <c r="M106" i="22"/>
  <c r="M117" i="22"/>
  <c r="M9" i="23"/>
  <c r="M22" i="23"/>
  <c r="M37" i="23"/>
  <c r="M57" i="23"/>
  <c r="M61" i="23"/>
  <c r="M74" i="23"/>
  <c r="M78" i="23"/>
  <c r="M82" i="23"/>
  <c r="N86" i="23"/>
  <c r="N94" i="23"/>
  <c r="N99" i="23"/>
  <c r="M104" i="23"/>
  <c r="M109" i="23"/>
  <c r="M113" i="23"/>
  <c r="M122" i="23"/>
  <c r="M192" i="23"/>
  <c r="N46" i="22"/>
  <c r="N55" i="22"/>
  <c r="N67" i="22"/>
  <c r="M95" i="22"/>
  <c r="N97" i="22"/>
  <c r="M157" i="22"/>
  <c r="M14" i="23"/>
  <c r="M18" i="23"/>
  <c r="M34" i="23"/>
  <c r="M41" i="23"/>
  <c r="M45" i="23"/>
  <c r="M49" i="23"/>
  <c r="M53" i="23"/>
  <c r="M87" i="23"/>
  <c r="M90" i="23"/>
  <c r="M100" i="23"/>
  <c r="M118" i="23"/>
  <c r="N126" i="23"/>
  <c r="N131" i="23"/>
  <c r="M152" i="23"/>
  <c r="N154" i="23"/>
  <c r="M162" i="23"/>
  <c r="M176" i="23"/>
  <c r="M14" i="22"/>
  <c r="M20" i="22"/>
  <c r="M118" i="22"/>
  <c r="N146" i="22"/>
  <c r="M165" i="22"/>
  <c r="M38" i="23"/>
  <c r="M66" i="23"/>
  <c r="M71" i="23"/>
  <c r="M79" i="23"/>
  <c r="M83" i="23"/>
  <c r="M95" i="23"/>
  <c r="M106" i="23"/>
  <c r="N133" i="23"/>
  <c r="N137" i="23"/>
  <c r="M142" i="23"/>
  <c r="M148" i="23"/>
  <c r="M153" i="23"/>
  <c r="M184" i="23"/>
  <c r="M189" i="23"/>
  <c r="M168" i="23"/>
  <c r="M172" i="23"/>
  <c r="M30" i="22"/>
  <c r="M84" i="22"/>
  <c r="N89" i="22"/>
  <c r="N123" i="22"/>
  <c r="M161" i="22"/>
  <c r="N169" i="22"/>
  <c r="M180" i="22"/>
  <c r="M12" i="23"/>
  <c r="M16" i="23"/>
  <c r="M20" i="23"/>
  <c r="M24" i="23"/>
  <c r="M28" i="23"/>
  <c r="M43" i="23"/>
  <c r="M47" i="23"/>
  <c r="M51" i="23"/>
  <c r="M55" i="23"/>
  <c r="M73" i="23"/>
  <c r="M77" i="23"/>
  <c r="M81" i="23"/>
  <c r="M89" i="23"/>
  <c r="M93" i="23"/>
  <c r="M111" i="23"/>
  <c r="M145" i="23"/>
  <c r="M155" i="23"/>
  <c r="M164" i="23"/>
  <c r="M190" i="23"/>
  <c r="M8" i="23"/>
  <c r="M36" i="23"/>
  <c r="M60" i="23"/>
  <c r="N85" i="23"/>
  <c r="M108" i="23"/>
  <c r="M121" i="23"/>
  <c r="M134" i="23"/>
  <c r="M160" i="23"/>
  <c r="M165" i="23"/>
  <c r="M180" i="23"/>
  <c r="M6" i="23"/>
  <c r="M7" i="23"/>
  <c r="M11" i="23"/>
  <c r="N44" i="23"/>
  <c r="M97" i="23"/>
  <c r="M116" i="23"/>
  <c r="N88" i="23"/>
  <c r="N129" i="23"/>
  <c r="M129" i="23"/>
  <c r="M56" i="23"/>
  <c r="M64" i="23"/>
  <c r="M68" i="23"/>
  <c r="M72" i="23"/>
  <c r="M76" i="23"/>
  <c r="M80" i="23"/>
  <c r="M84" i="23"/>
  <c r="M91" i="23"/>
  <c r="M112" i="23"/>
  <c r="M107" i="23"/>
  <c r="M92" i="23"/>
  <c r="M128" i="23"/>
  <c r="N128" i="23"/>
  <c r="N143" i="23"/>
  <c r="M144" i="23"/>
  <c r="M151" i="23"/>
  <c r="N191" i="23"/>
  <c r="M191" i="23"/>
  <c r="M135" i="23"/>
  <c r="M140" i="23"/>
  <c r="M159" i="23"/>
  <c r="M179" i="23"/>
  <c r="M183" i="23"/>
  <c r="N187" i="23"/>
  <c r="M187" i="23"/>
  <c r="M175" i="23"/>
  <c r="M193" i="23"/>
  <c r="M9" i="22"/>
  <c r="N26" i="22"/>
  <c r="N40" i="22"/>
  <c r="M43" i="22"/>
  <c r="N59" i="22"/>
  <c r="M62" i="22"/>
  <c r="N88" i="22"/>
  <c r="M100" i="22"/>
  <c r="M111" i="22"/>
  <c r="N131" i="22"/>
  <c r="M147" i="22"/>
  <c r="M154" i="22"/>
  <c r="M164" i="22"/>
  <c r="N181" i="22"/>
  <c r="M191" i="22"/>
  <c r="M47" i="22"/>
  <c r="M57" i="22"/>
  <c r="M69" i="22"/>
  <c r="N105" i="22"/>
  <c r="M109" i="22"/>
  <c r="M142" i="22"/>
  <c r="M148" i="22"/>
  <c r="M151" i="22"/>
  <c r="M186" i="22"/>
  <c r="M189" i="22"/>
  <c r="N13" i="22"/>
  <c r="M16" i="22"/>
  <c r="N21" i="22"/>
  <c r="M24" i="22"/>
  <c r="M34" i="22"/>
  <c r="M41" i="22"/>
  <c r="M83" i="22"/>
  <c r="M125" i="22"/>
  <c r="M158" i="22"/>
  <c r="M176" i="22"/>
  <c r="N182" i="22"/>
  <c r="M77" i="22"/>
  <c r="N177" i="22"/>
  <c r="M10" i="22"/>
  <c r="M12" i="22"/>
  <c r="N63" i="22"/>
  <c r="N6" i="22"/>
  <c r="M8" i="22"/>
  <c r="N25" i="22"/>
  <c r="N31" i="22"/>
  <c r="M38" i="22"/>
  <c r="N42" i="22"/>
  <c r="M49" i="22"/>
  <c r="N50" i="22"/>
  <c r="M52" i="22"/>
  <c r="N54" i="22"/>
  <c r="M66" i="22"/>
  <c r="M76" i="22"/>
  <c r="N78" i="22"/>
  <c r="N80" i="22"/>
  <c r="N82" i="22"/>
  <c r="M93" i="22"/>
  <c r="M104" i="22"/>
  <c r="M121" i="22"/>
  <c r="M134" i="22"/>
  <c r="M141" i="22"/>
  <c r="M145" i="22"/>
  <c r="M153" i="22"/>
  <c r="M167" i="22"/>
  <c r="M175" i="22"/>
  <c r="M90" i="22"/>
  <c r="M61" i="22"/>
  <c r="M64" i="22"/>
  <c r="M99" i="22"/>
  <c r="M102" i="22"/>
  <c r="M173" i="22"/>
  <c r="M178" i="22"/>
  <c r="M187" i="22"/>
  <c r="M68" i="22"/>
  <c r="N156" i="22"/>
  <c r="M156" i="22"/>
  <c r="M45" i="22"/>
  <c r="M107" i="22"/>
  <c r="M119" i="22"/>
  <c r="N133" i="22"/>
  <c r="N168" i="22"/>
  <c r="M168" i="22"/>
  <c r="N185" i="22"/>
  <c r="M185" i="22"/>
  <c r="M92" i="22"/>
  <c r="M103" i="22"/>
  <c r="M113" i="22"/>
  <c r="M115" i="22"/>
  <c r="N137" i="22"/>
  <c r="N166" i="22"/>
  <c r="M171" i="22"/>
  <c r="N179" i="22"/>
  <c r="M179" i="22"/>
  <c r="N51" i="22"/>
  <c r="M53" i="22"/>
  <c r="M56" i="22"/>
  <c r="M65" i="22"/>
  <c r="M75" i="22"/>
  <c r="M108" i="22"/>
  <c r="N172" i="22"/>
  <c r="M172" i="22"/>
  <c r="N174" i="22"/>
  <c r="M183" i="22"/>
  <c r="M33" i="22"/>
  <c r="M35" i="22"/>
  <c r="M48" i="22"/>
  <c r="N70" i="22"/>
  <c r="M7" i="22"/>
  <c r="M15" i="22"/>
  <c r="M19" i="22"/>
  <c r="M23" i="22"/>
  <c r="M27" i="22"/>
  <c r="M36" i="22"/>
  <c r="M60" i="22"/>
  <c r="M11" i="22"/>
  <c r="N73" i="22"/>
  <c r="M73" i="22"/>
  <c r="M28" i="22"/>
  <c r="M37" i="22"/>
  <c r="M39" i="22"/>
  <c r="N79" i="22"/>
  <c r="M79" i="22"/>
  <c r="M44" i="22"/>
  <c r="M81" i="22"/>
  <c r="N81" i="22"/>
  <c r="N71" i="22"/>
  <c r="M71" i="22"/>
  <c r="N144" i="22"/>
  <c r="M144" i="22"/>
  <c r="M87" i="22"/>
  <c r="N129" i="22"/>
  <c r="M129" i="22"/>
  <c r="M94" i="22"/>
  <c r="N159" i="22"/>
  <c r="M159" i="22"/>
  <c r="M128" i="22"/>
  <c r="N128" i="22"/>
  <c r="N139" i="22"/>
  <c r="M139" i="22"/>
  <c r="N135" i="22"/>
  <c r="M135" i="22"/>
  <c r="N96" i="22"/>
  <c r="N126" i="22"/>
  <c r="M126" i="22"/>
  <c r="N138" i="22"/>
  <c r="M138" i="22"/>
  <c r="M112" i="22"/>
  <c r="M116" i="22"/>
  <c r="M120" i="22"/>
  <c r="N127" i="22"/>
  <c r="M130" i="22"/>
  <c r="N132" i="22"/>
  <c r="M140" i="22"/>
  <c r="M163" i="22"/>
  <c r="M122" i="22"/>
  <c r="M155" i="22"/>
  <c r="M184" i="22"/>
  <c r="M188" i="22"/>
  <c r="M192" i="22"/>
  <c r="M193" i="22"/>
  <c r="N92" i="1"/>
  <c r="N62" i="1"/>
  <c r="N137" i="1"/>
  <c r="N147" i="1"/>
  <c r="N21" i="1"/>
  <c r="N139" i="1"/>
  <c r="N79" i="1"/>
  <c r="N110" i="1"/>
  <c r="N106" i="1"/>
  <c r="N26" i="1"/>
  <c r="N46" i="1"/>
  <c r="N100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5" i="1"/>
  <c r="N164" i="1"/>
  <c r="N163" i="1"/>
  <c r="N162" i="1"/>
  <c r="N161" i="1"/>
  <c r="N160" i="1"/>
  <c r="N159" i="1"/>
  <c r="N158" i="1"/>
  <c r="N157" i="1"/>
  <c r="N156" i="1"/>
  <c r="N155" i="1"/>
  <c r="N153" i="1"/>
  <c r="N152" i="1"/>
  <c r="N151" i="1"/>
  <c r="N150" i="1"/>
  <c r="N149" i="1"/>
  <c r="N148" i="1"/>
  <c r="N146" i="1"/>
  <c r="N145" i="1"/>
  <c r="N144" i="1"/>
  <c r="N143" i="1"/>
  <c r="N142" i="1"/>
  <c r="N141" i="1"/>
  <c r="N140" i="1"/>
  <c r="N138" i="1"/>
  <c r="N135" i="1"/>
  <c r="N134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09" i="1"/>
  <c r="N108" i="1"/>
  <c r="N107" i="1"/>
  <c r="N105" i="1"/>
  <c r="N104" i="1"/>
  <c r="N103" i="1"/>
  <c r="N102" i="1"/>
  <c r="N99" i="1"/>
  <c r="N98" i="1"/>
  <c r="N97" i="1"/>
  <c r="N96" i="1"/>
  <c r="N95" i="1"/>
  <c r="N94" i="1"/>
  <c r="N93" i="1"/>
  <c r="N91" i="1"/>
  <c r="N90" i="1"/>
  <c r="N89" i="1"/>
  <c r="N87" i="1"/>
  <c r="N86" i="1"/>
  <c r="N85" i="1"/>
  <c r="N84" i="1"/>
  <c r="N83" i="1"/>
  <c r="N82" i="1"/>
  <c r="N81" i="1"/>
  <c r="N80" i="1"/>
  <c r="N78" i="1"/>
  <c r="N77" i="1"/>
  <c r="N76" i="1"/>
  <c r="N75" i="1"/>
  <c r="N74" i="1"/>
  <c r="N73" i="1"/>
  <c r="N72" i="1"/>
  <c r="N71" i="1"/>
  <c r="N69" i="1"/>
  <c r="N68" i="1"/>
  <c r="N67" i="1"/>
  <c r="N66" i="1"/>
  <c r="N65" i="1"/>
  <c r="N64" i="1"/>
  <c r="N63" i="1"/>
  <c r="N61" i="1"/>
  <c r="N60" i="1"/>
  <c r="N59" i="1"/>
  <c r="N58" i="1"/>
  <c r="N57" i="1"/>
  <c r="N56" i="1"/>
  <c r="N55" i="1"/>
  <c r="N54" i="1"/>
  <c r="N53" i="1"/>
  <c r="N51" i="1"/>
  <c r="N49" i="1"/>
  <c r="N48" i="1"/>
  <c r="N47" i="1"/>
  <c r="N45" i="1"/>
  <c r="N43" i="1"/>
  <c r="N42" i="1"/>
  <c r="N41" i="1"/>
  <c r="N40" i="1"/>
  <c r="N39" i="1"/>
  <c r="N38" i="1"/>
  <c r="N37" i="1"/>
  <c r="N36" i="1"/>
  <c r="N35" i="1"/>
  <c r="N34" i="1"/>
  <c r="N33" i="1"/>
  <c r="N31" i="1"/>
  <c r="N30" i="1"/>
  <c r="N29" i="1"/>
  <c r="N28" i="1"/>
  <c r="N27" i="1"/>
  <c r="N24" i="1"/>
  <c r="N23" i="1"/>
  <c r="N22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J96" i="1"/>
  <c r="J97" i="1"/>
  <c r="J139" i="1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I154" i="22" l="1"/>
  <c r="J154" i="22" s="1"/>
  <c r="I154" i="23"/>
  <c r="I60" i="23"/>
  <c r="I60" i="22"/>
  <c r="J60" i="22" s="1"/>
  <c r="I164" i="22"/>
  <c r="J164" i="22" s="1"/>
  <c r="I164" i="23"/>
  <c r="I24" i="22"/>
  <c r="J24" i="22" s="1"/>
  <c r="I24" i="23"/>
  <c r="I172" i="23"/>
  <c r="I172" i="22"/>
  <c r="J172" i="22" s="1"/>
  <c r="I84" i="23"/>
  <c r="I84" i="22"/>
  <c r="J84" i="22" s="1"/>
  <c r="I132" i="23"/>
  <c r="I132" i="22"/>
  <c r="J132" i="22" s="1"/>
  <c r="I61" i="23"/>
  <c r="I61" i="22"/>
  <c r="J61" i="22" s="1"/>
  <c r="I118" i="23"/>
  <c r="I118" i="22"/>
  <c r="J118" i="22" s="1"/>
  <c r="I193" i="22"/>
  <c r="J193" i="22" s="1"/>
  <c r="I193" i="23"/>
  <c r="I34" i="23"/>
  <c r="I34" i="22"/>
  <c r="J34" i="22" s="1"/>
  <c r="I29" i="23"/>
  <c r="I29" i="22"/>
  <c r="J29" i="22" s="1"/>
  <c r="I101" i="23"/>
  <c r="I101" i="22"/>
  <c r="J101" i="22" s="1"/>
  <c r="I123" i="22"/>
  <c r="J123" i="22" s="1"/>
  <c r="I123" i="23"/>
  <c r="I126" i="23"/>
  <c r="I126" i="22"/>
  <c r="J126" i="22" s="1"/>
  <c r="I57" i="22"/>
  <c r="J57" i="22" s="1"/>
  <c r="I57" i="23"/>
  <c r="I171" i="23"/>
  <c r="I171" i="22"/>
  <c r="J171" i="22" s="1"/>
  <c r="I127" i="22"/>
  <c r="J127" i="22" s="1"/>
  <c r="I127" i="23"/>
  <c r="I140" i="23"/>
  <c r="I140" i="22"/>
  <c r="J140" i="22" s="1"/>
  <c r="I38" i="22"/>
  <c r="J38" i="22" s="1"/>
  <c r="I38" i="23"/>
  <c r="I49" i="23"/>
  <c r="I49" i="22"/>
  <c r="J49" i="22" s="1"/>
  <c r="I167" i="23"/>
  <c r="I167" i="22"/>
  <c r="J167" i="22" s="1"/>
  <c r="I178" i="23"/>
  <c r="I178" i="22"/>
  <c r="J178" i="22" s="1"/>
  <c r="I41" i="22"/>
  <c r="J41" i="22" s="1"/>
  <c r="I41" i="23"/>
  <c r="I89" i="22"/>
  <c r="J89" i="22" s="1"/>
  <c r="I89" i="23"/>
  <c r="I66" i="23"/>
  <c r="I66" i="22"/>
  <c r="J66" i="22" s="1"/>
  <c r="I153" i="22"/>
  <c r="J153" i="22" s="1"/>
  <c r="I153" i="23"/>
  <c r="I169" i="23"/>
  <c r="I169" i="22"/>
  <c r="J169" i="22" s="1"/>
  <c r="I47" i="23"/>
  <c r="I47" i="22"/>
  <c r="J47" i="22" s="1"/>
  <c r="I185" i="23"/>
  <c r="I185" i="22"/>
  <c r="J185" i="22" s="1"/>
  <c r="I94" i="22"/>
  <c r="J94" i="22" s="1"/>
  <c r="I94" i="23"/>
  <c r="I19" i="23"/>
  <c r="I19" i="22"/>
  <c r="J19" i="22" s="1"/>
  <c r="I151" i="23"/>
  <c r="I151" i="22"/>
  <c r="J151" i="22" s="1"/>
  <c r="I156" i="22"/>
  <c r="J156" i="22" s="1"/>
  <c r="I156" i="23"/>
  <c r="I42" i="22"/>
  <c r="J42" i="22" s="1"/>
  <c r="I42" i="23"/>
  <c r="I25" i="23"/>
  <c r="I25" i="22"/>
  <c r="J25" i="22" s="1"/>
  <c r="I152" i="23"/>
  <c r="I152" i="22"/>
  <c r="J152" i="22" s="1"/>
  <c r="I135" i="23"/>
  <c r="I135" i="22"/>
  <c r="J135" i="22" s="1"/>
  <c r="I141" i="23"/>
  <c r="I141" i="22"/>
  <c r="J141" i="22" s="1"/>
  <c r="I107" i="22"/>
  <c r="J107" i="22" s="1"/>
  <c r="I107" i="23"/>
  <c r="I58" i="22"/>
  <c r="J58" i="22" s="1"/>
  <c r="I58" i="23"/>
  <c r="I165" i="23"/>
  <c r="I165" i="22"/>
  <c r="J165" i="22" s="1"/>
  <c r="I121" i="23"/>
  <c r="I121" i="22"/>
  <c r="J121" i="22" s="1"/>
  <c r="I33" i="22"/>
  <c r="J33" i="22" s="1"/>
  <c r="I33" i="23"/>
  <c r="I102" i="23"/>
  <c r="I102" i="22"/>
  <c r="J102" i="22" s="1"/>
  <c r="I115" i="23"/>
  <c r="I115" i="22"/>
  <c r="J115" i="22" s="1"/>
  <c r="I31" i="23"/>
  <c r="I31" i="22"/>
  <c r="J31" i="22" s="1"/>
  <c r="I37" i="22"/>
  <c r="J37" i="22" s="1"/>
  <c r="I37" i="23"/>
  <c r="I28" i="23"/>
  <c r="I28" i="22"/>
  <c r="J28" i="22" s="1"/>
  <c r="I77" i="23"/>
  <c r="I77" i="22"/>
  <c r="J77" i="22" s="1"/>
  <c r="I52" i="23"/>
  <c r="I52" i="22"/>
  <c r="J52" i="22" s="1"/>
  <c r="I16" i="23"/>
  <c r="I16" i="22"/>
  <c r="J16" i="22" s="1"/>
  <c r="I12" i="23"/>
  <c r="I12" i="22"/>
  <c r="J12" i="22" s="1"/>
  <c r="I65" i="23"/>
  <c r="I65" i="22"/>
  <c r="J65" i="22" s="1"/>
  <c r="I155" i="22"/>
  <c r="J155" i="22" s="1"/>
  <c r="I155" i="23"/>
  <c r="I53" i="23"/>
  <c r="I53" i="22"/>
  <c r="J53" i="22" s="1"/>
  <c r="I105" i="23"/>
  <c r="I105" i="22"/>
  <c r="J105" i="22" s="1"/>
  <c r="I103" i="22"/>
  <c r="J103" i="22" s="1"/>
  <c r="I103" i="23"/>
  <c r="I145" i="22"/>
  <c r="J145" i="22" s="1"/>
  <c r="I145" i="23"/>
  <c r="I162" i="22"/>
  <c r="J162" i="22" s="1"/>
  <c r="I162" i="23"/>
  <c r="I13" i="23"/>
  <c r="I13" i="22"/>
  <c r="J13" i="22" s="1"/>
  <c r="I175" i="23"/>
  <c r="I175" i="22"/>
  <c r="J175" i="22" s="1"/>
  <c r="I54" i="22"/>
  <c r="J54" i="22" s="1"/>
  <c r="I54" i="23"/>
  <c r="I78" i="23"/>
  <c r="I78" i="22"/>
  <c r="J78" i="22" s="1"/>
  <c r="I40" i="22"/>
  <c r="J40" i="22" s="1"/>
  <c r="I40" i="23"/>
  <c r="I85" i="23"/>
  <c r="I85" i="22"/>
  <c r="J85" i="22" s="1"/>
  <c r="I192" i="22"/>
  <c r="J192" i="22" s="1"/>
  <c r="I192" i="23"/>
  <c r="I189" i="23"/>
  <c r="I189" i="22"/>
  <c r="J189" i="22" s="1"/>
  <c r="I182" i="23"/>
  <c r="I182" i="22"/>
  <c r="J182" i="22" s="1"/>
  <c r="I146" i="23"/>
  <c r="I146" i="22"/>
  <c r="J146" i="22" s="1"/>
  <c r="I108" i="23"/>
  <c r="I108" i="22"/>
  <c r="J108" i="22" s="1"/>
  <c r="I173" i="23"/>
  <c r="I173" i="22"/>
  <c r="J173" i="22" s="1"/>
  <c r="I9" i="22"/>
  <c r="J9" i="22" s="1"/>
  <c r="I9" i="23"/>
  <c r="I95" i="23"/>
  <c r="I95" i="22"/>
  <c r="J95" i="22" s="1"/>
  <c r="I90" i="22"/>
  <c r="J90" i="22" s="1"/>
  <c r="I90" i="23"/>
  <c r="I59" i="23"/>
  <c r="I59" i="22"/>
  <c r="J59" i="22" s="1"/>
  <c r="I187" i="23"/>
  <c r="I187" i="22"/>
  <c r="J187" i="22" s="1"/>
  <c r="I119" i="23"/>
  <c r="I119" i="22"/>
  <c r="J119" i="22" s="1"/>
  <c r="I48" i="22"/>
  <c r="J48" i="22" s="1"/>
  <c r="I48" i="23"/>
  <c r="I158" i="23"/>
  <c r="I158" i="22"/>
  <c r="J158" i="22" s="1"/>
  <c r="I150" i="23"/>
  <c r="I150" i="22"/>
  <c r="J150" i="22" s="1"/>
  <c r="I70" i="23"/>
  <c r="I70" i="22"/>
  <c r="J70" i="22" s="1"/>
  <c r="I81" i="23"/>
  <c r="I81" i="22"/>
  <c r="J81" i="22" s="1"/>
  <c r="I136" i="22"/>
  <c r="J136" i="22" s="1"/>
  <c r="I136" i="23"/>
  <c r="I163" i="22"/>
  <c r="J163" i="22" s="1"/>
  <c r="I163" i="23"/>
  <c r="I45" i="23"/>
  <c r="I45" i="22"/>
  <c r="J45" i="22" s="1"/>
  <c r="I144" i="22"/>
  <c r="J144" i="22" s="1"/>
  <c r="I144" i="23"/>
  <c r="I138" i="22"/>
  <c r="J138" i="22" s="1"/>
  <c r="I138" i="23"/>
  <c r="I51" i="23"/>
  <c r="I51" i="22"/>
  <c r="J51" i="22" s="1"/>
  <c r="I18" i="23"/>
  <c r="I18" i="22"/>
  <c r="J18" i="22" s="1"/>
  <c r="I129" i="23"/>
  <c r="I129" i="22"/>
  <c r="J129" i="22" s="1"/>
  <c r="I75" i="22"/>
  <c r="J75" i="22" s="1"/>
  <c r="I75" i="23"/>
  <c r="I73" i="22"/>
  <c r="J73" i="22" s="1"/>
  <c r="I73" i="23"/>
  <c r="I56" i="22"/>
  <c r="J56" i="22" s="1"/>
  <c r="I56" i="23"/>
  <c r="I191" i="22"/>
  <c r="J191" i="22" s="1"/>
  <c r="I191" i="23"/>
  <c r="I20" i="22"/>
  <c r="J20" i="22" s="1"/>
  <c r="I20" i="23"/>
  <c r="I117" i="23"/>
  <c r="I117" i="22"/>
  <c r="J117" i="22" s="1"/>
  <c r="I83" i="23"/>
  <c r="I83" i="22"/>
  <c r="J83" i="22" s="1"/>
  <c r="I177" i="23"/>
  <c r="I177" i="22"/>
  <c r="J177" i="22" s="1"/>
  <c r="I161" i="23"/>
  <c r="I161" i="22"/>
  <c r="J161" i="22" s="1"/>
  <c r="I82" i="23"/>
  <c r="I82" i="22"/>
  <c r="J82" i="22" s="1"/>
  <c r="I190" i="22"/>
  <c r="J190" i="22" s="1"/>
  <c r="I190" i="23"/>
  <c r="I186" i="22"/>
  <c r="J186" i="22" s="1"/>
  <c r="I186" i="23"/>
  <c r="I166" i="23"/>
  <c r="I166" i="22"/>
  <c r="J166" i="22" s="1"/>
  <c r="I76" i="23"/>
  <c r="I76" i="22"/>
  <c r="J76" i="22" s="1"/>
  <c r="I23" i="22"/>
  <c r="J23" i="22" s="1"/>
  <c r="I23" i="23"/>
  <c r="I143" i="22"/>
  <c r="J143" i="22" s="1"/>
  <c r="I143" i="23"/>
  <c r="I39" i="22"/>
  <c r="J39" i="22" s="1"/>
  <c r="I39" i="23"/>
  <c r="I113" i="22"/>
  <c r="J113" i="22" s="1"/>
  <c r="I113" i="23"/>
  <c r="I67" i="23"/>
  <c r="I67" i="22"/>
  <c r="J67" i="22" s="1"/>
  <c r="I124" i="22"/>
  <c r="J124" i="22" s="1"/>
  <c r="I124" i="23"/>
  <c r="I36" i="22"/>
  <c r="J36" i="22" s="1"/>
  <c r="I36" i="23"/>
  <c r="I87" i="23"/>
  <c r="I87" i="22"/>
  <c r="J87" i="22" s="1"/>
  <c r="I181" i="23"/>
  <c r="I181" i="22"/>
  <c r="J181" i="22" s="1"/>
  <c r="I174" i="23"/>
  <c r="I174" i="22"/>
  <c r="J174" i="22" s="1"/>
  <c r="I43" i="22"/>
  <c r="J43" i="22" s="1"/>
  <c r="I43" i="23"/>
  <c r="I71" i="23"/>
  <c r="I71" i="22"/>
  <c r="J71" i="22" s="1"/>
  <c r="I170" i="23"/>
  <c r="I170" i="22"/>
  <c r="J170" i="22" s="1"/>
  <c r="I86" i="23"/>
  <c r="I86" i="22"/>
  <c r="J86" i="22" s="1"/>
  <c r="I116" i="23"/>
  <c r="I116" i="22"/>
  <c r="J116" i="22" s="1"/>
  <c r="I6" i="22"/>
  <c r="J6" i="22" s="1"/>
  <c r="I6" i="23"/>
  <c r="I92" i="23"/>
  <c r="I92" i="22"/>
  <c r="J92" i="22" s="1"/>
  <c r="I62" i="23"/>
  <c r="I62" i="22"/>
  <c r="J62" i="22" s="1"/>
  <c r="I137" i="22"/>
  <c r="J137" i="22" s="1"/>
  <c r="I137" i="23"/>
  <c r="I64" i="23"/>
  <c r="I64" i="22"/>
  <c r="J64" i="22" s="1"/>
  <c r="I128" i="22"/>
  <c r="J128" i="22" s="1"/>
  <c r="I128" i="23"/>
  <c r="I147" i="23"/>
  <c r="I147" i="22"/>
  <c r="J147" i="22" s="1"/>
  <c r="I21" i="22"/>
  <c r="J21" i="22" s="1"/>
  <c r="I21" i="23"/>
  <c r="I17" i="23"/>
  <c r="I17" i="22"/>
  <c r="J17" i="22" s="1"/>
  <c r="I7" i="22"/>
  <c r="J7" i="22" s="1"/>
  <c r="I7" i="23"/>
  <c r="I79" i="22"/>
  <c r="J79" i="22" s="1"/>
  <c r="I79" i="23"/>
  <c r="I104" i="23"/>
  <c r="I104" i="22"/>
  <c r="J104" i="22" s="1"/>
  <c r="I110" i="22"/>
  <c r="J110" i="22" s="1"/>
  <c r="I110" i="23"/>
  <c r="I106" i="23"/>
  <c r="I106" i="22"/>
  <c r="J106" i="22" s="1"/>
  <c r="I26" i="23"/>
  <c r="I26" i="22"/>
  <c r="J26" i="22" s="1"/>
  <c r="I72" i="23"/>
  <c r="I72" i="22"/>
  <c r="J72" i="22" s="1"/>
  <c r="I46" i="23"/>
  <c r="I46" i="22"/>
  <c r="J46" i="22" s="1"/>
  <c r="I11" i="23"/>
  <c r="I11" i="22"/>
  <c r="J11" i="22" s="1"/>
  <c r="I100" i="23"/>
  <c r="I100" i="22"/>
  <c r="J100" i="22" s="1"/>
  <c r="I112" i="22"/>
  <c r="J112" i="22" s="1"/>
  <c r="I112" i="23"/>
  <c r="I80" i="23"/>
  <c r="I80" i="22"/>
  <c r="J80" i="22" s="1"/>
  <c r="I14" i="23"/>
  <c r="I14" i="22"/>
  <c r="J14" i="22" s="1"/>
  <c r="I8" i="22"/>
  <c r="J8" i="22" s="1"/>
  <c r="I8" i="23"/>
  <c r="I44" i="23"/>
  <c r="I44" i="22"/>
  <c r="J44" i="22" s="1"/>
  <c r="I69" i="23"/>
  <c r="I69" i="22"/>
  <c r="J69" i="22" s="1"/>
  <c r="I159" i="22"/>
  <c r="J159" i="22" s="1"/>
  <c r="I159" i="23"/>
  <c r="I184" i="23"/>
  <c r="I184" i="22"/>
  <c r="J184" i="22" s="1"/>
  <c r="I125" i="22"/>
  <c r="J125" i="22" s="1"/>
  <c r="I125" i="23"/>
  <c r="I22" i="22"/>
  <c r="J22" i="22" s="1"/>
  <c r="I22" i="23"/>
  <c r="I68" i="23"/>
  <c r="I68" i="22"/>
  <c r="J68" i="22" s="1"/>
  <c r="I114" i="22"/>
  <c r="J114" i="22" s="1"/>
  <c r="I114" i="23"/>
  <c r="I99" i="23"/>
  <c r="I99" i="22"/>
  <c r="J99" i="22" s="1"/>
  <c r="I130" i="23"/>
  <c r="I130" i="22"/>
  <c r="J130" i="22" s="1"/>
  <c r="I122" i="23"/>
  <c r="I122" i="22"/>
  <c r="J122" i="22" s="1"/>
  <c r="I55" i="23"/>
  <c r="I55" i="22"/>
  <c r="J55" i="22" s="1"/>
  <c r="I168" i="23"/>
  <c r="I168" i="22"/>
  <c r="J168" i="22" s="1"/>
  <c r="I142" i="22"/>
  <c r="J142" i="22" s="1"/>
  <c r="I142" i="23"/>
  <c r="I149" i="23"/>
  <c r="I149" i="22"/>
  <c r="J149" i="22" s="1"/>
  <c r="I179" i="22"/>
  <c r="J179" i="22" s="1"/>
  <c r="I179" i="23"/>
  <c r="I88" i="22"/>
  <c r="J88" i="22" s="1"/>
  <c r="I88" i="23"/>
  <c r="I30" i="23"/>
  <c r="I30" i="22"/>
  <c r="J30" i="22" s="1"/>
  <c r="I131" i="23"/>
  <c r="I131" i="22"/>
  <c r="J131" i="22" s="1"/>
  <c r="I120" i="23"/>
  <c r="I120" i="22"/>
  <c r="J120" i="22" s="1"/>
  <c r="I50" i="23"/>
  <c r="I50" i="22"/>
  <c r="J50" i="22" s="1"/>
  <c r="I188" i="23"/>
  <c r="I188" i="22"/>
  <c r="J188" i="22" s="1"/>
  <c r="I10" i="22"/>
  <c r="J10" i="22" s="1"/>
  <c r="I10" i="23"/>
  <c r="I93" i="22"/>
  <c r="J93" i="22" s="1"/>
  <c r="I93" i="23"/>
  <c r="I157" i="23"/>
  <c r="I157" i="22"/>
  <c r="J157" i="22" s="1"/>
  <c r="I183" i="23"/>
  <c r="I183" i="22"/>
  <c r="J183" i="22" s="1"/>
  <c r="I98" i="22"/>
  <c r="J98" i="22" s="1"/>
  <c r="I98" i="23"/>
  <c r="I35" i="23"/>
  <c r="I35" i="22"/>
  <c r="J35" i="22" s="1"/>
  <c r="I176" i="22"/>
  <c r="J176" i="22" s="1"/>
  <c r="I176" i="23"/>
  <c r="I74" i="22"/>
  <c r="J74" i="22" s="1"/>
  <c r="I74" i="23"/>
  <c r="I134" i="23"/>
  <c r="I134" i="22"/>
  <c r="J134" i="22" s="1"/>
  <c r="I27" i="23"/>
  <c r="I27" i="22"/>
  <c r="J27" i="22" s="1"/>
  <c r="I63" i="23"/>
  <c r="I63" i="22"/>
  <c r="J63" i="22" s="1"/>
  <c r="I111" i="22"/>
  <c r="J111" i="22" s="1"/>
  <c r="I111" i="23"/>
  <c r="I109" i="22"/>
  <c r="J109" i="22" s="1"/>
  <c r="I109" i="23"/>
  <c r="I15" i="23"/>
  <c r="I15" i="22"/>
  <c r="J15" i="22" s="1"/>
  <c r="I148" i="23"/>
  <c r="I148" i="22"/>
  <c r="J148" i="22" s="1"/>
  <c r="I160" i="23"/>
  <c r="I160" i="22"/>
  <c r="J160" i="22" s="1"/>
  <c r="I91" i="22"/>
  <c r="J91" i="22" s="1"/>
  <c r="I91" i="23"/>
  <c r="I180" i="23"/>
  <c r="I180" i="22"/>
  <c r="J180" i="22" s="1"/>
  <c r="J124" i="23" l="1"/>
  <c r="W124" i="23"/>
  <c r="J180" i="23"/>
  <c r="W180" i="23"/>
  <c r="J74" i="23"/>
  <c r="W74" i="23"/>
  <c r="J142" i="23"/>
  <c r="W142" i="23"/>
  <c r="J188" i="23"/>
  <c r="W188" i="23"/>
  <c r="J30" i="23"/>
  <c r="W30" i="23"/>
  <c r="J176" i="23"/>
  <c r="W176" i="23"/>
  <c r="J88" i="23"/>
  <c r="W88" i="23"/>
  <c r="J125" i="23"/>
  <c r="W125" i="23"/>
  <c r="J112" i="23"/>
  <c r="W112" i="23"/>
  <c r="J21" i="23"/>
  <c r="W21" i="23"/>
  <c r="J137" i="23"/>
  <c r="W137" i="23"/>
  <c r="J43" i="23"/>
  <c r="W43" i="23"/>
  <c r="J36" i="23"/>
  <c r="W36" i="23"/>
  <c r="J39" i="23"/>
  <c r="W39" i="23"/>
  <c r="J20" i="23"/>
  <c r="W20" i="23"/>
  <c r="J75" i="23"/>
  <c r="W75" i="23"/>
  <c r="J138" i="23"/>
  <c r="W138" i="23"/>
  <c r="J136" i="23"/>
  <c r="W136" i="23"/>
  <c r="J162" i="23"/>
  <c r="W162" i="23"/>
  <c r="J37" i="23"/>
  <c r="W37" i="23"/>
  <c r="J33" i="23"/>
  <c r="W33" i="23"/>
  <c r="J107" i="23"/>
  <c r="W107" i="23"/>
  <c r="J41" i="23"/>
  <c r="W41" i="23"/>
  <c r="J38" i="23"/>
  <c r="W38" i="23"/>
  <c r="J57" i="23"/>
  <c r="W57" i="23"/>
  <c r="J24" i="23"/>
  <c r="W24" i="23"/>
  <c r="J186" i="23"/>
  <c r="W186" i="23"/>
  <c r="J15" i="23"/>
  <c r="W15" i="23"/>
  <c r="J22" i="23"/>
  <c r="W22" i="23"/>
  <c r="J183" i="23"/>
  <c r="W183" i="23"/>
  <c r="J148" i="23"/>
  <c r="W148" i="23"/>
  <c r="J63" i="23"/>
  <c r="W63" i="23"/>
  <c r="J157" i="23"/>
  <c r="W157" i="23"/>
  <c r="J50" i="23"/>
  <c r="W50" i="23"/>
  <c r="J168" i="23"/>
  <c r="W168" i="23"/>
  <c r="J99" i="23"/>
  <c r="W99" i="23"/>
  <c r="J44" i="23"/>
  <c r="W44" i="23"/>
  <c r="J72" i="23"/>
  <c r="W72" i="23"/>
  <c r="J104" i="23"/>
  <c r="W104" i="23"/>
  <c r="J116" i="23"/>
  <c r="W116" i="23"/>
  <c r="J166" i="23"/>
  <c r="W166" i="23"/>
  <c r="J161" i="23"/>
  <c r="W161" i="23"/>
  <c r="J158" i="23"/>
  <c r="W158" i="23"/>
  <c r="J59" i="23"/>
  <c r="W59" i="23"/>
  <c r="J173" i="23"/>
  <c r="W173" i="23"/>
  <c r="J189" i="23"/>
  <c r="W189" i="23"/>
  <c r="J78" i="23"/>
  <c r="W78" i="23"/>
  <c r="J53" i="23"/>
  <c r="W53" i="23"/>
  <c r="J16" i="23"/>
  <c r="W16" i="23"/>
  <c r="J25" i="23"/>
  <c r="W25" i="23"/>
  <c r="J19" i="23"/>
  <c r="W19" i="23"/>
  <c r="J169" i="23"/>
  <c r="W169" i="23"/>
  <c r="J29" i="23"/>
  <c r="W29" i="23"/>
  <c r="J61" i="23"/>
  <c r="W61" i="23"/>
  <c r="J48" i="23"/>
  <c r="W48" i="23"/>
  <c r="J90" i="23"/>
  <c r="W90" i="23"/>
  <c r="J192" i="23"/>
  <c r="W192" i="23"/>
  <c r="J54" i="23"/>
  <c r="W54" i="23"/>
  <c r="J145" i="23"/>
  <c r="W145" i="23"/>
  <c r="J155" i="23"/>
  <c r="W155" i="23"/>
  <c r="J42" i="23"/>
  <c r="W42" i="23"/>
  <c r="J94" i="23"/>
  <c r="W94" i="23"/>
  <c r="J153" i="23"/>
  <c r="W153" i="23"/>
  <c r="J164" i="23"/>
  <c r="W164" i="23"/>
  <c r="J93" i="23"/>
  <c r="W93" i="23"/>
  <c r="J114" i="23"/>
  <c r="W114" i="23"/>
  <c r="J35" i="23"/>
  <c r="W35" i="23"/>
  <c r="J120" i="23"/>
  <c r="W120" i="23"/>
  <c r="J55" i="23"/>
  <c r="W55" i="23"/>
  <c r="J184" i="23"/>
  <c r="W184" i="23"/>
  <c r="J100" i="23"/>
  <c r="W100" i="23"/>
  <c r="J26" i="23"/>
  <c r="W26" i="23"/>
  <c r="J147" i="23"/>
  <c r="W147" i="23"/>
  <c r="J62" i="23"/>
  <c r="W62" i="23"/>
  <c r="J86" i="23"/>
  <c r="W86" i="23"/>
  <c r="J174" i="23"/>
  <c r="W174" i="23"/>
  <c r="J177" i="23"/>
  <c r="W177" i="23"/>
  <c r="J129" i="23"/>
  <c r="W129" i="23"/>
  <c r="J81" i="23"/>
  <c r="W81" i="23"/>
  <c r="J108" i="23"/>
  <c r="W108" i="23"/>
  <c r="J52" i="23"/>
  <c r="W52" i="23"/>
  <c r="J31" i="23"/>
  <c r="W31" i="23"/>
  <c r="J121" i="23"/>
  <c r="W121" i="23"/>
  <c r="J141" i="23"/>
  <c r="W141" i="23"/>
  <c r="J178" i="23"/>
  <c r="W178" i="23"/>
  <c r="J140" i="23"/>
  <c r="W140" i="23"/>
  <c r="J126" i="23"/>
  <c r="W126" i="23"/>
  <c r="J34" i="23"/>
  <c r="W34" i="23"/>
  <c r="J132" i="23"/>
  <c r="W132" i="23"/>
  <c r="J144" i="23"/>
  <c r="W144" i="23"/>
  <c r="J109" i="23"/>
  <c r="W109" i="23"/>
  <c r="J98" i="23"/>
  <c r="W98" i="23"/>
  <c r="J10" i="23"/>
  <c r="W10" i="23"/>
  <c r="J159" i="23"/>
  <c r="W159" i="23"/>
  <c r="J7" i="23"/>
  <c r="W7" i="23"/>
  <c r="J128" i="23"/>
  <c r="W128" i="23"/>
  <c r="J23" i="23"/>
  <c r="W23" i="23"/>
  <c r="J190" i="23"/>
  <c r="W190" i="23"/>
  <c r="J56" i="23"/>
  <c r="W56" i="23"/>
  <c r="J103" i="23"/>
  <c r="W103" i="23"/>
  <c r="J156" i="23"/>
  <c r="W156" i="23"/>
  <c r="J127" i="23"/>
  <c r="W127" i="23"/>
  <c r="J123" i="23"/>
  <c r="W123" i="23"/>
  <c r="J193" i="23"/>
  <c r="W193" i="23"/>
  <c r="J179" i="23"/>
  <c r="W179" i="23"/>
  <c r="J79" i="23"/>
  <c r="W79" i="23"/>
  <c r="J143" i="23"/>
  <c r="W143" i="23"/>
  <c r="J134" i="23"/>
  <c r="W134" i="23"/>
  <c r="J131" i="23"/>
  <c r="W131" i="23"/>
  <c r="J149" i="23"/>
  <c r="W149" i="23"/>
  <c r="J122" i="23"/>
  <c r="W122" i="23"/>
  <c r="J68" i="23"/>
  <c r="W68" i="23"/>
  <c r="J14" i="23"/>
  <c r="W14" i="23"/>
  <c r="J11" i="23"/>
  <c r="W11" i="23"/>
  <c r="J106" i="23"/>
  <c r="W106" i="23"/>
  <c r="J92" i="23"/>
  <c r="W92" i="23"/>
  <c r="J170" i="23"/>
  <c r="W170" i="23"/>
  <c r="J181" i="23"/>
  <c r="W181" i="23"/>
  <c r="J67" i="23"/>
  <c r="W67" i="23"/>
  <c r="J83" i="23"/>
  <c r="W83" i="23"/>
  <c r="J18" i="23"/>
  <c r="W18" i="23"/>
  <c r="J45" i="23"/>
  <c r="W45" i="23"/>
  <c r="J70" i="23"/>
  <c r="W70" i="23"/>
  <c r="J119" i="23"/>
  <c r="W119" i="23"/>
  <c r="J95" i="23"/>
  <c r="W95" i="23"/>
  <c r="J146" i="23"/>
  <c r="W146" i="23"/>
  <c r="J85" i="23"/>
  <c r="W85" i="23"/>
  <c r="J175" i="23"/>
  <c r="W175" i="23"/>
  <c r="J65" i="23"/>
  <c r="W65" i="23"/>
  <c r="J77" i="23"/>
  <c r="W77" i="23"/>
  <c r="J115" i="23"/>
  <c r="W115" i="23"/>
  <c r="J165" i="23"/>
  <c r="W165" i="23"/>
  <c r="J135" i="23"/>
  <c r="W135" i="23"/>
  <c r="J185" i="23"/>
  <c r="W185" i="23"/>
  <c r="J66" i="23"/>
  <c r="W66" i="23"/>
  <c r="J167" i="23"/>
  <c r="W167" i="23"/>
  <c r="J84" i="23"/>
  <c r="W84" i="23"/>
  <c r="J60" i="23"/>
  <c r="W60" i="23"/>
  <c r="J8" i="23"/>
  <c r="W8" i="23"/>
  <c r="J191" i="23"/>
  <c r="W191" i="23"/>
  <c r="J27" i="23"/>
  <c r="W27" i="23"/>
  <c r="J110" i="23"/>
  <c r="W110" i="23"/>
  <c r="J6" i="23"/>
  <c r="W6" i="23"/>
  <c r="J113" i="23"/>
  <c r="W113" i="23"/>
  <c r="J73" i="23"/>
  <c r="W73" i="23"/>
  <c r="J163" i="23"/>
  <c r="W163" i="23"/>
  <c r="J9" i="23"/>
  <c r="W9" i="23"/>
  <c r="J40" i="23"/>
  <c r="W40" i="23"/>
  <c r="J58" i="23"/>
  <c r="W58" i="23"/>
  <c r="J89" i="23"/>
  <c r="W89" i="23"/>
  <c r="J154" i="23"/>
  <c r="W154" i="23"/>
  <c r="J91" i="23"/>
  <c r="W91" i="23"/>
  <c r="J111" i="23"/>
  <c r="W111" i="23"/>
  <c r="J160" i="23"/>
  <c r="W160" i="23"/>
  <c r="J130" i="23"/>
  <c r="W130" i="23"/>
  <c r="J69" i="23"/>
  <c r="W69" i="23"/>
  <c r="J80" i="23"/>
  <c r="W80" i="23"/>
  <c r="J46" i="23"/>
  <c r="W46" i="23"/>
  <c r="J17" i="23"/>
  <c r="W17" i="23"/>
  <c r="J64" i="23"/>
  <c r="W64" i="23"/>
  <c r="J71" i="23"/>
  <c r="W71" i="23"/>
  <c r="J87" i="23"/>
  <c r="W87" i="23"/>
  <c r="J76" i="23"/>
  <c r="W76" i="23"/>
  <c r="J82" i="23"/>
  <c r="W82" i="23"/>
  <c r="J117" i="23"/>
  <c r="W117" i="23"/>
  <c r="J51" i="23"/>
  <c r="W51" i="23"/>
  <c r="J150" i="23"/>
  <c r="W150" i="23"/>
  <c r="J187" i="23"/>
  <c r="W187" i="23"/>
  <c r="J182" i="23"/>
  <c r="W182" i="23"/>
  <c r="J13" i="23"/>
  <c r="W13" i="23"/>
  <c r="J105" i="23"/>
  <c r="W105" i="23"/>
  <c r="J12" i="23"/>
  <c r="W12" i="23"/>
  <c r="J28" i="23"/>
  <c r="W28" i="23"/>
  <c r="J102" i="23"/>
  <c r="W102" i="23"/>
  <c r="J152" i="23"/>
  <c r="W152" i="23"/>
  <c r="J151" i="23"/>
  <c r="W151" i="23"/>
  <c r="J47" i="23"/>
  <c r="W47" i="23"/>
  <c r="J49" i="23"/>
  <c r="W49" i="23"/>
  <c r="J171" i="23"/>
  <c r="W171" i="23"/>
  <c r="J101" i="23"/>
  <c r="W101" i="23"/>
  <c r="J118" i="23"/>
  <c r="W118" i="23"/>
  <c r="J172" i="23"/>
  <c r="W172" i="23"/>
  <c r="L96" i="18" l="1"/>
  <c r="L97" i="18"/>
  <c r="L139" i="18"/>
  <c r="H74" i="18"/>
  <c r="H100" i="18"/>
  <c r="H154" i="18"/>
  <c r="V193" i="18"/>
  <c r="R193" i="18"/>
  <c r="O193" i="18"/>
  <c r="Q193" i="18" s="1"/>
  <c r="N193" i="18"/>
  <c r="J193" i="18"/>
  <c r="F193" i="18"/>
  <c r="V192" i="18"/>
  <c r="R192" i="18"/>
  <c r="O192" i="18"/>
  <c r="Q192" i="18" s="1"/>
  <c r="N192" i="18"/>
  <c r="J192" i="18"/>
  <c r="F192" i="18"/>
  <c r="V191" i="18"/>
  <c r="R191" i="18"/>
  <c r="O191" i="18"/>
  <c r="P191" i="18" s="1"/>
  <c r="N191" i="18"/>
  <c r="J191" i="18"/>
  <c r="F191" i="18"/>
  <c r="V190" i="18"/>
  <c r="R190" i="18"/>
  <c r="O190" i="18"/>
  <c r="Q190" i="18" s="1"/>
  <c r="N190" i="18"/>
  <c r="J190" i="18"/>
  <c r="F190" i="18"/>
  <c r="V189" i="18"/>
  <c r="R189" i="18"/>
  <c r="O189" i="18"/>
  <c r="Q189" i="18" s="1"/>
  <c r="N189" i="18"/>
  <c r="J189" i="18"/>
  <c r="F189" i="18"/>
  <c r="V188" i="18"/>
  <c r="R188" i="18"/>
  <c r="O188" i="18"/>
  <c r="Q188" i="18" s="1"/>
  <c r="N188" i="18"/>
  <c r="J188" i="18"/>
  <c r="F188" i="18"/>
  <c r="V187" i="18"/>
  <c r="R187" i="18"/>
  <c r="O187" i="18"/>
  <c r="P187" i="18" s="1"/>
  <c r="N187" i="18"/>
  <c r="J187" i="18"/>
  <c r="F187" i="18"/>
  <c r="V186" i="18"/>
  <c r="R186" i="18"/>
  <c r="O186" i="18"/>
  <c r="Q186" i="18" s="1"/>
  <c r="N186" i="18"/>
  <c r="J186" i="18"/>
  <c r="F186" i="18"/>
  <c r="V185" i="18"/>
  <c r="R185" i="18"/>
  <c r="O185" i="18"/>
  <c r="P185" i="18" s="1"/>
  <c r="N185" i="18"/>
  <c r="J185" i="18"/>
  <c r="F185" i="18"/>
  <c r="V184" i="18"/>
  <c r="R184" i="18"/>
  <c r="N184" i="18"/>
  <c r="J184" i="18"/>
  <c r="F184" i="18"/>
  <c r="V183" i="18"/>
  <c r="R183" i="18"/>
  <c r="O183" i="18"/>
  <c r="P183" i="18" s="1"/>
  <c r="N183" i="18"/>
  <c r="J183" i="18"/>
  <c r="I183" i="18"/>
  <c r="H183" i="18"/>
  <c r="F183" i="18"/>
  <c r="V182" i="18"/>
  <c r="R182" i="18"/>
  <c r="O182" i="18"/>
  <c r="N182" i="18"/>
  <c r="J182" i="18"/>
  <c r="F182" i="18"/>
  <c r="V181" i="18"/>
  <c r="R181" i="18"/>
  <c r="N181" i="18"/>
  <c r="J181" i="18"/>
  <c r="F181" i="18"/>
  <c r="V180" i="18"/>
  <c r="R180" i="18"/>
  <c r="O180" i="18"/>
  <c r="P180" i="18" s="1"/>
  <c r="N180" i="18"/>
  <c r="J180" i="18"/>
  <c r="F180" i="18"/>
  <c r="V179" i="18"/>
  <c r="R179" i="18"/>
  <c r="O179" i="18"/>
  <c r="P179" i="18" s="1"/>
  <c r="N179" i="18"/>
  <c r="J179" i="18"/>
  <c r="F179" i="18"/>
  <c r="V178" i="18"/>
  <c r="R178" i="18"/>
  <c r="O178" i="18"/>
  <c r="Q178" i="18" s="1"/>
  <c r="N178" i="18"/>
  <c r="J178" i="18"/>
  <c r="F178" i="18"/>
  <c r="V177" i="18"/>
  <c r="R177" i="18"/>
  <c r="P177" i="18"/>
  <c r="N177" i="18"/>
  <c r="J177" i="18"/>
  <c r="F177" i="18"/>
  <c r="V176" i="18"/>
  <c r="R176" i="18"/>
  <c r="O176" i="18"/>
  <c r="P176" i="18" s="1"/>
  <c r="N176" i="18"/>
  <c r="J176" i="18"/>
  <c r="F176" i="18"/>
  <c r="V175" i="18"/>
  <c r="R175" i="18"/>
  <c r="O175" i="18"/>
  <c r="P175" i="18" s="1"/>
  <c r="N175" i="18"/>
  <c r="J175" i="18"/>
  <c r="F175" i="18"/>
  <c r="V174" i="18"/>
  <c r="R174" i="18"/>
  <c r="O174" i="18"/>
  <c r="P174" i="18" s="1"/>
  <c r="N174" i="18"/>
  <c r="J174" i="18"/>
  <c r="F174" i="18"/>
  <c r="V173" i="18"/>
  <c r="R173" i="18"/>
  <c r="O173" i="18"/>
  <c r="P173" i="18" s="1"/>
  <c r="N173" i="18"/>
  <c r="J173" i="18"/>
  <c r="F173" i="18"/>
  <c r="V172" i="18"/>
  <c r="R172" i="18"/>
  <c r="O172" i="18"/>
  <c r="P172" i="18" s="1"/>
  <c r="N172" i="18"/>
  <c r="J172" i="18"/>
  <c r="F172" i="18"/>
  <c r="V171" i="18"/>
  <c r="R171" i="18"/>
  <c r="O171" i="18"/>
  <c r="N171" i="18"/>
  <c r="J171" i="18"/>
  <c r="I171" i="18"/>
  <c r="H171" i="18"/>
  <c r="F171" i="18"/>
  <c r="V170" i="18"/>
  <c r="R170" i="18"/>
  <c r="O170" i="18"/>
  <c r="Q170" i="18" s="1"/>
  <c r="N170" i="18"/>
  <c r="J170" i="18"/>
  <c r="F170" i="18"/>
  <c r="V169" i="18"/>
  <c r="R169" i="18"/>
  <c r="O169" i="18"/>
  <c r="P169" i="18" s="1"/>
  <c r="N169" i="18"/>
  <c r="J169" i="18"/>
  <c r="F169" i="18"/>
  <c r="V168" i="18"/>
  <c r="R168" i="18"/>
  <c r="O168" i="18"/>
  <c r="P168" i="18" s="1"/>
  <c r="N168" i="18"/>
  <c r="J168" i="18"/>
  <c r="F168" i="18"/>
  <c r="V167" i="18"/>
  <c r="R167" i="18"/>
  <c r="O167" i="18"/>
  <c r="N167" i="18"/>
  <c r="J167" i="18"/>
  <c r="F167" i="18"/>
  <c r="V166" i="18"/>
  <c r="R166" i="18"/>
  <c r="O166" i="18"/>
  <c r="Q166" i="18" s="1"/>
  <c r="N166" i="18"/>
  <c r="J166" i="18"/>
  <c r="F166" i="18"/>
  <c r="V165" i="18"/>
  <c r="R165" i="18"/>
  <c r="O165" i="18"/>
  <c r="N165" i="18"/>
  <c r="J165" i="18"/>
  <c r="F165" i="18"/>
  <c r="V164" i="18"/>
  <c r="R164" i="18"/>
  <c r="P164" i="18"/>
  <c r="N164" i="18"/>
  <c r="J164" i="18"/>
  <c r="F164" i="18"/>
  <c r="V163" i="18"/>
  <c r="R163" i="18"/>
  <c r="O163" i="18"/>
  <c r="P163" i="18" s="1"/>
  <c r="N163" i="18"/>
  <c r="J163" i="18"/>
  <c r="F163" i="18"/>
  <c r="V162" i="18"/>
  <c r="R162" i="18"/>
  <c r="O162" i="18"/>
  <c r="Q162" i="18" s="1"/>
  <c r="N162" i="18"/>
  <c r="J162" i="18"/>
  <c r="F162" i="18"/>
  <c r="V161" i="18"/>
  <c r="R161" i="18"/>
  <c r="O161" i="18"/>
  <c r="P161" i="18" s="1"/>
  <c r="N161" i="18"/>
  <c r="J161" i="18"/>
  <c r="F161" i="18"/>
  <c r="V160" i="18"/>
  <c r="R160" i="18"/>
  <c r="O160" i="18"/>
  <c r="P160" i="18" s="1"/>
  <c r="N160" i="18"/>
  <c r="J160" i="18"/>
  <c r="F160" i="18"/>
  <c r="V159" i="18"/>
  <c r="R159" i="18"/>
  <c r="O159" i="18"/>
  <c r="P159" i="18" s="1"/>
  <c r="N159" i="18"/>
  <c r="J159" i="18"/>
  <c r="F159" i="18"/>
  <c r="V158" i="18"/>
  <c r="R158" i="18"/>
  <c r="O158" i="18"/>
  <c r="N158" i="18"/>
  <c r="J158" i="18"/>
  <c r="F158" i="18"/>
  <c r="V157" i="18"/>
  <c r="R157" i="18"/>
  <c r="O157" i="18"/>
  <c r="P157" i="18" s="1"/>
  <c r="N157" i="18"/>
  <c r="J157" i="18"/>
  <c r="F157" i="18"/>
  <c r="V156" i="18"/>
  <c r="R156" i="18"/>
  <c r="O156" i="18"/>
  <c r="N156" i="18"/>
  <c r="J156" i="18"/>
  <c r="F156" i="18"/>
  <c r="V155" i="18"/>
  <c r="R155" i="18"/>
  <c r="O155" i="18"/>
  <c r="P155" i="18" s="1"/>
  <c r="N155" i="18"/>
  <c r="J155" i="18"/>
  <c r="F155" i="18"/>
  <c r="V154" i="18"/>
  <c r="R154" i="18"/>
  <c r="O154" i="18"/>
  <c r="Q154" i="18" s="1"/>
  <c r="N154" i="18"/>
  <c r="J154" i="18"/>
  <c r="I154" i="18"/>
  <c r="F154" i="18"/>
  <c r="V153" i="18"/>
  <c r="R153" i="18"/>
  <c r="O153" i="18"/>
  <c r="P153" i="18" s="1"/>
  <c r="N153" i="18"/>
  <c r="J153" i="18"/>
  <c r="F153" i="18"/>
  <c r="V152" i="18"/>
  <c r="R152" i="18"/>
  <c r="O152" i="18"/>
  <c r="Q152" i="18" s="1"/>
  <c r="N152" i="18"/>
  <c r="J152" i="18"/>
  <c r="F152" i="18"/>
  <c r="V151" i="18"/>
  <c r="R151" i="18"/>
  <c r="O151" i="18"/>
  <c r="P151" i="18" s="1"/>
  <c r="N151" i="18"/>
  <c r="J151" i="18"/>
  <c r="F151" i="18"/>
  <c r="V150" i="18"/>
  <c r="R150" i="18"/>
  <c r="O150" i="18"/>
  <c r="P150" i="18" s="1"/>
  <c r="N150" i="18"/>
  <c r="J150" i="18"/>
  <c r="F150" i="18"/>
  <c r="V149" i="18"/>
  <c r="R149" i="18"/>
  <c r="O149" i="18"/>
  <c r="P149" i="18" s="1"/>
  <c r="N149" i="18"/>
  <c r="J149" i="18"/>
  <c r="F149" i="18"/>
  <c r="V148" i="18"/>
  <c r="R148" i="18"/>
  <c r="O148" i="18"/>
  <c r="N148" i="18"/>
  <c r="J148" i="18"/>
  <c r="F148" i="18"/>
  <c r="V147" i="18"/>
  <c r="R147" i="18"/>
  <c r="O147" i="18"/>
  <c r="P147" i="18" s="1"/>
  <c r="N147" i="18"/>
  <c r="J147" i="18"/>
  <c r="F147" i="18"/>
  <c r="V146" i="18"/>
  <c r="R146" i="18"/>
  <c r="O146" i="18"/>
  <c r="N146" i="18"/>
  <c r="J146" i="18"/>
  <c r="F146" i="18"/>
  <c r="V145" i="18"/>
  <c r="R145" i="18"/>
  <c r="O145" i="18"/>
  <c r="P145" i="18" s="1"/>
  <c r="N145" i="18"/>
  <c r="J145" i="18"/>
  <c r="I145" i="18"/>
  <c r="F145" i="18"/>
  <c r="V144" i="18"/>
  <c r="R144" i="18"/>
  <c r="O144" i="18"/>
  <c r="N144" i="18"/>
  <c r="J144" i="18"/>
  <c r="F144" i="18"/>
  <c r="V143" i="18"/>
  <c r="R143" i="18"/>
  <c r="O143" i="18"/>
  <c r="P143" i="18" s="1"/>
  <c r="N143" i="18"/>
  <c r="J143" i="18"/>
  <c r="F143" i="18"/>
  <c r="V142" i="18"/>
  <c r="R142" i="18"/>
  <c r="Q142" i="18"/>
  <c r="N142" i="18"/>
  <c r="J142" i="18"/>
  <c r="F142" i="18"/>
  <c r="V141" i="18"/>
  <c r="R141" i="18"/>
  <c r="O141" i="18"/>
  <c r="P141" i="18" s="1"/>
  <c r="N141" i="18"/>
  <c r="J141" i="18"/>
  <c r="F141" i="18"/>
  <c r="V140" i="18"/>
  <c r="R140" i="18"/>
  <c r="O140" i="18"/>
  <c r="N140" i="18"/>
  <c r="J140" i="18"/>
  <c r="F140" i="18"/>
  <c r="V139" i="18"/>
  <c r="R139" i="18"/>
  <c r="O139" i="18"/>
  <c r="P139" i="18" s="1"/>
  <c r="N139" i="18"/>
  <c r="M139" i="18"/>
  <c r="J139" i="18"/>
  <c r="F139" i="18"/>
  <c r="V138" i="18"/>
  <c r="R138" i="18"/>
  <c r="O138" i="18"/>
  <c r="P138" i="18" s="1"/>
  <c r="N138" i="18"/>
  <c r="J138" i="18"/>
  <c r="F138" i="18"/>
  <c r="V137" i="18"/>
  <c r="R137" i="18"/>
  <c r="O137" i="18"/>
  <c r="N137" i="18"/>
  <c r="J137" i="18"/>
  <c r="F137" i="18"/>
  <c r="V136" i="18"/>
  <c r="R136" i="18"/>
  <c r="O136" i="18"/>
  <c r="P136" i="18" s="1"/>
  <c r="N136" i="18"/>
  <c r="J136" i="18"/>
  <c r="F136" i="18"/>
  <c r="V135" i="18"/>
  <c r="R135" i="18"/>
  <c r="O135" i="18"/>
  <c r="Q135" i="18" s="1"/>
  <c r="N135" i="18"/>
  <c r="J135" i="18"/>
  <c r="F135" i="18"/>
  <c r="V134" i="18"/>
  <c r="R134" i="18"/>
  <c r="O134" i="18"/>
  <c r="N134" i="18"/>
  <c r="J134" i="18"/>
  <c r="F134" i="18"/>
  <c r="V133" i="18"/>
  <c r="R133" i="18"/>
  <c r="O133" i="18"/>
  <c r="P133" i="18" s="1"/>
  <c r="N133" i="18"/>
  <c r="J133" i="18"/>
  <c r="F133" i="18"/>
  <c r="V132" i="18"/>
  <c r="R132" i="18"/>
  <c r="P132" i="18"/>
  <c r="N132" i="18"/>
  <c r="J132" i="18"/>
  <c r="F132" i="18"/>
  <c r="V131" i="18"/>
  <c r="R131" i="18"/>
  <c r="O131" i="18"/>
  <c r="N131" i="18"/>
  <c r="J131" i="18"/>
  <c r="F131" i="18"/>
  <c r="V130" i="18"/>
  <c r="R130" i="18"/>
  <c r="O130" i="18"/>
  <c r="Q130" i="18" s="1"/>
  <c r="N130" i="18"/>
  <c r="J130" i="18"/>
  <c r="F130" i="18"/>
  <c r="V129" i="18"/>
  <c r="R129" i="18"/>
  <c r="O129" i="18"/>
  <c r="P129" i="18" s="1"/>
  <c r="N129" i="18"/>
  <c r="J129" i="18"/>
  <c r="F129" i="18"/>
  <c r="V128" i="18"/>
  <c r="R128" i="18"/>
  <c r="N128" i="18"/>
  <c r="J128" i="18"/>
  <c r="F128" i="18"/>
  <c r="V127" i="18"/>
  <c r="R127" i="18"/>
  <c r="O127" i="18"/>
  <c r="N127" i="18"/>
  <c r="J127" i="18"/>
  <c r="F127" i="18"/>
  <c r="V126" i="18"/>
  <c r="R126" i="18"/>
  <c r="O126" i="18"/>
  <c r="Q126" i="18" s="1"/>
  <c r="N126" i="18"/>
  <c r="J126" i="18"/>
  <c r="F126" i="18"/>
  <c r="V125" i="18"/>
  <c r="R125" i="18"/>
  <c r="O125" i="18"/>
  <c r="P125" i="18" s="1"/>
  <c r="N125" i="18"/>
  <c r="J125" i="18"/>
  <c r="F125" i="18"/>
  <c r="V124" i="18"/>
  <c r="R124" i="18"/>
  <c r="O124" i="18"/>
  <c r="P124" i="18" s="1"/>
  <c r="N124" i="18"/>
  <c r="J124" i="18"/>
  <c r="F124" i="18"/>
  <c r="V123" i="18"/>
  <c r="R123" i="18"/>
  <c r="O123" i="18"/>
  <c r="N123" i="18"/>
  <c r="J123" i="18"/>
  <c r="F123" i="18"/>
  <c r="V122" i="18"/>
  <c r="R122" i="18"/>
  <c r="O122" i="18"/>
  <c r="Q122" i="18" s="1"/>
  <c r="N122" i="18"/>
  <c r="J122" i="18"/>
  <c r="F122" i="18"/>
  <c r="V121" i="18"/>
  <c r="R121" i="18"/>
  <c r="O121" i="18"/>
  <c r="P121" i="18" s="1"/>
  <c r="N121" i="18"/>
  <c r="J121" i="18"/>
  <c r="F121" i="18"/>
  <c r="V120" i="18"/>
  <c r="R120" i="18"/>
  <c r="O120" i="18"/>
  <c r="P120" i="18" s="1"/>
  <c r="N120" i="18"/>
  <c r="J120" i="18"/>
  <c r="F120" i="18"/>
  <c r="V119" i="18"/>
  <c r="R119" i="18"/>
  <c r="O119" i="18"/>
  <c r="Q119" i="18" s="1"/>
  <c r="N119" i="18"/>
  <c r="J119" i="18"/>
  <c r="F119" i="18"/>
  <c r="V118" i="18"/>
  <c r="R118" i="18"/>
  <c r="O118" i="18"/>
  <c r="Q118" i="18" s="1"/>
  <c r="N118" i="18"/>
  <c r="J118" i="18"/>
  <c r="F118" i="18"/>
  <c r="V117" i="18"/>
  <c r="R117" i="18"/>
  <c r="O117" i="18"/>
  <c r="P117" i="18" s="1"/>
  <c r="N117" i="18"/>
  <c r="J117" i="18"/>
  <c r="F117" i="18"/>
  <c r="V116" i="18"/>
  <c r="R116" i="18"/>
  <c r="P116" i="18"/>
  <c r="N116" i="18"/>
  <c r="J116" i="18"/>
  <c r="F116" i="18"/>
  <c r="V115" i="18"/>
  <c r="R115" i="18"/>
  <c r="Q115" i="18"/>
  <c r="N115" i="18"/>
  <c r="J115" i="18"/>
  <c r="F115" i="18"/>
  <c r="V114" i="18"/>
  <c r="R114" i="18"/>
  <c r="O114" i="18"/>
  <c r="Q114" i="18" s="1"/>
  <c r="N114" i="18"/>
  <c r="J114" i="18"/>
  <c r="F114" i="18"/>
  <c r="V113" i="18"/>
  <c r="R113" i="18"/>
  <c r="O113" i="18"/>
  <c r="P113" i="18" s="1"/>
  <c r="N113" i="18"/>
  <c r="J113" i="18"/>
  <c r="F113" i="18"/>
  <c r="V112" i="18"/>
  <c r="R112" i="18"/>
  <c r="O112" i="18"/>
  <c r="N112" i="18"/>
  <c r="J112" i="18"/>
  <c r="F112" i="18"/>
  <c r="V111" i="18"/>
  <c r="R111" i="18"/>
  <c r="Q111" i="18"/>
  <c r="N111" i="18"/>
  <c r="J111" i="18"/>
  <c r="F111" i="18"/>
  <c r="V110" i="18"/>
  <c r="R110" i="18"/>
  <c r="O110" i="18"/>
  <c r="Q110" i="18" s="1"/>
  <c r="N110" i="18"/>
  <c r="J110" i="18"/>
  <c r="F110" i="18"/>
  <c r="V109" i="18"/>
  <c r="R109" i="18"/>
  <c r="P109" i="18"/>
  <c r="N109" i="18"/>
  <c r="J109" i="18"/>
  <c r="F109" i="18"/>
  <c r="V108" i="18"/>
  <c r="R108" i="18"/>
  <c r="O108" i="18"/>
  <c r="P108" i="18" s="1"/>
  <c r="N108" i="18"/>
  <c r="J108" i="18"/>
  <c r="F108" i="18"/>
  <c r="V107" i="18"/>
  <c r="R107" i="18"/>
  <c r="O107" i="18"/>
  <c r="P107" i="18" s="1"/>
  <c r="N107" i="18"/>
  <c r="J107" i="18"/>
  <c r="F107" i="18"/>
  <c r="V106" i="18"/>
  <c r="R106" i="18"/>
  <c r="Q106" i="18"/>
  <c r="N106" i="18"/>
  <c r="J106" i="18"/>
  <c r="F106" i="18"/>
  <c r="V105" i="18"/>
  <c r="R105" i="18"/>
  <c r="O105" i="18"/>
  <c r="P105" i="18" s="1"/>
  <c r="N105" i="18"/>
  <c r="J105" i="18"/>
  <c r="F105" i="18"/>
  <c r="V104" i="18"/>
  <c r="R104" i="18"/>
  <c r="O104" i="18"/>
  <c r="Q104" i="18" s="1"/>
  <c r="N104" i="18"/>
  <c r="J104" i="18"/>
  <c r="F104" i="18"/>
  <c r="V103" i="18"/>
  <c r="R103" i="18"/>
  <c r="O103" i="18"/>
  <c r="Q103" i="18" s="1"/>
  <c r="N103" i="18"/>
  <c r="J103" i="18"/>
  <c r="F103" i="18"/>
  <c r="V102" i="18"/>
  <c r="R102" i="18"/>
  <c r="O102" i="18"/>
  <c r="P102" i="18" s="1"/>
  <c r="N102" i="18"/>
  <c r="J102" i="18"/>
  <c r="F102" i="18"/>
  <c r="V101" i="18"/>
  <c r="R101" i="18"/>
  <c r="O101" i="18"/>
  <c r="P101" i="18" s="1"/>
  <c r="N101" i="18"/>
  <c r="J101" i="18"/>
  <c r="F101" i="18"/>
  <c r="V100" i="18"/>
  <c r="R100" i="18"/>
  <c r="O100" i="18"/>
  <c r="P100" i="18" s="1"/>
  <c r="N100" i="18"/>
  <c r="J100" i="18"/>
  <c r="I100" i="18"/>
  <c r="F100" i="18"/>
  <c r="V99" i="18"/>
  <c r="R99" i="18"/>
  <c r="O99" i="18"/>
  <c r="Q99" i="18" s="1"/>
  <c r="N99" i="18"/>
  <c r="J99" i="18"/>
  <c r="F99" i="18"/>
  <c r="V98" i="18"/>
  <c r="R98" i="18"/>
  <c r="N98" i="18"/>
  <c r="Q98" i="18" s="1"/>
  <c r="J98" i="18"/>
  <c r="F98" i="18"/>
  <c r="V97" i="18"/>
  <c r="R97" i="18"/>
  <c r="O97" i="18"/>
  <c r="N97" i="18"/>
  <c r="M97" i="18"/>
  <c r="J97" i="18"/>
  <c r="F97" i="18"/>
  <c r="V96" i="18"/>
  <c r="R96" i="18"/>
  <c r="O96" i="18"/>
  <c r="Q96" i="18" s="1"/>
  <c r="N96" i="18"/>
  <c r="M96" i="18"/>
  <c r="J96" i="18"/>
  <c r="F96" i="18"/>
  <c r="V95" i="18"/>
  <c r="R95" i="18"/>
  <c r="O95" i="18"/>
  <c r="Q95" i="18" s="1"/>
  <c r="N95" i="18"/>
  <c r="J95" i="18"/>
  <c r="F95" i="18"/>
  <c r="V94" i="18"/>
  <c r="R94" i="18"/>
  <c r="O94" i="18"/>
  <c r="N94" i="18"/>
  <c r="J94" i="18"/>
  <c r="F94" i="18"/>
  <c r="V93" i="18"/>
  <c r="R93" i="18"/>
  <c r="O93" i="18"/>
  <c r="P93" i="18" s="1"/>
  <c r="N93" i="18"/>
  <c r="J93" i="18"/>
  <c r="F93" i="18"/>
  <c r="V92" i="18"/>
  <c r="R92" i="18"/>
  <c r="O92" i="18"/>
  <c r="P92" i="18" s="1"/>
  <c r="N92" i="18"/>
  <c r="J92" i="18"/>
  <c r="F92" i="18"/>
  <c r="V91" i="18"/>
  <c r="R91" i="18"/>
  <c r="O91" i="18"/>
  <c r="P91" i="18" s="1"/>
  <c r="N91" i="18"/>
  <c r="J91" i="18"/>
  <c r="F91" i="18"/>
  <c r="V90" i="18"/>
  <c r="R90" i="18"/>
  <c r="O90" i="18"/>
  <c r="P90" i="18" s="1"/>
  <c r="N90" i="18"/>
  <c r="J90" i="18"/>
  <c r="F90" i="18"/>
  <c r="V89" i="18"/>
  <c r="R89" i="18"/>
  <c r="O89" i="18"/>
  <c r="Q89" i="18" s="1"/>
  <c r="N89" i="18"/>
  <c r="J89" i="18"/>
  <c r="F89" i="18"/>
  <c r="V88" i="18"/>
  <c r="R88" i="18"/>
  <c r="O88" i="18"/>
  <c r="P88" i="18" s="1"/>
  <c r="N88" i="18"/>
  <c r="J88" i="18"/>
  <c r="F88" i="18"/>
  <c r="V87" i="18"/>
  <c r="R87" i="18"/>
  <c r="O87" i="18"/>
  <c r="P87" i="18" s="1"/>
  <c r="N87" i="18"/>
  <c r="J87" i="18"/>
  <c r="F87" i="18"/>
  <c r="V86" i="18"/>
  <c r="R86" i="18"/>
  <c r="O86" i="18"/>
  <c r="Q86" i="18" s="1"/>
  <c r="N86" i="18"/>
  <c r="J86" i="18"/>
  <c r="F86" i="18"/>
  <c r="V85" i="18"/>
  <c r="R85" i="18"/>
  <c r="O85" i="18"/>
  <c r="N85" i="18"/>
  <c r="J85" i="18"/>
  <c r="F85" i="18"/>
  <c r="V84" i="18"/>
  <c r="R84" i="18"/>
  <c r="O84" i="18"/>
  <c r="P84" i="18" s="1"/>
  <c r="N84" i="18"/>
  <c r="J84" i="18"/>
  <c r="F84" i="18"/>
  <c r="V83" i="18"/>
  <c r="R83" i="18"/>
  <c r="O83" i="18"/>
  <c r="N83" i="18"/>
  <c r="J83" i="18"/>
  <c r="F83" i="18"/>
  <c r="V82" i="18"/>
  <c r="R82" i="18"/>
  <c r="O82" i="18"/>
  <c r="Q82" i="18" s="1"/>
  <c r="N82" i="18"/>
  <c r="J82" i="18"/>
  <c r="F82" i="18"/>
  <c r="V81" i="18"/>
  <c r="R81" i="18"/>
  <c r="O81" i="18"/>
  <c r="N81" i="18"/>
  <c r="J81" i="18"/>
  <c r="F81" i="18"/>
  <c r="V80" i="18"/>
  <c r="R80" i="18"/>
  <c r="O80" i="18"/>
  <c r="P80" i="18" s="1"/>
  <c r="N80" i="18"/>
  <c r="J80" i="18"/>
  <c r="F80" i="18"/>
  <c r="V79" i="18"/>
  <c r="R79" i="18"/>
  <c r="O79" i="18"/>
  <c r="P79" i="18" s="1"/>
  <c r="N79" i="18"/>
  <c r="J79" i="18"/>
  <c r="F79" i="18"/>
  <c r="V78" i="18"/>
  <c r="R78" i="18"/>
  <c r="O78" i="18"/>
  <c r="Q78" i="18" s="1"/>
  <c r="N78" i="18"/>
  <c r="J78" i="18"/>
  <c r="F78" i="18"/>
  <c r="V77" i="18"/>
  <c r="R77" i="18"/>
  <c r="N77" i="18"/>
  <c r="Q77" i="18" s="1"/>
  <c r="J77" i="18"/>
  <c r="F77" i="18"/>
  <c r="V76" i="18"/>
  <c r="R76" i="18"/>
  <c r="N76" i="18"/>
  <c r="J76" i="18"/>
  <c r="F76" i="18"/>
  <c r="V75" i="18"/>
  <c r="R75" i="18"/>
  <c r="O75" i="18"/>
  <c r="P75" i="18" s="1"/>
  <c r="N75" i="18"/>
  <c r="J75" i="18"/>
  <c r="F75" i="18"/>
  <c r="V74" i="18"/>
  <c r="R74" i="18"/>
  <c r="P74" i="18"/>
  <c r="N74" i="18"/>
  <c r="Q74" i="18" s="1"/>
  <c r="J74" i="18"/>
  <c r="I74" i="18"/>
  <c r="F74" i="18"/>
  <c r="V73" i="18"/>
  <c r="R73" i="18"/>
  <c r="O73" i="18"/>
  <c r="P73" i="18" s="1"/>
  <c r="N73" i="18"/>
  <c r="J73" i="18"/>
  <c r="F73" i="18"/>
  <c r="V72" i="18"/>
  <c r="R72" i="18"/>
  <c r="O72" i="18"/>
  <c r="P72" i="18" s="1"/>
  <c r="N72" i="18"/>
  <c r="J72" i="18"/>
  <c r="F72" i="18"/>
  <c r="V71" i="18"/>
  <c r="R71" i="18"/>
  <c r="O71" i="18"/>
  <c r="P71" i="18" s="1"/>
  <c r="N71" i="18"/>
  <c r="J71" i="18"/>
  <c r="F71" i="18"/>
  <c r="V70" i="18"/>
  <c r="R70" i="18"/>
  <c r="O70" i="18"/>
  <c r="P70" i="18" s="1"/>
  <c r="N70" i="18"/>
  <c r="J70" i="18"/>
  <c r="H70" i="18"/>
  <c r="F70" i="18"/>
  <c r="V69" i="18"/>
  <c r="R69" i="18"/>
  <c r="P69" i="18"/>
  <c r="N69" i="18"/>
  <c r="Q69" i="18" s="1"/>
  <c r="J69" i="18"/>
  <c r="F69" i="18"/>
  <c r="V68" i="18"/>
  <c r="R68" i="18"/>
  <c r="O68" i="18"/>
  <c r="P68" i="18" s="1"/>
  <c r="N68" i="18"/>
  <c r="J68" i="18"/>
  <c r="F68" i="18"/>
  <c r="V67" i="18"/>
  <c r="R67" i="18"/>
  <c r="O67" i="18"/>
  <c r="P67" i="18" s="1"/>
  <c r="N67" i="18"/>
  <c r="J67" i="18"/>
  <c r="F67" i="18"/>
  <c r="V66" i="18"/>
  <c r="R66" i="18"/>
  <c r="O66" i="18"/>
  <c r="Q66" i="18" s="1"/>
  <c r="N66" i="18"/>
  <c r="J66" i="18"/>
  <c r="F66" i="18"/>
  <c r="V65" i="18"/>
  <c r="R65" i="18"/>
  <c r="O65" i="18"/>
  <c r="P65" i="18" s="1"/>
  <c r="N65" i="18"/>
  <c r="J65" i="18"/>
  <c r="F65" i="18"/>
  <c r="V64" i="18"/>
  <c r="R64" i="18"/>
  <c r="O64" i="18"/>
  <c r="Q64" i="18" s="1"/>
  <c r="N64" i="18"/>
  <c r="J64" i="18"/>
  <c r="F64" i="18"/>
  <c r="V63" i="18"/>
  <c r="R63" i="18"/>
  <c r="O63" i="18"/>
  <c r="Q63" i="18" s="1"/>
  <c r="N63" i="18"/>
  <c r="J63" i="18"/>
  <c r="F63" i="18"/>
  <c r="V62" i="18"/>
  <c r="R62" i="18"/>
  <c r="O62" i="18"/>
  <c r="P62" i="18" s="1"/>
  <c r="N62" i="18"/>
  <c r="J62" i="18"/>
  <c r="F62" i="18"/>
  <c r="V61" i="18"/>
  <c r="R61" i="18"/>
  <c r="O61" i="18"/>
  <c r="P61" i="18" s="1"/>
  <c r="N61" i="18"/>
  <c r="J61" i="18"/>
  <c r="F61" i="18"/>
  <c r="V60" i="18"/>
  <c r="R60" i="18"/>
  <c r="O60" i="18"/>
  <c r="P60" i="18" s="1"/>
  <c r="N60" i="18"/>
  <c r="J60" i="18"/>
  <c r="F60" i="18"/>
  <c r="V59" i="18"/>
  <c r="R59" i="18"/>
  <c r="O59" i="18"/>
  <c r="Q59" i="18" s="1"/>
  <c r="N59" i="18"/>
  <c r="J59" i="18"/>
  <c r="F59" i="18"/>
  <c r="V58" i="18"/>
  <c r="R58" i="18"/>
  <c r="O58" i="18"/>
  <c r="Q58" i="18" s="1"/>
  <c r="N58" i="18"/>
  <c r="J58" i="18"/>
  <c r="F58" i="18"/>
  <c r="V57" i="18"/>
  <c r="R57" i="18"/>
  <c r="O57" i="18"/>
  <c r="P57" i="18" s="1"/>
  <c r="N57" i="18"/>
  <c r="J57" i="18"/>
  <c r="F57" i="18"/>
  <c r="V56" i="18"/>
  <c r="R56" i="18"/>
  <c r="O56" i="18"/>
  <c r="Q56" i="18" s="1"/>
  <c r="N56" i="18"/>
  <c r="J56" i="18"/>
  <c r="F56" i="18"/>
  <c r="V55" i="18"/>
  <c r="R55" i="18"/>
  <c r="O55" i="18"/>
  <c r="Q55" i="18" s="1"/>
  <c r="N55" i="18"/>
  <c r="J55" i="18"/>
  <c r="F55" i="18"/>
  <c r="V54" i="18"/>
  <c r="R54" i="18"/>
  <c r="O54" i="18"/>
  <c r="Q54" i="18" s="1"/>
  <c r="N54" i="18"/>
  <c r="J54" i="18"/>
  <c r="F54" i="18"/>
  <c r="V53" i="18"/>
  <c r="R53" i="18"/>
  <c r="O53" i="18"/>
  <c r="P53" i="18" s="1"/>
  <c r="N53" i="18"/>
  <c r="J53" i="18"/>
  <c r="F53" i="18"/>
  <c r="V52" i="18"/>
  <c r="R52" i="18"/>
  <c r="O52" i="18"/>
  <c r="Q52" i="18" s="1"/>
  <c r="N52" i="18"/>
  <c r="J52" i="18"/>
  <c r="F52" i="18"/>
  <c r="V51" i="18"/>
  <c r="R51" i="18"/>
  <c r="O51" i="18"/>
  <c r="Q51" i="18" s="1"/>
  <c r="N51" i="18"/>
  <c r="J51" i="18"/>
  <c r="F51" i="18"/>
  <c r="V50" i="18"/>
  <c r="R50" i="18"/>
  <c r="O50" i="18"/>
  <c r="N50" i="18"/>
  <c r="J50" i="18"/>
  <c r="F50" i="18"/>
  <c r="V49" i="18"/>
  <c r="R49" i="18"/>
  <c r="P49" i="18"/>
  <c r="N49" i="18"/>
  <c r="J49" i="18"/>
  <c r="F49" i="18"/>
  <c r="V48" i="18"/>
  <c r="R48" i="18"/>
  <c r="O48" i="18"/>
  <c r="P48" i="18" s="1"/>
  <c r="N48" i="18"/>
  <c r="J48" i="18"/>
  <c r="F48" i="18"/>
  <c r="V47" i="18"/>
  <c r="R47" i="18"/>
  <c r="O47" i="18"/>
  <c r="Q47" i="18" s="1"/>
  <c r="N47" i="18"/>
  <c r="J47" i="18"/>
  <c r="F47" i="18"/>
  <c r="V46" i="18"/>
  <c r="R46" i="18"/>
  <c r="O46" i="18"/>
  <c r="N46" i="18"/>
  <c r="J46" i="18"/>
  <c r="F46" i="18"/>
  <c r="V45" i="18"/>
  <c r="R45" i="18"/>
  <c r="O45" i="18"/>
  <c r="P45" i="18" s="1"/>
  <c r="N45" i="18"/>
  <c r="J45" i="18"/>
  <c r="F45" i="18"/>
  <c r="V44" i="18"/>
  <c r="R44" i="18"/>
  <c r="O44" i="18"/>
  <c r="Q44" i="18" s="1"/>
  <c r="N44" i="18"/>
  <c r="J44" i="18"/>
  <c r="F44" i="18"/>
  <c r="V43" i="18"/>
  <c r="R43" i="18"/>
  <c r="O43" i="18"/>
  <c r="Q43" i="18" s="1"/>
  <c r="N43" i="18"/>
  <c r="J43" i="18"/>
  <c r="F43" i="18"/>
  <c r="V42" i="18"/>
  <c r="R42" i="18"/>
  <c r="O42" i="18"/>
  <c r="N42" i="18"/>
  <c r="J42" i="18"/>
  <c r="F42" i="18"/>
  <c r="V41" i="18"/>
  <c r="R41" i="18"/>
  <c r="O41" i="18"/>
  <c r="P41" i="18" s="1"/>
  <c r="N41" i="18"/>
  <c r="J41" i="18"/>
  <c r="F41" i="18"/>
  <c r="V40" i="18"/>
  <c r="R40" i="18"/>
  <c r="O40" i="18"/>
  <c r="P40" i="18" s="1"/>
  <c r="N40" i="18"/>
  <c r="J40" i="18"/>
  <c r="F40" i="18"/>
  <c r="V39" i="18"/>
  <c r="R39" i="18"/>
  <c r="N39" i="18"/>
  <c r="J39" i="18"/>
  <c r="F39" i="18"/>
  <c r="V38" i="18"/>
  <c r="R38" i="18"/>
  <c r="O38" i="18"/>
  <c r="P38" i="18" s="1"/>
  <c r="N38" i="18"/>
  <c r="J38" i="18"/>
  <c r="F38" i="18"/>
  <c r="V37" i="18"/>
  <c r="R37" i="18"/>
  <c r="O37" i="18"/>
  <c r="N37" i="18"/>
  <c r="J37" i="18"/>
  <c r="F37" i="18"/>
  <c r="V36" i="18"/>
  <c r="R36" i="18"/>
  <c r="O36" i="18"/>
  <c r="P36" i="18" s="1"/>
  <c r="N36" i="18"/>
  <c r="J36" i="18"/>
  <c r="F36" i="18"/>
  <c r="V35" i="18"/>
  <c r="R35" i="18"/>
  <c r="O35" i="18"/>
  <c r="N35" i="18"/>
  <c r="J35" i="18"/>
  <c r="F35" i="18"/>
  <c r="V34" i="18"/>
  <c r="R34" i="18"/>
  <c r="O34" i="18"/>
  <c r="P34" i="18" s="1"/>
  <c r="N34" i="18"/>
  <c r="J34" i="18"/>
  <c r="F34" i="18"/>
  <c r="V33" i="18"/>
  <c r="R33" i="18"/>
  <c r="O33" i="18"/>
  <c r="N33" i="18"/>
  <c r="J33" i="18"/>
  <c r="F33" i="18"/>
  <c r="V32" i="18"/>
  <c r="R32" i="18"/>
  <c r="O32" i="18"/>
  <c r="Q32" i="18" s="1"/>
  <c r="N32" i="18"/>
  <c r="J32" i="18"/>
  <c r="F32" i="18"/>
  <c r="V31" i="18"/>
  <c r="R31" i="18"/>
  <c r="O31" i="18"/>
  <c r="N31" i="18"/>
  <c r="J31" i="18"/>
  <c r="F31" i="18"/>
  <c r="V30" i="18"/>
  <c r="R30" i="18"/>
  <c r="O30" i="18"/>
  <c r="Q30" i="18" s="1"/>
  <c r="N30" i="18"/>
  <c r="J30" i="18"/>
  <c r="F30" i="18"/>
  <c r="V29" i="18"/>
  <c r="R29" i="18"/>
  <c r="O29" i="18"/>
  <c r="N29" i="18"/>
  <c r="J29" i="18"/>
  <c r="F29" i="18"/>
  <c r="V28" i="18"/>
  <c r="R28" i="18"/>
  <c r="O28" i="18"/>
  <c r="P28" i="18" s="1"/>
  <c r="N28" i="18"/>
  <c r="J28" i="18"/>
  <c r="F28" i="18"/>
  <c r="V27" i="18"/>
  <c r="R27" i="18"/>
  <c r="O27" i="18"/>
  <c r="N27" i="18"/>
  <c r="J27" i="18"/>
  <c r="F27" i="18"/>
  <c r="V26" i="18"/>
  <c r="R26" i="18"/>
  <c r="O26" i="18"/>
  <c r="Q26" i="18" s="1"/>
  <c r="N26" i="18"/>
  <c r="J26" i="18"/>
  <c r="F26" i="18"/>
  <c r="V25" i="18"/>
  <c r="R25" i="18"/>
  <c r="O25" i="18"/>
  <c r="N25" i="18"/>
  <c r="J25" i="18"/>
  <c r="F25" i="18"/>
  <c r="V24" i="18"/>
  <c r="R24" i="18"/>
  <c r="O24" i="18"/>
  <c r="Q24" i="18" s="1"/>
  <c r="N24" i="18"/>
  <c r="J24" i="18"/>
  <c r="F24" i="18"/>
  <c r="V23" i="18"/>
  <c r="R23" i="18"/>
  <c r="O23" i="18"/>
  <c r="N23" i="18"/>
  <c r="J23" i="18"/>
  <c r="F23" i="18"/>
  <c r="V22" i="18"/>
  <c r="R22" i="18"/>
  <c r="O22" i="18"/>
  <c r="P22" i="18" s="1"/>
  <c r="N22" i="18"/>
  <c r="J22" i="18"/>
  <c r="F22" i="18"/>
  <c r="V21" i="18"/>
  <c r="R21" i="18"/>
  <c r="O21" i="18"/>
  <c r="Q21" i="18" s="1"/>
  <c r="N21" i="18"/>
  <c r="J21" i="18"/>
  <c r="F21" i="18"/>
  <c r="V20" i="18"/>
  <c r="R20" i="18"/>
  <c r="O20" i="18"/>
  <c r="P20" i="18" s="1"/>
  <c r="N20" i="18"/>
  <c r="J20" i="18"/>
  <c r="F20" i="18"/>
  <c r="V19" i="18"/>
  <c r="R19" i="18"/>
  <c r="O19" i="18"/>
  <c r="N19" i="18"/>
  <c r="J19" i="18"/>
  <c r="F19" i="18"/>
  <c r="V18" i="18"/>
  <c r="R18" i="18"/>
  <c r="O18" i="18"/>
  <c r="N18" i="18"/>
  <c r="J18" i="18"/>
  <c r="F18" i="18"/>
  <c r="V17" i="18"/>
  <c r="R17" i="18"/>
  <c r="O17" i="18"/>
  <c r="N17" i="18"/>
  <c r="J17" i="18"/>
  <c r="F17" i="18"/>
  <c r="V16" i="18"/>
  <c r="R16" i="18"/>
  <c r="O16" i="18"/>
  <c r="P16" i="18" s="1"/>
  <c r="N16" i="18"/>
  <c r="K16" i="18"/>
  <c r="L16" i="18" s="1"/>
  <c r="J16" i="18"/>
  <c r="F16" i="18"/>
  <c r="V15" i="18"/>
  <c r="R15" i="18"/>
  <c r="O15" i="18"/>
  <c r="Q15" i="18" s="1"/>
  <c r="N15" i="18"/>
  <c r="J15" i="18"/>
  <c r="F15" i="18"/>
  <c r="V14" i="18"/>
  <c r="R14" i="18"/>
  <c r="O14" i="18"/>
  <c r="Q14" i="18" s="1"/>
  <c r="N14" i="18"/>
  <c r="J14" i="18"/>
  <c r="F14" i="18"/>
  <c r="V13" i="18"/>
  <c r="R13" i="18"/>
  <c r="O13" i="18"/>
  <c r="Q13" i="18" s="1"/>
  <c r="N13" i="18"/>
  <c r="J13" i="18"/>
  <c r="F13" i="18"/>
  <c r="V12" i="18"/>
  <c r="R12" i="18"/>
  <c r="O12" i="18"/>
  <c r="P12" i="18" s="1"/>
  <c r="N12" i="18"/>
  <c r="J12" i="18"/>
  <c r="F12" i="18"/>
  <c r="V11" i="18"/>
  <c r="R11" i="18"/>
  <c r="O11" i="18"/>
  <c r="Q11" i="18" s="1"/>
  <c r="N11" i="18"/>
  <c r="J11" i="18"/>
  <c r="F11" i="18"/>
  <c r="V10" i="18"/>
  <c r="R10" i="18"/>
  <c r="O10" i="18"/>
  <c r="P10" i="18" s="1"/>
  <c r="N10" i="18"/>
  <c r="J10" i="18"/>
  <c r="H10" i="18"/>
  <c r="F10" i="18"/>
  <c r="V9" i="18"/>
  <c r="R9" i="18"/>
  <c r="O9" i="18"/>
  <c r="N9" i="18"/>
  <c r="J9" i="18"/>
  <c r="F9" i="18"/>
  <c r="V8" i="18"/>
  <c r="R8" i="18"/>
  <c r="P8" i="18"/>
  <c r="N8" i="18"/>
  <c r="Q8" i="18" s="1"/>
  <c r="J8" i="18"/>
  <c r="F8" i="18"/>
  <c r="V7" i="18"/>
  <c r="R7" i="18"/>
  <c r="O7" i="18"/>
  <c r="N7" i="18"/>
  <c r="J7" i="18"/>
  <c r="F7" i="18"/>
  <c r="V6" i="18"/>
  <c r="R6" i="18"/>
  <c r="Q6" i="18"/>
  <c r="N6" i="18"/>
  <c r="J6" i="18"/>
  <c r="F6" i="18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2" i="16"/>
  <c r="M15" i="1"/>
  <c r="M23" i="1"/>
  <c r="M27" i="1"/>
  <c r="M31" i="1"/>
  <c r="M35" i="1"/>
  <c r="M43" i="1"/>
  <c r="M47" i="1"/>
  <c r="M51" i="1"/>
  <c r="M55" i="1"/>
  <c r="M59" i="1"/>
  <c r="M63" i="1"/>
  <c r="M71" i="1"/>
  <c r="M79" i="1"/>
  <c r="M83" i="1"/>
  <c r="M87" i="1"/>
  <c r="M91" i="1"/>
  <c r="M95" i="1"/>
  <c r="M99" i="1"/>
  <c r="M111" i="1"/>
  <c r="M115" i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2" i="1"/>
  <c r="P2" i="9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T3" i="9"/>
  <c r="U3" i="9" s="1"/>
  <c r="T4" i="9"/>
  <c r="U4" i="9" s="1"/>
  <c r="T5" i="9"/>
  <c r="U5" i="9" s="1"/>
  <c r="T6" i="9"/>
  <c r="U6" i="9" s="1"/>
  <c r="T7" i="9"/>
  <c r="U7" i="9" s="1"/>
  <c r="T8" i="9"/>
  <c r="U8" i="9" s="1"/>
  <c r="T9" i="9"/>
  <c r="U9" i="9" s="1"/>
  <c r="T10" i="9"/>
  <c r="U10" i="9" s="1"/>
  <c r="T11" i="9"/>
  <c r="U11" i="9" s="1"/>
  <c r="T12" i="9"/>
  <c r="U12" i="9" s="1"/>
  <c r="T13" i="9"/>
  <c r="U13" i="9" s="1"/>
  <c r="T14" i="9"/>
  <c r="U14" i="9" s="1"/>
  <c r="T15" i="9"/>
  <c r="U15" i="9" s="1"/>
  <c r="T16" i="9"/>
  <c r="U16" i="9" s="1"/>
  <c r="T17" i="9"/>
  <c r="U17" i="9" s="1"/>
  <c r="T18" i="9"/>
  <c r="U18" i="9" s="1"/>
  <c r="T19" i="9"/>
  <c r="U19" i="9" s="1"/>
  <c r="T20" i="9"/>
  <c r="U20" i="9" s="1"/>
  <c r="T21" i="9"/>
  <c r="U21" i="9" s="1"/>
  <c r="T22" i="9"/>
  <c r="U22" i="9" s="1"/>
  <c r="T23" i="9"/>
  <c r="U23" i="9" s="1"/>
  <c r="T24" i="9"/>
  <c r="U24" i="9" s="1"/>
  <c r="T25" i="9"/>
  <c r="U25" i="9" s="1"/>
  <c r="T26" i="9"/>
  <c r="U26" i="9" s="1"/>
  <c r="T27" i="9"/>
  <c r="U27" i="9" s="1"/>
  <c r="T28" i="9"/>
  <c r="U28" i="9" s="1"/>
  <c r="T29" i="9"/>
  <c r="U29" i="9" s="1"/>
  <c r="T30" i="9"/>
  <c r="U30" i="9" s="1"/>
  <c r="T31" i="9"/>
  <c r="U31" i="9" s="1"/>
  <c r="T32" i="9"/>
  <c r="U32" i="9" s="1"/>
  <c r="T33" i="9"/>
  <c r="U33" i="9" s="1"/>
  <c r="T34" i="9"/>
  <c r="U34" i="9" s="1"/>
  <c r="T35" i="9"/>
  <c r="U35" i="9" s="1"/>
  <c r="T36" i="9"/>
  <c r="U36" i="9" s="1"/>
  <c r="T37" i="9"/>
  <c r="U37" i="9" s="1"/>
  <c r="T38" i="9"/>
  <c r="U38" i="9" s="1"/>
  <c r="T39" i="9"/>
  <c r="U39" i="9" s="1"/>
  <c r="T40" i="9"/>
  <c r="U40" i="9" s="1"/>
  <c r="T41" i="9"/>
  <c r="U41" i="9" s="1"/>
  <c r="T42" i="9"/>
  <c r="U42" i="9" s="1"/>
  <c r="T43" i="9"/>
  <c r="U43" i="9" s="1"/>
  <c r="T44" i="9"/>
  <c r="U44" i="9" s="1"/>
  <c r="T45" i="9"/>
  <c r="U45" i="9" s="1"/>
  <c r="T46" i="9"/>
  <c r="U46" i="9" s="1"/>
  <c r="T47" i="9"/>
  <c r="U47" i="9" s="1"/>
  <c r="T48" i="9"/>
  <c r="U48" i="9" s="1"/>
  <c r="T49" i="9"/>
  <c r="U49" i="9" s="1"/>
  <c r="T50" i="9"/>
  <c r="U50" i="9" s="1"/>
  <c r="T51" i="9"/>
  <c r="U51" i="9" s="1"/>
  <c r="T52" i="9"/>
  <c r="U52" i="9" s="1"/>
  <c r="T53" i="9"/>
  <c r="U53" i="9" s="1"/>
  <c r="T54" i="9"/>
  <c r="U54" i="9" s="1"/>
  <c r="T55" i="9"/>
  <c r="U55" i="9" s="1"/>
  <c r="T56" i="9"/>
  <c r="U56" i="9" s="1"/>
  <c r="T57" i="9"/>
  <c r="U57" i="9" s="1"/>
  <c r="T58" i="9"/>
  <c r="U58" i="9" s="1"/>
  <c r="T59" i="9"/>
  <c r="U59" i="9" s="1"/>
  <c r="T60" i="9"/>
  <c r="U60" i="9" s="1"/>
  <c r="T61" i="9"/>
  <c r="U61" i="9" s="1"/>
  <c r="T62" i="9"/>
  <c r="U62" i="9" s="1"/>
  <c r="T63" i="9"/>
  <c r="U63" i="9" s="1"/>
  <c r="T64" i="9"/>
  <c r="U64" i="9" s="1"/>
  <c r="T65" i="9"/>
  <c r="U65" i="9" s="1"/>
  <c r="T66" i="9"/>
  <c r="U66" i="9" s="1"/>
  <c r="T67" i="9"/>
  <c r="U67" i="9" s="1"/>
  <c r="T68" i="9"/>
  <c r="U68" i="9" s="1"/>
  <c r="T69" i="9"/>
  <c r="U69" i="9" s="1"/>
  <c r="T70" i="9"/>
  <c r="U70" i="9" s="1"/>
  <c r="T71" i="9"/>
  <c r="U71" i="9" s="1"/>
  <c r="T72" i="9"/>
  <c r="U72" i="9" s="1"/>
  <c r="T73" i="9"/>
  <c r="U73" i="9" s="1"/>
  <c r="T74" i="9"/>
  <c r="U74" i="9" s="1"/>
  <c r="T75" i="9"/>
  <c r="U75" i="9" s="1"/>
  <c r="T76" i="9"/>
  <c r="U76" i="9" s="1"/>
  <c r="T77" i="9"/>
  <c r="U77" i="9" s="1"/>
  <c r="T78" i="9"/>
  <c r="U78" i="9" s="1"/>
  <c r="T79" i="9"/>
  <c r="U79" i="9" s="1"/>
  <c r="T80" i="9"/>
  <c r="U80" i="9" s="1"/>
  <c r="T81" i="9"/>
  <c r="U81" i="9" s="1"/>
  <c r="T82" i="9"/>
  <c r="U82" i="9" s="1"/>
  <c r="T83" i="9"/>
  <c r="U83" i="9" s="1"/>
  <c r="T84" i="9"/>
  <c r="U84" i="9" s="1"/>
  <c r="T85" i="9"/>
  <c r="U85" i="9" s="1"/>
  <c r="T86" i="9"/>
  <c r="U86" i="9" s="1"/>
  <c r="T87" i="9"/>
  <c r="U87" i="9" s="1"/>
  <c r="T88" i="9"/>
  <c r="U88" i="9" s="1"/>
  <c r="T89" i="9"/>
  <c r="U89" i="9" s="1"/>
  <c r="T90" i="9"/>
  <c r="U90" i="9" s="1"/>
  <c r="T91" i="9"/>
  <c r="U91" i="9" s="1"/>
  <c r="T92" i="9"/>
  <c r="U92" i="9" s="1"/>
  <c r="T93" i="9"/>
  <c r="U93" i="9" s="1"/>
  <c r="T94" i="9"/>
  <c r="U94" i="9" s="1"/>
  <c r="T95" i="9"/>
  <c r="U95" i="9" s="1"/>
  <c r="T96" i="9"/>
  <c r="U96" i="9" s="1"/>
  <c r="T97" i="9"/>
  <c r="U97" i="9" s="1"/>
  <c r="T98" i="9"/>
  <c r="U98" i="9" s="1"/>
  <c r="T99" i="9"/>
  <c r="U99" i="9" s="1"/>
  <c r="T100" i="9"/>
  <c r="U100" i="9" s="1"/>
  <c r="T101" i="9"/>
  <c r="U101" i="9" s="1"/>
  <c r="T102" i="9"/>
  <c r="U102" i="9" s="1"/>
  <c r="T103" i="9"/>
  <c r="U103" i="9" s="1"/>
  <c r="T104" i="9"/>
  <c r="U104" i="9" s="1"/>
  <c r="T105" i="9"/>
  <c r="U105" i="9" s="1"/>
  <c r="T106" i="9"/>
  <c r="U106" i="9" s="1"/>
  <c r="T107" i="9"/>
  <c r="U107" i="9" s="1"/>
  <c r="T108" i="9"/>
  <c r="U108" i="9" s="1"/>
  <c r="T109" i="9"/>
  <c r="U109" i="9" s="1"/>
  <c r="T110" i="9"/>
  <c r="U110" i="9" s="1"/>
  <c r="T111" i="9"/>
  <c r="U111" i="9" s="1"/>
  <c r="T112" i="9"/>
  <c r="U112" i="9" s="1"/>
  <c r="T113" i="9"/>
  <c r="U113" i="9" s="1"/>
  <c r="T114" i="9"/>
  <c r="U114" i="9" s="1"/>
  <c r="T115" i="9"/>
  <c r="U115" i="9" s="1"/>
  <c r="T116" i="9"/>
  <c r="U116" i="9" s="1"/>
  <c r="T117" i="9"/>
  <c r="U117" i="9" s="1"/>
  <c r="T118" i="9"/>
  <c r="U118" i="9" s="1"/>
  <c r="T119" i="9"/>
  <c r="U119" i="9" s="1"/>
  <c r="T120" i="9"/>
  <c r="U120" i="9" s="1"/>
  <c r="T121" i="9"/>
  <c r="U121" i="9" s="1"/>
  <c r="T122" i="9"/>
  <c r="U122" i="9" s="1"/>
  <c r="T123" i="9"/>
  <c r="U123" i="9" s="1"/>
  <c r="T124" i="9"/>
  <c r="U124" i="9" s="1"/>
  <c r="T125" i="9"/>
  <c r="U125" i="9" s="1"/>
  <c r="T126" i="9"/>
  <c r="U126" i="9" s="1"/>
  <c r="T127" i="9"/>
  <c r="U127" i="9" s="1"/>
  <c r="T128" i="9"/>
  <c r="U128" i="9" s="1"/>
  <c r="T129" i="9"/>
  <c r="U129" i="9" s="1"/>
  <c r="T130" i="9"/>
  <c r="U130" i="9" s="1"/>
  <c r="T131" i="9"/>
  <c r="U131" i="9" s="1"/>
  <c r="T132" i="9"/>
  <c r="U132" i="9" s="1"/>
  <c r="T133" i="9"/>
  <c r="U133" i="9" s="1"/>
  <c r="T134" i="9"/>
  <c r="U134" i="9" s="1"/>
  <c r="T135" i="9"/>
  <c r="U135" i="9" s="1"/>
  <c r="T136" i="9"/>
  <c r="U136" i="9" s="1"/>
  <c r="T137" i="9"/>
  <c r="U137" i="9" s="1"/>
  <c r="T138" i="9"/>
  <c r="U138" i="9" s="1"/>
  <c r="T139" i="9"/>
  <c r="U139" i="9" s="1"/>
  <c r="T140" i="9"/>
  <c r="U140" i="9" s="1"/>
  <c r="T141" i="9"/>
  <c r="U141" i="9" s="1"/>
  <c r="T142" i="9"/>
  <c r="U142" i="9" s="1"/>
  <c r="T143" i="9"/>
  <c r="U143" i="9" s="1"/>
  <c r="T144" i="9"/>
  <c r="U144" i="9" s="1"/>
  <c r="T145" i="9"/>
  <c r="U145" i="9" s="1"/>
  <c r="T146" i="9"/>
  <c r="U146" i="9" s="1"/>
  <c r="T147" i="9"/>
  <c r="U147" i="9" s="1"/>
  <c r="T148" i="9"/>
  <c r="U148" i="9" s="1"/>
  <c r="T149" i="9"/>
  <c r="U149" i="9" s="1"/>
  <c r="T150" i="9"/>
  <c r="U150" i="9" s="1"/>
  <c r="T151" i="9"/>
  <c r="U151" i="9" s="1"/>
  <c r="T152" i="9"/>
  <c r="U152" i="9" s="1"/>
  <c r="T153" i="9"/>
  <c r="U153" i="9" s="1"/>
  <c r="T154" i="9"/>
  <c r="U154" i="9" s="1"/>
  <c r="T155" i="9"/>
  <c r="U155" i="9" s="1"/>
  <c r="T156" i="9"/>
  <c r="U156" i="9" s="1"/>
  <c r="T157" i="9"/>
  <c r="U157" i="9" s="1"/>
  <c r="T158" i="9"/>
  <c r="U158" i="9" s="1"/>
  <c r="T159" i="9"/>
  <c r="U159" i="9" s="1"/>
  <c r="T160" i="9"/>
  <c r="U160" i="9" s="1"/>
  <c r="T161" i="9"/>
  <c r="U161" i="9" s="1"/>
  <c r="T162" i="9"/>
  <c r="U162" i="9" s="1"/>
  <c r="T163" i="9"/>
  <c r="U163" i="9" s="1"/>
  <c r="T164" i="9"/>
  <c r="U164" i="9" s="1"/>
  <c r="T165" i="9"/>
  <c r="U165" i="9" s="1"/>
  <c r="T166" i="9"/>
  <c r="U166" i="9" s="1"/>
  <c r="T167" i="9"/>
  <c r="U167" i="9" s="1"/>
  <c r="T168" i="9"/>
  <c r="U168" i="9" s="1"/>
  <c r="T169" i="9"/>
  <c r="U169" i="9" s="1"/>
  <c r="T170" i="9"/>
  <c r="U170" i="9" s="1"/>
  <c r="T171" i="9"/>
  <c r="U171" i="9" s="1"/>
  <c r="T172" i="9"/>
  <c r="U172" i="9" s="1"/>
  <c r="T173" i="9"/>
  <c r="U173" i="9" s="1"/>
  <c r="T174" i="9"/>
  <c r="U174" i="9" s="1"/>
  <c r="T175" i="9"/>
  <c r="U175" i="9" s="1"/>
  <c r="T176" i="9"/>
  <c r="U176" i="9" s="1"/>
  <c r="T177" i="9"/>
  <c r="U177" i="9" s="1"/>
  <c r="T178" i="9"/>
  <c r="U178" i="9" s="1"/>
  <c r="T179" i="9"/>
  <c r="U179" i="9" s="1"/>
  <c r="T180" i="9"/>
  <c r="U180" i="9" s="1"/>
  <c r="T181" i="9"/>
  <c r="U181" i="9" s="1"/>
  <c r="T182" i="9"/>
  <c r="U182" i="9" s="1"/>
  <c r="T183" i="9"/>
  <c r="U183" i="9" s="1"/>
  <c r="T184" i="9"/>
  <c r="U184" i="9" s="1"/>
  <c r="T185" i="9"/>
  <c r="U185" i="9" s="1"/>
  <c r="T186" i="9"/>
  <c r="U186" i="9" s="1"/>
  <c r="T187" i="9"/>
  <c r="U187" i="9" s="1"/>
  <c r="T188" i="9"/>
  <c r="U188" i="9" s="1"/>
  <c r="T189" i="9"/>
  <c r="U189" i="9" s="1"/>
  <c r="T2" i="9"/>
  <c r="U2" i="9" s="1"/>
  <c r="R3" i="9"/>
  <c r="R4" i="9"/>
  <c r="R5" i="9"/>
  <c r="R6" i="9"/>
  <c r="V6" i="9" s="1"/>
  <c r="R7" i="9"/>
  <c r="R8" i="9"/>
  <c r="V8" i="9" s="1"/>
  <c r="R9" i="9"/>
  <c r="R10" i="9"/>
  <c r="R11" i="9"/>
  <c r="V11" i="9" s="1"/>
  <c r="R12" i="9"/>
  <c r="R13" i="9"/>
  <c r="R14" i="9"/>
  <c r="R15" i="9"/>
  <c r="R16" i="9"/>
  <c r="R17" i="9"/>
  <c r="R18" i="9"/>
  <c r="R19" i="9"/>
  <c r="V19" i="9" s="1"/>
  <c r="R20" i="9"/>
  <c r="V20" i="9" s="1"/>
  <c r="R21" i="9"/>
  <c r="R22" i="9"/>
  <c r="R23" i="9"/>
  <c r="R24" i="9"/>
  <c r="V24" i="9" s="1"/>
  <c r="R25" i="9"/>
  <c r="R26" i="9"/>
  <c r="R27" i="9"/>
  <c r="R28" i="9"/>
  <c r="V28" i="9" s="1"/>
  <c r="R29" i="9"/>
  <c r="R30" i="9"/>
  <c r="R31" i="9"/>
  <c r="R32" i="9"/>
  <c r="R33" i="9"/>
  <c r="R34" i="9"/>
  <c r="R35" i="9"/>
  <c r="V35" i="9" s="1"/>
  <c r="R36" i="9"/>
  <c r="R37" i="9"/>
  <c r="R38" i="9"/>
  <c r="R39" i="9"/>
  <c r="R40" i="9"/>
  <c r="R41" i="9"/>
  <c r="R42" i="9"/>
  <c r="R43" i="9"/>
  <c r="V43" i="9" s="1"/>
  <c r="R44" i="9"/>
  <c r="V44" i="9" s="1"/>
  <c r="R45" i="9"/>
  <c r="R46" i="9"/>
  <c r="R47" i="9"/>
  <c r="V47" i="9" s="1"/>
  <c r="R48" i="9"/>
  <c r="R49" i="9"/>
  <c r="R50" i="9"/>
  <c r="R51" i="9"/>
  <c r="V51" i="9" s="1"/>
  <c r="R52" i="9"/>
  <c r="V52" i="9" s="1"/>
  <c r="R53" i="9"/>
  <c r="R54" i="9"/>
  <c r="R55" i="9"/>
  <c r="R56" i="9"/>
  <c r="R57" i="9"/>
  <c r="R58" i="9"/>
  <c r="R59" i="9"/>
  <c r="V59" i="9" s="1"/>
  <c r="R60" i="9"/>
  <c r="R61" i="9"/>
  <c r="R62" i="9"/>
  <c r="R63" i="9"/>
  <c r="R64" i="9"/>
  <c r="R65" i="9"/>
  <c r="R66" i="9"/>
  <c r="V66" i="9" s="1"/>
  <c r="R67" i="9"/>
  <c r="V67" i="9" s="1"/>
  <c r="R68" i="9"/>
  <c r="V68" i="9" s="1"/>
  <c r="R69" i="9"/>
  <c r="R70" i="9"/>
  <c r="R71" i="9"/>
  <c r="R72" i="9"/>
  <c r="V72" i="9" s="1"/>
  <c r="R73" i="9"/>
  <c r="R74" i="9"/>
  <c r="V74" i="9" s="1"/>
  <c r="R75" i="9"/>
  <c r="R76" i="9"/>
  <c r="V76" i="9" s="1"/>
  <c r="R77" i="9"/>
  <c r="R78" i="9"/>
  <c r="R79" i="9"/>
  <c r="R80" i="9"/>
  <c r="R81" i="9"/>
  <c r="R82" i="9"/>
  <c r="R83" i="9"/>
  <c r="V83" i="9" s="1"/>
  <c r="R84" i="9"/>
  <c r="V84" i="9" s="1"/>
  <c r="R85" i="9"/>
  <c r="V85" i="9" s="1"/>
  <c r="R86" i="9"/>
  <c r="R87" i="9"/>
  <c r="R88" i="9"/>
  <c r="R89" i="9"/>
  <c r="R90" i="9"/>
  <c r="R91" i="9"/>
  <c r="V91" i="9" s="1"/>
  <c r="R92" i="9"/>
  <c r="V92" i="9" s="1"/>
  <c r="R93" i="9"/>
  <c r="R94" i="9"/>
  <c r="R95" i="9"/>
  <c r="V95" i="9" s="1"/>
  <c r="R96" i="9"/>
  <c r="R97" i="9"/>
  <c r="R98" i="9"/>
  <c r="R99" i="9"/>
  <c r="R100" i="9"/>
  <c r="V100" i="9" s="1"/>
  <c r="R101" i="9"/>
  <c r="V101" i="9" s="1"/>
  <c r="R102" i="9"/>
  <c r="R103" i="9"/>
  <c r="R104" i="9"/>
  <c r="R105" i="9"/>
  <c r="R106" i="9"/>
  <c r="R107" i="9"/>
  <c r="V107" i="9" s="1"/>
  <c r="R108" i="9"/>
  <c r="R109" i="9"/>
  <c r="R110" i="9"/>
  <c r="V110" i="9" s="1"/>
  <c r="R111" i="9"/>
  <c r="R112" i="9"/>
  <c r="V112" i="9" s="1"/>
  <c r="R113" i="9"/>
  <c r="R114" i="9"/>
  <c r="V114" i="9" s="1"/>
  <c r="R115" i="9"/>
  <c r="V115" i="9" s="1"/>
  <c r="R116" i="9"/>
  <c r="V116" i="9" s="1"/>
  <c r="R117" i="9"/>
  <c r="R118" i="9"/>
  <c r="R119" i="9"/>
  <c r="V119" i="9" s="1"/>
  <c r="R120" i="9"/>
  <c r="R121" i="9"/>
  <c r="V121" i="9" s="1"/>
  <c r="R122" i="9"/>
  <c r="R123" i="9"/>
  <c r="R124" i="9"/>
  <c r="V124" i="9" s="1"/>
  <c r="R125" i="9"/>
  <c r="R126" i="9"/>
  <c r="R127" i="9"/>
  <c r="R128" i="9"/>
  <c r="R129" i="9"/>
  <c r="R130" i="9"/>
  <c r="V130" i="9" s="1"/>
  <c r="R131" i="9"/>
  <c r="V131" i="9" s="1"/>
  <c r="R132" i="9"/>
  <c r="R133" i="9"/>
  <c r="R134" i="9"/>
  <c r="R135" i="9"/>
  <c r="V135" i="9" s="1"/>
  <c r="R136" i="9"/>
  <c r="V136" i="9" s="1"/>
  <c r="R137" i="9"/>
  <c r="V137" i="9" s="1"/>
  <c r="R138" i="9"/>
  <c r="R139" i="9"/>
  <c r="V139" i="9" s="1"/>
  <c r="R140" i="9"/>
  <c r="V140" i="9" s="1"/>
  <c r="R141" i="9"/>
  <c r="R142" i="9"/>
  <c r="V142" i="9" s="1"/>
  <c r="R143" i="9"/>
  <c r="R144" i="9"/>
  <c r="R145" i="9"/>
  <c r="R146" i="9"/>
  <c r="R147" i="9"/>
  <c r="V147" i="9" s="1"/>
  <c r="R148" i="9"/>
  <c r="V148" i="9" s="1"/>
  <c r="R149" i="9"/>
  <c r="V149" i="9" s="1"/>
  <c r="R150" i="9"/>
  <c r="V150" i="9" s="1"/>
  <c r="R151" i="9"/>
  <c r="R152" i="9"/>
  <c r="R153" i="9"/>
  <c r="R154" i="9"/>
  <c r="R155" i="9"/>
  <c r="V155" i="9" s="1"/>
  <c r="R156" i="9"/>
  <c r="R157" i="9"/>
  <c r="V157" i="9" s="1"/>
  <c r="R158" i="9"/>
  <c r="R159" i="9"/>
  <c r="V159" i="9" s="1"/>
  <c r="R160" i="9"/>
  <c r="R161" i="9"/>
  <c r="V161" i="9" s="1"/>
  <c r="R162" i="9"/>
  <c r="V162" i="9" s="1"/>
  <c r="R163" i="9"/>
  <c r="V163" i="9" s="1"/>
  <c r="R164" i="9"/>
  <c r="V164" i="9" s="1"/>
  <c r="R165" i="9"/>
  <c r="R166" i="9"/>
  <c r="R167" i="9"/>
  <c r="R168" i="9"/>
  <c r="R169" i="9"/>
  <c r="V169" i="9" s="1"/>
  <c r="R170" i="9"/>
  <c r="R171" i="9"/>
  <c r="V171" i="9" s="1"/>
  <c r="R172" i="9"/>
  <c r="V172" i="9" s="1"/>
  <c r="R173" i="9"/>
  <c r="R174" i="9"/>
  <c r="V174" i="9" s="1"/>
  <c r="R175" i="9"/>
  <c r="R176" i="9"/>
  <c r="R177" i="9"/>
  <c r="R178" i="9"/>
  <c r="R179" i="9"/>
  <c r="V179" i="9" s="1"/>
  <c r="R180" i="9"/>
  <c r="R181" i="9"/>
  <c r="V181" i="9" s="1"/>
  <c r="R182" i="9"/>
  <c r="V182" i="9" s="1"/>
  <c r="R183" i="9"/>
  <c r="R184" i="9"/>
  <c r="R185" i="9"/>
  <c r="V185" i="9" s="1"/>
  <c r="R186" i="9"/>
  <c r="R187" i="9"/>
  <c r="V187" i="9" s="1"/>
  <c r="R188" i="9"/>
  <c r="V188" i="9" s="1"/>
  <c r="R189" i="9"/>
  <c r="V189" i="9" s="1"/>
  <c r="R2" i="9"/>
  <c r="O7" i="1"/>
  <c r="R7" i="1" s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39" i="1"/>
  <c r="R39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R58" i="1" s="1"/>
  <c r="O59" i="1"/>
  <c r="R59" i="1" s="1"/>
  <c r="O60" i="1"/>
  <c r="R60" i="1" s="1"/>
  <c r="O61" i="1"/>
  <c r="R61" i="1" s="1"/>
  <c r="O62" i="1"/>
  <c r="R62" i="1" s="1"/>
  <c r="O63" i="1"/>
  <c r="R63" i="1" s="1"/>
  <c r="O64" i="1"/>
  <c r="R64" i="1" s="1"/>
  <c r="O65" i="1"/>
  <c r="R65" i="1" s="1"/>
  <c r="O66" i="1"/>
  <c r="R66" i="1" s="1"/>
  <c r="O67" i="1"/>
  <c r="R67" i="1" s="1"/>
  <c r="O68" i="1"/>
  <c r="R68" i="1" s="1"/>
  <c r="O69" i="1"/>
  <c r="R69" i="1" s="1"/>
  <c r="O70" i="1"/>
  <c r="R70" i="1" s="1"/>
  <c r="O71" i="1"/>
  <c r="R71" i="1" s="1"/>
  <c r="O72" i="1"/>
  <c r="R72" i="1" s="1"/>
  <c r="O73" i="1"/>
  <c r="R73" i="1" s="1"/>
  <c r="O74" i="1"/>
  <c r="R74" i="1" s="1"/>
  <c r="O75" i="1"/>
  <c r="R75" i="1" s="1"/>
  <c r="O76" i="1"/>
  <c r="R76" i="1" s="1"/>
  <c r="O77" i="1"/>
  <c r="R77" i="1" s="1"/>
  <c r="O78" i="1"/>
  <c r="R78" i="1" s="1"/>
  <c r="O79" i="1"/>
  <c r="R79" i="1" s="1"/>
  <c r="O80" i="1"/>
  <c r="R80" i="1" s="1"/>
  <c r="O81" i="1"/>
  <c r="R81" i="1" s="1"/>
  <c r="O82" i="1"/>
  <c r="R82" i="1" s="1"/>
  <c r="O83" i="1"/>
  <c r="R83" i="1" s="1"/>
  <c r="O84" i="1"/>
  <c r="R84" i="1" s="1"/>
  <c r="O85" i="1"/>
  <c r="R85" i="1" s="1"/>
  <c r="O86" i="1"/>
  <c r="R86" i="1" s="1"/>
  <c r="O87" i="1"/>
  <c r="R87" i="1" s="1"/>
  <c r="O88" i="1"/>
  <c r="R88" i="1" s="1"/>
  <c r="O89" i="1"/>
  <c r="R89" i="1" s="1"/>
  <c r="O90" i="1"/>
  <c r="R90" i="1" s="1"/>
  <c r="O91" i="1"/>
  <c r="R91" i="1" s="1"/>
  <c r="O92" i="1"/>
  <c r="R92" i="1" s="1"/>
  <c r="O93" i="1"/>
  <c r="R93" i="1" s="1"/>
  <c r="O94" i="1"/>
  <c r="R94" i="1" s="1"/>
  <c r="O95" i="1"/>
  <c r="R95" i="1" s="1"/>
  <c r="O96" i="1"/>
  <c r="R96" i="1" s="1"/>
  <c r="O97" i="1"/>
  <c r="R97" i="1" s="1"/>
  <c r="O98" i="1"/>
  <c r="R98" i="1" s="1"/>
  <c r="O99" i="1"/>
  <c r="R99" i="1" s="1"/>
  <c r="O100" i="1"/>
  <c r="R100" i="1" s="1"/>
  <c r="O101" i="1"/>
  <c r="R101" i="1" s="1"/>
  <c r="O102" i="1"/>
  <c r="R102" i="1" s="1"/>
  <c r="O103" i="1"/>
  <c r="R103" i="1" s="1"/>
  <c r="O104" i="1"/>
  <c r="R104" i="1" s="1"/>
  <c r="O105" i="1"/>
  <c r="R105" i="1" s="1"/>
  <c r="O106" i="1"/>
  <c r="R106" i="1" s="1"/>
  <c r="O107" i="1"/>
  <c r="R107" i="1" s="1"/>
  <c r="O108" i="1"/>
  <c r="R108" i="1" s="1"/>
  <c r="O109" i="1"/>
  <c r="R109" i="1" s="1"/>
  <c r="O110" i="1"/>
  <c r="R110" i="1" s="1"/>
  <c r="O111" i="1"/>
  <c r="R111" i="1" s="1"/>
  <c r="O112" i="1"/>
  <c r="R112" i="1" s="1"/>
  <c r="O113" i="1"/>
  <c r="R113" i="1" s="1"/>
  <c r="O114" i="1"/>
  <c r="R114" i="1" s="1"/>
  <c r="O115" i="1"/>
  <c r="R115" i="1" s="1"/>
  <c r="O116" i="1"/>
  <c r="R116" i="1" s="1"/>
  <c r="O117" i="1"/>
  <c r="R117" i="1" s="1"/>
  <c r="O118" i="1"/>
  <c r="R118" i="1" s="1"/>
  <c r="O119" i="1"/>
  <c r="R119" i="1" s="1"/>
  <c r="O120" i="1"/>
  <c r="R120" i="1" s="1"/>
  <c r="O121" i="1"/>
  <c r="R121" i="1" s="1"/>
  <c r="O122" i="1"/>
  <c r="R122" i="1" s="1"/>
  <c r="O123" i="1"/>
  <c r="R123" i="1" s="1"/>
  <c r="O124" i="1"/>
  <c r="R124" i="1" s="1"/>
  <c r="O125" i="1"/>
  <c r="R125" i="1" s="1"/>
  <c r="O126" i="1"/>
  <c r="R126" i="1" s="1"/>
  <c r="O127" i="1"/>
  <c r="R127" i="1" s="1"/>
  <c r="O128" i="1"/>
  <c r="R128" i="1" s="1"/>
  <c r="O129" i="1"/>
  <c r="R129" i="1" s="1"/>
  <c r="O130" i="1"/>
  <c r="R130" i="1" s="1"/>
  <c r="O131" i="1"/>
  <c r="R131" i="1" s="1"/>
  <c r="O132" i="1"/>
  <c r="R132" i="1" s="1"/>
  <c r="O133" i="1"/>
  <c r="R133" i="1" s="1"/>
  <c r="O134" i="1"/>
  <c r="R134" i="1" s="1"/>
  <c r="O135" i="1"/>
  <c r="R135" i="1" s="1"/>
  <c r="O136" i="1"/>
  <c r="R136" i="1" s="1"/>
  <c r="O137" i="1"/>
  <c r="R137" i="1" s="1"/>
  <c r="O138" i="1"/>
  <c r="R138" i="1" s="1"/>
  <c r="O139" i="1"/>
  <c r="R139" i="1" s="1"/>
  <c r="O140" i="1"/>
  <c r="R140" i="1" s="1"/>
  <c r="O141" i="1"/>
  <c r="R141" i="1" s="1"/>
  <c r="O142" i="1"/>
  <c r="R142" i="1" s="1"/>
  <c r="O143" i="1"/>
  <c r="R143" i="1" s="1"/>
  <c r="O144" i="1"/>
  <c r="R144" i="1" s="1"/>
  <c r="O145" i="1"/>
  <c r="R145" i="1" s="1"/>
  <c r="O146" i="1"/>
  <c r="R146" i="1" s="1"/>
  <c r="O147" i="1"/>
  <c r="R147" i="1" s="1"/>
  <c r="O148" i="1"/>
  <c r="R148" i="1" s="1"/>
  <c r="O149" i="1"/>
  <c r="R149" i="1" s="1"/>
  <c r="O150" i="1"/>
  <c r="R150" i="1" s="1"/>
  <c r="O151" i="1"/>
  <c r="R151" i="1" s="1"/>
  <c r="O152" i="1"/>
  <c r="R152" i="1" s="1"/>
  <c r="O153" i="1"/>
  <c r="R153" i="1" s="1"/>
  <c r="O154" i="1"/>
  <c r="R154" i="1" s="1"/>
  <c r="O155" i="1"/>
  <c r="R155" i="1" s="1"/>
  <c r="O156" i="1"/>
  <c r="R156" i="1" s="1"/>
  <c r="O157" i="1"/>
  <c r="R157" i="1" s="1"/>
  <c r="O158" i="1"/>
  <c r="R158" i="1" s="1"/>
  <c r="O159" i="1"/>
  <c r="R159" i="1" s="1"/>
  <c r="O160" i="1"/>
  <c r="R160" i="1" s="1"/>
  <c r="O161" i="1"/>
  <c r="R161" i="1" s="1"/>
  <c r="O162" i="1"/>
  <c r="R162" i="1" s="1"/>
  <c r="O163" i="1"/>
  <c r="R163" i="1" s="1"/>
  <c r="O164" i="1"/>
  <c r="R164" i="1" s="1"/>
  <c r="O165" i="1"/>
  <c r="R165" i="1" s="1"/>
  <c r="O166" i="1"/>
  <c r="R166" i="1" s="1"/>
  <c r="O167" i="1"/>
  <c r="R167" i="1" s="1"/>
  <c r="O168" i="1"/>
  <c r="R168" i="1" s="1"/>
  <c r="O169" i="1"/>
  <c r="R169" i="1" s="1"/>
  <c r="O170" i="1"/>
  <c r="R170" i="1" s="1"/>
  <c r="O171" i="1"/>
  <c r="R171" i="1" s="1"/>
  <c r="O172" i="1"/>
  <c r="R172" i="1" s="1"/>
  <c r="O173" i="1"/>
  <c r="R173" i="1" s="1"/>
  <c r="O174" i="1"/>
  <c r="R174" i="1" s="1"/>
  <c r="O175" i="1"/>
  <c r="R175" i="1" s="1"/>
  <c r="O176" i="1"/>
  <c r="R176" i="1" s="1"/>
  <c r="O177" i="1"/>
  <c r="R177" i="1" s="1"/>
  <c r="O178" i="1"/>
  <c r="R178" i="1" s="1"/>
  <c r="O179" i="1"/>
  <c r="R179" i="1" s="1"/>
  <c r="O180" i="1"/>
  <c r="R180" i="1" s="1"/>
  <c r="O181" i="1"/>
  <c r="R181" i="1" s="1"/>
  <c r="O182" i="1"/>
  <c r="R182" i="1" s="1"/>
  <c r="O183" i="1"/>
  <c r="R183" i="1" s="1"/>
  <c r="O184" i="1"/>
  <c r="R184" i="1" s="1"/>
  <c r="O185" i="1"/>
  <c r="R185" i="1" s="1"/>
  <c r="O186" i="1"/>
  <c r="R186" i="1" s="1"/>
  <c r="O187" i="1"/>
  <c r="R187" i="1" s="1"/>
  <c r="O188" i="1"/>
  <c r="R188" i="1" s="1"/>
  <c r="O189" i="1"/>
  <c r="R189" i="1" s="1"/>
  <c r="O190" i="1"/>
  <c r="R190" i="1" s="1"/>
  <c r="O191" i="1"/>
  <c r="R191" i="1" s="1"/>
  <c r="O192" i="1"/>
  <c r="R192" i="1" s="1"/>
  <c r="O193" i="1"/>
  <c r="R193" i="1" s="1"/>
  <c r="F2" i="9"/>
  <c r="K47" i="18"/>
  <c r="L47" i="18" s="1"/>
  <c r="S6" i="1"/>
  <c r="O6" i="1"/>
  <c r="R6" i="1" s="1"/>
  <c r="Q9" i="18" l="1"/>
  <c r="Q146" i="18"/>
  <c r="Q148" i="18"/>
  <c r="Q27" i="18"/>
  <c r="Q29" i="18"/>
  <c r="Q31" i="18"/>
  <c r="Q33" i="18"/>
  <c r="Q35" i="18"/>
  <c r="Q37" i="18"/>
  <c r="Q85" i="18"/>
  <c r="Q182" i="18"/>
  <c r="Q25" i="18"/>
  <c r="V3" i="9"/>
  <c r="Q19" i="18"/>
  <c r="Q97" i="18"/>
  <c r="Q131" i="18"/>
  <c r="Q23" i="18"/>
  <c r="V123" i="9"/>
  <c r="V27" i="9"/>
  <c r="Q127" i="18"/>
  <c r="Q17" i="18"/>
  <c r="V99" i="9"/>
  <c r="V75" i="9"/>
  <c r="V180" i="9"/>
  <c r="V156" i="9"/>
  <c r="V132" i="9"/>
  <c r="V108" i="9"/>
  <c r="V60" i="9"/>
  <c r="V36" i="9"/>
  <c r="V12" i="9"/>
  <c r="Q94" i="18"/>
  <c r="Q134" i="18"/>
  <c r="V177" i="9"/>
  <c r="V153" i="9"/>
  <c r="V145" i="9"/>
  <c r="V129" i="9"/>
  <c r="V105" i="9"/>
  <c r="V73" i="9"/>
  <c r="V33" i="9"/>
  <c r="V17" i="9"/>
  <c r="V113" i="9"/>
  <c r="V97" i="9"/>
  <c r="V89" i="9"/>
  <c r="V81" i="9"/>
  <c r="V65" i="9"/>
  <c r="V57" i="9"/>
  <c r="V49" i="9"/>
  <c r="V41" i="9"/>
  <c r="V25" i="9"/>
  <c r="V9" i="9"/>
  <c r="V186" i="9"/>
  <c r="V154" i="9"/>
  <c r="V122" i="9"/>
  <c r="V82" i="9"/>
  <c r="V10" i="9"/>
  <c r="V170" i="9"/>
  <c r="V146" i="9"/>
  <c r="V98" i="9"/>
  <c r="V58" i="9"/>
  <c r="T21" i="23" s="1"/>
  <c r="V21" i="23" s="1"/>
  <c r="V42" i="9"/>
  <c r="V18" i="9"/>
  <c r="V178" i="9"/>
  <c r="V138" i="9"/>
  <c r="V106" i="9"/>
  <c r="V90" i="9"/>
  <c r="V50" i="9"/>
  <c r="V34" i="9"/>
  <c r="V26" i="9"/>
  <c r="V176" i="9"/>
  <c r="V160" i="9"/>
  <c r="V144" i="9"/>
  <c r="V128" i="9"/>
  <c r="V104" i="9"/>
  <c r="V88" i="9"/>
  <c r="V56" i="9"/>
  <c r="V32" i="9"/>
  <c r="V184" i="9"/>
  <c r="V168" i="9"/>
  <c r="V152" i="9"/>
  <c r="V120" i="9"/>
  <c r="V96" i="9"/>
  <c r="V80" i="9"/>
  <c r="V64" i="9"/>
  <c r="V48" i="9"/>
  <c r="V40" i="9"/>
  <c r="V16" i="9"/>
  <c r="T91" i="23"/>
  <c r="V91" i="23" s="1"/>
  <c r="T91" i="22"/>
  <c r="T91" i="1"/>
  <c r="T176" i="22"/>
  <c r="T176" i="1"/>
  <c r="T176" i="23"/>
  <c r="V176" i="23" s="1"/>
  <c r="T112" i="22"/>
  <c r="T112" i="1"/>
  <c r="U112" i="1" s="1"/>
  <c r="T112" i="23"/>
  <c r="V112" i="23" s="1"/>
  <c r="T156" i="23"/>
  <c r="V156" i="23" s="1"/>
  <c r="T156" i="22"/>
  <c r="T156" i="1"/>
  <c r="T151" i="1"/>
  <c r="T19" i="23"/>
  <c r="V19" i="23" s="1"/>
  <c r="T19" i="22"/>
  <c r="T19" i="1"/>
  <c r="T94" i="23"/>
  <c r="V94" i="23" s="1"/>
  <c r="T94" i="22"/>
  <c r="T94" i="1"/>
  <c r="T185" i="22"/>
  <c r="T185" i="23"/>
  <c r="V185" i="23" s="1"/>
  <c r="T185" i="1"/>
  <c r="T47" i="22"/>
  <c r="T47" i="23"/>
  <c r="V47" i="23" s="1"/>
  <c r="T47" i="1"/>
  <c r="T169" i="22"/>
  <c r="T169" i="23"/>
  <c r="V169" i="23" s="1"/>
  <c r="T169" i="1"/>
  <c r="T153" i="22"/>
  <c r="T153" i="23"/>
  <c r="V153" i="23" s="1"/>
  <c r="T153" i="1"/>
  <c r="T66" i="22"/>
  <c r="T66" i="23"/>
  <c r="V66" i="23" s="1"/>
  <c r="T66" i="1"/>
  <c r="T89" i="22"/>
  <c r="T89" i="23"/>
  <c r="V89" i="23" s="1"/>
  <c r="T89" i="1"/>
  <c r="T41" i="22"/>
  <c r="T41" i="23"/>
  <c r="V41" i="23" s="1"/>
  <c r="T41" i="1"/>
  <c r="T178" i="22"/>
  <c r="T178" i="23"/>
  <c r="V178" i="23" s="1"/>
  <c r="T178" i="1"/>
  <c r="T167" i="22"/>
  <c r="T167" i="23"/>
  <c r="V167" i="23" s="1"/>
  <c r="T167" i="1"/>
  <c r="T49" i="22"/>
  <c r="T49" i="23"/>
  <c r="V49" i="23" s="1"/>
  <c r="T49" i="1"/>
  <c r="T38" i="23"/>
  <c r="V38" i="23" s="1"/>
  <c r="T38" i="22"/>
  <c r="T38" i="1"/>
  <c r="T140" i="23"/>
  <c r="V140" i="23" s="1"/>
  <c r="T140" i="22"/>
  <c r="T140" i="1"/>
  <c r="T127" i="22"/>
  <c r="T127" i="23"/>
  <c r="V127" i="23" s="1"/>
  <c r="T127" i="1"/>
  <c r="T171" i="23"/>
  <c r="V171" i="23" s="1"/>
  <c r="T171" i="22"/>
  <c r="T171" i="1"/>
  <c r="T57" i="22"/>
  <c r="T57" i="23"/>
  <c r="V57" i="23" s="1"/>
  <c r="T57" i="1"/>
  <c r="T126" i="23"/>
  <c r="V126" i="23" s="1"/>
  <c r="T126" i="22"/>
  <c r="T126" i="1"/>
  <c r="T123" i="23"/>
  <c r="V123" i="23" s="1"/>
  <c r="T123" i="22"/>
  <c r="T123" i="1"/>
  <c r="T101" i="23"/>
  <c r="V101" i="23" s="1"/>
  <c r="T101" i="22"/>
  <c r="T101" i="1"/>
  <c r="T29" i="23"/>
  <c r="V29" i="23" s="1"/>
  <c r="T29" i="22"/>
  <c r="T29" i="1"/>
  <c r="V4" i="9"/>
  <c r="T63" i="22"/>
  <c r="T63" i="23"/>
  <c r="V63" i="23" s="1"/>
  <c r="T63" i="1"/>
  <c r="T190" i="23"/>
  <c r="V190" i="23" s="1"/>
  <c r="T190" i="22"/>
  <c r="T190" i="1"/>
  <c r="T56" i="22"/>
  <c r="T56" i="1"/>
  <c r="T56" i="23"/>
  <c r="V56" i="23" s="1"/>
  <c r="T51" i="23"/>
  <c r="V51" i="23" s="1"/>
  <c r="T51" i="22"/>
  <c r="T51" i="1"/>
  <c r="T138" i="1"/>
  <c r="U138" i="1" s="1"/>
  <c r="T163" i="23"/>
  <c r="V163" i="23" s="1"/>
  <c r="T163" i="22"/>
  <c r="T163" i="1"/>
  <c r="T136" i="1"/>
  <c r="T136" i="23"/>
  <c r="V136" i="23" s="1"/>
  <c r="T81" i="22"/>
  <c r="T81" i="23"/>
  <c r="V81" i="23" s="1"/>
  <c r="T81" i="1"/>
  <c r="T6" i="23"/>
  <c r="V6" i="23" s="1"/>
  <c r="T6" i="22"/>
  <c r="T6" i="1"/>
  <c r="T160" i="22"/>
  <c r="T160" i="23"/>
  <c r="V160" i="23" s="1"/>
  <c r="T160" i="1"/>
  <c r="T109" i="23"/>
  <c r="V109" i="23" s="1"/>
  <c r="T109" i="22"/>
  <c r="T109" i="1"/>
  <c r="T27" i="23"/>
  <c r="V27" i="23" s="1"/>
  <c r="T27" i="22"/>
  <c r="T27" i="1"/>
  <c r="T74" i="22"/>
  <c r="T74" i="23"/>
  <c r="V74" i="23" s="1"/>
  <c r="T74" i="1"/>
  <c r="T98" i="22"/>
  <c r="T98" i="23"/>
  <c r="V98" i="23" s="1"/>
  <c r="T98" i="1"/>
  <c r="T93" i="23"/>
  <c r="V93" i="23" s="1"/>
  <c r="T93" i="22"/>
  <c r="T93" i="1"/>
  <c r="T188" i="23"/>
  <c r="V188" i="23" s="1"/>
  <c r="T188" i="22"/>
  <c r="T188" i="1"/>
  <c r="T120" i="22"/>
  <c r="T120" i="1"/>
  <c r="V120" i="1" s="1"/>
  <c r="T120" i="23"/>
  <c r="V120" i="23" s="1"/>
  <c r="T30" i="23"/>
  <c r="V30" i="23" s="1"/>
  <c r="T30" i="22"/>
  <c r="T30" i="1"/>
  <c r="T8" i="23"/>
  <c r="V8" i="23" s="1"/>
  <c r="T106" i="22"/>
  <c r="T106" i="23"/>
  <c r="V106" i="23" s="1"/>
  <c r="T106" i="1"/>
  <c r="T139" i="23"/>
  <c r="V139" i="23" s="1"/>
  <c r="T139" i="22"/>
  <c r="T64" i="1"/>
  <c r="T64" i="23"/>
  <c r="V64" i="23" s="1"/>
  <c r="T117" i="23"/>
  <c r="V117" i="23" s="1"/>
  <c r="T117" i="22"/>
  <c r="T117" i="1"/>
  <c r="T116" i="23"/>
  <c r="V116" i="23" s="1"/>
  <c r="T116" i="1"/>
  <c r="U116" i="1" s="1"/>
  <c r="T116" i="22"/>
  <c r="T97" i="22"/>
  <c r="T97" i="23"/>
  <c r="V97" i="23" s="1"/>
  <c r="T97" i="1"/>
  <c r="T122" i="22"/>
  <c r="T122" i="23"/>
  <c r="V122" i="23" s="1"/>
  <c r="T148" i="23"/>
  <c r="V148" i="23" s="1"/>
  <c r="T148" i="22"/>
  <c r="T148" i="1"/>
  <c r="I32" i="22"/>
  <c r="J32" i="22" s="1"/>
  <c r="I32" i="23"/>
  <c r="T80" i="22"/>
  <c r="T80" i="1"/>
  <c r="T80" i="23"/>
  <c r="V80" i="23" s="1"/>
  <c r="T46" i="23"/>
  <c r="V46" i="23" s="1"/>
  <c r="T46" i="22"/>
  <c r="T46" i="1"/>
  <c r="T110" i="23"/>
  <c r="V110" i="23" s="1"/>
  <c r="T110" i="22"/>
  <c r="T110" i="1"/>
  <c r="T7" i="22"/>
  <c r="T7" i="23"/>
  <c r="V7" i="23" s="1"/>
  <c r="T7" i="1"/>
  <c r="T137" i="22"/>
  <c r="T82" i="22"/>
  <c r="T82" i="23"/>
  <c r="V82" i="23" s="1"/>
  <c r="T82" i="1"/>
  <c r="T191" i="22"/>
  <c r="T191" i="23"/>
  <c r="V191" i="23" s="1"/>
  <c r="T191" i="1"/>
  <c r="T73" i="22"/>
  <c r="T73" i="23"/>
  <c r="V73" i="23" s="1"/>
  <c r="T73" i="1"/>
  <c r="U73" i="1" s="1"/>
  <c r="T144" i="22"/>
  <c r="T144" i="1"/>
  <c r="T144" i="23"/>
  <c r="V144" i="23" s="1"/>
  <c r="T193" i="22"/>
  <c r="T193" i="23"/>
  <c r="V193" i="23" s="1"/>
  <c r="T193" i="1"/>
  <c r="T118" i="23"/>
  <c r="V118" i="23" s="1"/>
  <c r="T118" i="22"/>
  <c r="T118" i="1"/>
  <c r="T158" i="23"/>
  <c r="V158" i="23" s="1"/>
  <c r="T158" i="22"/>
  <c r="T158" i="1"/>
  <c r="T168" i="1"/>
  <c r="V168" i="1" s="1"/>
  <c r="T43" i="23"/>
  <c r="V43" i="23" s="1"/>
  <c r="T43" i="22"/>
  <c r="T43" i="1"/>
  <c r="V183" i="9"/>
  <c r="V175" i="9"/>
  <c r="V167" i="9"/>
  <c r="V151" i="9"/>
  <c r="V143" i="9"/>
  <c r="V127" i="9"/>
  <c r="V111" i="9"/>
  <c r="V103" i="9"/>
  <c r="V87" i="9"/>
  <c r="V79" i="9"/>
  <c r="V71" i="9"/>
  <c r="V63" i="9"/>
  <c r="V55" i="9"/>
  <c r="V39" i="9"/>
  <c r="V31" i="9"/>
  <c r="V23" i="9"/>
  <c r="V15" i="9"/>
  <c r="V7" i="9"/>
  <c r="T157" i="23"/>
  <c r="V157" i="23" s="1"/>
  <c r="T157" i="22"/>
  <c r="T157" i="1"/>
  <c r="T180" i="23"/>
  <c r="V180" i="23" s="1"/>
  <c r="T180" i="1"/>
  <c r="T180" i="22"/>
  <c r="T15" i="22"/>
  <c r="T15" i="23"/>
  <c r="V15" i="23" s="1"/>
  <c r="T15" i="1"/>
  <c r="T111" i="22"/>
  <c r="T111" i="23"/>
  <c r="V111" i="23" s="1"/>
  <c r="T111" i="1"/>
  <c r="T134" i="23"/>
  <c r="V134" i="23" s="1"/>
  <c r="T134" i="22"/>
  <c r="T134" i="1"/>
  <c r="T35" i="23"/>
  <c r="V35" i="23" s="1"/>
  <c r="T35" i="22"/>
  <c r="T35" i="1"/>
  <c r="T183" i="22"/>
  <c r="T183" i="23"/>
  <c r="V183" i="23" s="1"/>
  <c r="T183" i="1"/>
  <c r="T10" i="22"/>
  <c r="T10" i="23"/>
  <c r="V10" i="23" s="1"/>
  <c r="T10" i="1"/>
  <c r="T50" i="22"/>
  <c r="T50" i="23"/>
  <c r="V50" i="23" s="1"/>
  <c r="T50" i="1"/>
  <c r="T131" i="23"/>
  <c r="V131" i="23" s="1"/>
  <c r="T131" i="22"/>
  <c r="T131" i="1"/>
  <c r="T88" i="22"/>
  <c r="T88" i="1"/>
  <c r="T88" i="23"/>
  <c r="V88" i="23" s="1"/>
  <c r="L32" i="23"/>
  <c r="L32" i="22"/>
  <c r="L32" i="1"/>
  <c r="M32" i="1" s="1"/>
  <c r="T14" i="23"/>
  <c r="V14" i="23" s="1"/>
  <c r="T14" i="22"/>
  <c r="T14" i="1"/>
  <c r="T100" i="23"/>
  <c r="V100" i="23" s="1"/>
  <c r="T72" i="22"/>
  <c r="T72" i="1"/>
  <c r="T72" i="23"/>
  <c r="V72" i="23" s="1"/>
  <c r="T17" i="22"/>
  <c r="T17" i="23"/>
  <c r="V17" i="23" s="1"/>
  <c r="T17" i="1"/>
  <c r="T92" i="23"/>
  <c r="V92" i="23" s="1"/>
  <c r="T92" i="22"/>
  <c r="T92" i="1"/>
  <c r="T186" i="22"/>
  <c r="T186" i="23"/>
  <c r="V186" i="23" s="1"/>
  <c r="T186" i="1"/>
  <c r="T161" i="22"/>
  <c r="T161" i="23"/>
  <c r="V161" i="23" s="1"/>
  <c r="T161" i="1"/>
  <c r="T20" i="23"/>
  <c r="V20" i="23" s="1"/>
  <c r="T20" i="22"/>
  <c r="T20" i="1"/>
  <c r="T75" i="23"/>
  <c r="V75" i="23" s="1"/>
  <c r="T75" i="22"/>
  <c r="T75" i="1"/>
  <c r="T45" i="23"/>
  <c r="V45" i="23" s="1"/>
  <c r="T45" i="22"/>
  <c r="T45" i="1"/>
  <c r="T150" i="1"/>
  <c r="U150" i="1" s="1"/>
  <c r="T149" i="23"/>
  <c r="V149" i="23" s="1"/>
  <c r="T149" i="22"/>
  <c r="T149" i="1"/>
  <c r="T86" i="23"/>
  <c r="V86" i="23" s="1"/>
  <c r="T86" i="22"/>
  <c r="T86" i="1"/>
  <c r="T142" i="23"/>
  <c r="V142" i="23" s="1"/>
  <c r="T142" i="22"/>
  <c r="T142" i="1"/>
  <c r="T48" i="22"/>
  <c r="T61" i="23"/>
  <c r="V61" i="23" s="1"/>
  <c r="T61" i="22"/>
  <c r="T61" i="1"/>
  <c r="T187" i="22"/>
  <c r="T59" i="23"/>
  <c r="V59" i="23" s="1"/>
  <c r="T59" i="22"/>
  <c r="T59" i="1"/>
  <c r="V166" i="9"/>
  <c r="V158" i="9"/>
  <c r="V134" i="9"/>
  <c r="V126" i="9"/>
  <c r="V118" i="9"/>
  <c r="V102" i="9"/>
  <c r="V94" i="9"/>
  <c r="V86" i="9"/>
  <c r="V78" i="9"/>
  <c r="V70" i="9"/>
  <c r="V62" i="9"/>
  <c r="V54" i="9"/>
  <c r="V46" i="9"/>
  <c r="V38" i="9"/>
  <c r="V30" i="9"/>
  <c r="V22" i="9"/>
  <c r="V14" i="9"/>
  <c r="V173" i="9"/>
  <c r="V165" i="9"/>
  <c r="V141" i="9"/>
  <c r="V133" i="9"/>
  <c r="V125" i="9"/>
  <c r="V117" i="9"/>
  <c r="V109" i="9"/>
  <c r="V93" i="9"/>
  <c r="V77" i="9"/>
  <c r="V69" i="9"/>
  <c r="V61" i="9"/>
  <c r="V53" i="9"/>
  <c r="V45" i="9"/>
  <c r="V37" i="9"/>
  <c r="V29" i="9"/>
  <c r="V21" i="9"/>
  <c r="V13" i="9"/>
  <c r="V5" i="9"/>
  <c r="G34" i="22"/>
  <c r="G34" i="23"/>
  <c r="G34" i="1"/>
  <c r="H34" i="1" s="1"/>
  <c r="G29" i="23"/>
  <c r="G29" i="22"/>
  <c r="G29" i="1"/>
  <c r="H29" i="1" s="1"/>
  <c r="G101" i="23"/>
  <c r="G101" i="22"/>
  <c r="G101" i="1"/>
  <c r="H101" i="1" s="1"/>
  <c r="G123" i="23"/>
  <c r="G123" i="22"/>
  <c r="G123" i="1"/>
  <c r="H123" i="1" s="1"/>
  <c r="G126" i="23"/>
  <c r="G126" i="22"/>
  <c r="G126" i="1"/>
  <c r="H126" i="1" s="1"/>
  <c r="G57" i="22"/>
  <c r="G57" i="23"/>
  <c r="G57" i="1"/>
  <c r="H57" i="1" s="1"/>
  <c r="G171" i="23"/>
  <c r="G171" i="22"/>
  <c r="G171" i="1"/>
  <c r="H171" i="1" s="1"/>
  <c r="G127" i="22"/>
  <c r="G127" i="23"/>
  <c r="G127" i="1"/>
  <c r="H127" i="1" s="1"/>
  <c r="G140" i="23"/>
  <c r="G140" i="22"/>
  <c r="G140" i="1"/>
  <c r="H140" i="1" s="1"/>
  <c r="G38" i="22"/>
  <c r="G38" i="23"/>
  <c r="G38" i="1"/>
  <c r="H38" i="1" s="1"/>
  <c r="G49" i="23"/>
  <c r="G49" i="22"/>
  <c r="G49" i="1"/>
  <c r="H49" i="1" s="1"/>
  <c r="G167" i="23"/>
  <c r="G167" i="22"/>
  <c r="G167" i="1"/>
  <c r="H167" i="1" s="1"/>
  <c r="G178" i="22"/>
  <c r="G178" i="23"/>
  <c r="G178" i="1"/>
  <c r="H178" i="1" s="1"/>
  <c r="G41" i="23"/>
  <c r="G41" i="22"/>
  <c r="G41" i="1"/>
  <c r="H41" i="1" s="1"/>
  <c r="G89" i="23"/>
  <c r="G89" i="22"/>
  <c r="G89" i="1"/>
  <c r="H89" i="1" s="1"/>
  <c r="G66" i="23"/>
  <c r="G66" i="22"/>
  <c r="G66" i="1"/>
  <c r="H66" i="1" s="1"/>
  <c r="G153" i="22"/>
  <c r="G153" i="23"/>
  <c r="G153" i="1"/>
  <c r="H153" i="1" s="1"/>
  <c r="G169" i="22"/>
  <c r="G169" i="23"/>
  <c r="G169" i="1"/>
  <c r="H169" i="1" s="1"/>
  <c r="G47" i="22"/>
  <c r="G47" i="23"/>
  <c r="G47" i="1"/>
  <c r="H47" i="1" s="1"/>
  <c r="G185" i="23"/>
  <c r="G185" i="22"/>
  <c r="G185" i="1"/>
  <c r="H185" i="1" s="1"/>
  <c r="G94" i="22"/>
  <c r="G94" i="23"/>
  <c r="G94" i="1"/>
  <c r="H94" i="1" s="1"/>
  <c r="G19" i="23"/>
  <c r="G19" i="22"/>
  <c r="G19" i="1"/>
  <c r="H19" i="1" s="1"/>
  <c r="G151" i="22"/>
  <c r="G151" i="23"/>
  <c r="G151" i="1"/>
  <c r="H151" i="1" s="1"/>
  <c r="G156" i="23"/>
  <c r="G156" i="22"/>
  <c r="G156" i="1"/>
  <c r="H156" i="1" s="1"/>
  <c r="G42" i="22"/>
  <c r="G42" i="23"/>
  <c r="G42" i="1"/>
  <c r="H42" i="1" s="1"/>
  <c r="G133" i="23"/>
  <c r="G133" i="22"/>
  <c r="G133" i="1"/>
  <c r="H133" i="1" s="1"/>
  <c r="G173" i="22"/>
  <c r="G173" i="23"/>
  <c r="G173" i="1"/>
  <c r="H173" i="1" s="1"/>
  <c r="G113" i="23"/>
  <c r="G113" i="22"/>
  <c r="G113" i="1"/>
  <c r="H113" i="1" s="1"/>
  <c r="G67" i="23"/>
  <c r="G67" i="22"/>
  <c r="G67" i="1"/>
  <c r="H67" i="1" s="1"/>
  <c r="G166" i="23"/>
  <c r="G166" i="22"/>
  <c r="G166" i="1"/>
  <c r="H166" i="1" s="1"/>
  <c r="G25" i="22"/>
  <c r="G25" i="23"/>
  <c r="G25" i="1"/>
  <c r="H25" i="1" s="1"/>
  <c r="G143" i="23"/>
  <c r="G143" i="22"/>
  <c r="G143" i="1"/>
  <c r="H143" i="1" s="1"/>
  <c r="G184" i="23"/>
  <c r="G184" i="22"/>
  <c r="G184" i="1"/>
  <c r="H184" i="1" s="1"/>
  <c r="G58" i="22"/>
  <c r="G58" i="23"/>
  <c r="G58" i="1"/>
  <c r="H58" i="1" s="1"/>
  <c r="G125" i="22"/>
  <c r="G125" i="23"/>
  <c r="G125" i="1"/>
  <c r="H125" i="1" s="1"/>
  <c r="G165" i="23"/>
  <c r="G165" i="22"/>
  <c r="G165" i="1"/>
  <c r="H165" i="1" s="1"/>
  <c r="G124" i="23"/>
  <c r="G124" i="22"/>
  <c r="G124" i="1"/>
  <c r="H124" i="1" s="1"/>
  <c r="G22" i="23"/>
  <c r="G22" i="22"/>
  <c r="G22" i="1"/>
  <c r="H22" i="1" s="1"/>
  <c r="G121" i="22"/>
  <c r="G121" i="23"/>
  <c r="G121" i="1"/>
  <c r="H121" i="1" s="1"/>
  <c r="G36" i="22"/>
  <c r="G36" i="23"/>
  <c r="G36" i="1"/>
  <c r="H36" i="1" s="1"/>
  <c r="G172" i="22"/>
  <c r="G172" i="23"/>
  <c r="G172" i="1"/>
  <c r="H172" i="1" s="1"/>
  <c r="G68" i="23"/>
  <c r="G68" i="22"/>
  <c r="G68" i="1"/>
  <c r="H68" i="1" s="1"/>
  <c r="G33" i="22"/>
  <c r="G33" i="23"/>
  <c r="G33" i="1"/>
  <c r="H33" i="1" s="1"/>
  <c r="G87" i="22"/>
  <c r="G87" i="23"/>
  <c r="G87" i="1"/>
  <c r="H87" i="1" s="1"/>
  <c r="G114" i="23"/>
  <c r="G114" i="22"/>
  <c r="G114" i="1"/>
  <c r="H114" i="1" s="1"/>
  <c r="G102" i="23"/>
  <c r="G102" i="22"/>
  <c r="G102" i="1"/>
  <c r="H102" i="1" s="1"/>
  <c r="G181" i="23"/>
  <c r="G181" i="22"/>
  <c r="G181" i="1"/>
  <c r="H181" i="1" s="1"/>
  <c r="G95" i="23"/>
  <c r="G95" i="22"/>
  <c r="G95" i="1"/>
  <c r="H95" i="1" s="1"/>
  <c r="G99" i="23"/>
  <c r="G99" i="22"/>
  <c r="G99" i="1"/>
  <c r="H99" i="1" s="1"/>
  <c r="G115" i="23"/>
  <c r="G115" i="22"/>
  <c r="G115" i="1"/>
  <c r="H115" i="1" s="1"/>
  <c r="G174" i="22"/>
  <c r="G174" i="23"/>
  <c r="G174" i="1"/>
  <c r="H174" i="1" s="1"/>
  <c r="G130" i="23"/>
  <c r="G130" i="22"/>
  <c r="G130" i="1"/>
  <c r="H130" i="1" s="1"/>
  <c r="G90" i="23"/>
  <c r="G90" i="22"/>
  <c r="G90" i="1"/>
  <c r="H90" i="1" s="1"/>
  <c r="G84" i="22"/>
  <c r="G84" i="23"/>
  <c r="G84" i="1"/>
  <c r="H84" i="1" s="1"/>
  <c r="G31" i="22"/>
  <c r="G31" i="23"/>
  <c r="G31" i="1"/>
  <c r="H31" i="1" s="1"/>
  <c r="G37" i="22"/>
  <c r="G37" i="23"/>
  <c r="G37" i="1"/>
  <c r="H37" i="1" s="1"/>
  <c r="G28" i="23"/>
  <c r="G28" i="22"/>
  <c r="G28" i="1"/>
  <c r="H28" i="1" s="1"/>
  <c r="G77" i="23"/>
  <c r="G77" i="22"/>
  <c r="G77" i="1"/>
  <c r="H77" i="1" s="1"/>
  <c r="G52" i="23"/>
  <c r="G52" i="22"/>
  <c r="G52" i="1"/>
  <c r="H52" i="1" s="1"/>
  <c r="G16" i="22"/>
  <c r="G16" i="23"/>
  <c r="G16" i="1"/>
  <c r="H16" i="1" s="1"/>
  <c r="G12" i="23"/>
  <c r="G12" i="22"/>
  <c r="G12" i="1"/>
  <c r="H12" i="1" s="1"/>
  <c r="G65" i="23"/>
  <c r="G65" i="22"/>
  <c r="G65" i="1"/>
  <c r="H65" i="1" s="1"/>
  <c r="G155" i="22"/>
  <c r="G155" i="23"/>
  <c r="G155" i="1"/>
  <c r="H155" i="1" s="1"/>
  <c r="G53" i="22"/>
  <c r="G53" i="23"/>
  <c r="G53" i="1"/>
  <c r="H53" i="1" s="1"/>
  <c r="G105" i="23"/>
  <c r="G105" i="22"/>
  <c r="G105" i="1"/>
  <c r="H105" i="1" s="1"/>
  <c r="G103" i="23"/>
  <c r="G103" i="22"/>
  <c r="G103" i="1"/>
  <c r="H103" i="1" s="1"/>
  <c r="G145" i="23"/>
  <c r="G145" i="22"/>
  <c r="G145" i="1"/>
  <c r="H145" i="1" s="1"/>
  <c r="G162" i="23"/>
  <c r="G162" i="22"/>
  <c r="G162" i="1"/>
  <c r="H162" i="1" s="1"/>
  <c r="G13" i="22"/>
  <c r="G13" i="23"/>
  <c r="G13" i="1"/>
  <c r="H13" i="1" s="1"/>
  <c r="G175" i="22"/>
  <c r="G175" i="23"/>
  <c r="G175" i="1"/>
  <c r="H175" i="1" s="1"/>
  <c r="G54" i="22"/>
  <c r="G54" i="23"/>
  <c r="G54" i="1"/>
  <c r="H54" i="1" s="1"/>
  <c r="G78" i="23"/>
  <c r="G78" i="22"/>
  <c r="G78" i="1"/>
  <c r="H78" i="1" s="1"/>
  <c r="G40" i="23"/>
  <c r="G40" i="22"/>
  <c r="G40" i="1"/>
  <c r="H40" i="1" s="1"/>
  <c r="G85" i="22"/>
  <c r="G85" i="23"/>
  <c r="G85" i="1"/>
  <c r="H85" i="1" s="1"/>
  <c r="G192" i="22"/>
  <c r="G192" i="23"/>
  <c r="G192" i="1"/>
  <c r="H192" i="1" s="1"/>
  <c r="G189" i="22"/>
  <c r="G189" i="23"/>
  <c r="G189" i="1"/>
  <c r="H189" i="1" s="1"/>
  <c r="G182" i="23"/>
  <c r="G182" i="22"/>
  <c r="G182" i="1"/>
  <c r="H182" i="1" s="1"/>
  <c r="G44" i="22"/>
  <c r="G44" i="23"/>
  <c r="G44" i="1"/>
  <c r="H44" i="1" s="1"/>
  <c r="G76" i="23"/>
  <c r="G76" i="22"/>
  <c r="G76" i="1"/>
  <c r="H76" i="1" s="1"/>
  <c r="G159" i="23"/>
  <c r="G159" i="22"/>
  <c r="G159" i="1"/>
  <c r="H159" i="1" s="1"/>
  <c r="G9" i="23"/>
  <c r="G9" i="22"/>
  <c r="G9" i="1"/>
  <c r="H9" i="1" s="1"/>
  <c r="G59" i="22"/>
  <c r="G59" i="23"/>
  <c r="G59" i="1"/>
  <c r="H59" i="1" s="1"/>
  <c r="G122" i="22"/>
  <c r="G122" i="23"/>
  <c r="G122" i="1"/>
  <c r="H122" i="1" s="1"/>
  <c r="G43" i="22"/>
  <c r="G43" i="23"/>
  <c r="G43" i="1"/>
  <c r="H43" i="1" s="1"/>
  <c r="G187" i="22"/>
  <c r="G187" i="23"/>
  <c r="G187" i="1"/>
  <c r="H187" i="1" s="1"/>
  <c r="G132" i="22"/>
  <c r="G132" i="23"/>
  <c r="G132" i="1"/>
  <c r="H132" i="1" s="1"/>
  <c r="G55" i="22"/>
  <c r="G55" i="23"/>
  <c r="G55" i="1"/>
  <c r="H55" i="1" s="1"/>
  <c r="G119" i="22"/>
  <c r="G119" i="23"/>
  <c r="G119" i="1"/>
  <c r="H119" i="1" s="1"/>
  <c r="G61" i="23"/>
  <c r="G61" i="22"/>
  <c r="G61" i="1"/>
  <c r="H61" i="1" s="1"/>
  <c r="G168" i="22"/>
  <c r="G168" i="23"/>
  <c r="G168" i="1"/>
  <c r="H168" i="1" s="1"/>
  <c r="G48" i="23"/>
  <c r="G48" i="22"/>
  <c r="G48" i="1"/>
  <c r="H48" i="1" s="1"/>
  <c r="G170" i="23"/>
  <c r="G170" i="22"/>
  <c r="G170" i="1"/>
  <c r="H170" i="1" s="1"/>
  <c r="G96" i="23"/>
  <c r="G96" i="22"/>
  <c r="G96" i="1"/>
  <c r="H96" i="1" s="1"/>
  <c r="G142" i="23"/>
  <c r="G142" i="22"/>
  <c r="G142" i="1"/>
  <c r="H142" i="1" s="1"/>
  <c r="G158" i="23"/>
  <c r="G158" i="22"/>
  <c r="G158" i="1"/>
  <c r="H158" i="1" s="1"/>
  <c r="G86" i="22"/>
  <c r="G86" i="23"/>
  <c r="G86" i="1"/>
  <c r="H86" i="1" s="1"/>
  <c r="G118" i="22"/>
  <c r="G118" i="23"/>
  <c r="G118" i="1"/>
  <c r="H118" i="1" s="1"/>
  <c r="G97" i="23"/>
  <c r="G97" i="22"/>
  <c r="G97" i="1"/>
  <c r="H97" i="1" s="1"/>
  <c r="G149" i="22"/>
  <c r="G149" i="23"/>
  <c r="G149" i="1"/>
  <c r="H149" i="1" s="1"/>
  <c r="G193" i="22"/>
  <c r="G193" i="23"/>
  <c r="G193" i="1"/>
  <c r="H193" i="1" s="1"/>
  <c r="G116" i="22"/>
  <c r="G116" i="23"/>
  <c r="G116" i="1"/>
  <c r="H116" i="1" s="1"/>
  <c r="G150" i="22"/>
  <c r="G150" i="23"/>
  <c r="G150" i="1"/>
  <c r="H150" i="1" s="1"/>
  <c r="G179" i="22"/>
  <c r="G179" i="23"/>
  <c r="G179" i="1"/>
  <c r="H179" i="1" s="1"/>
  <c r="G154" i="22"/>
  <c r="G154" i="23"/>
  <c r="G154" i="1"/>
  <c r="H154" i="1" s="1"/>
  <c r="G23" i="23"/>
  <c r="G23" i="22"/>
  <c r="G23" i="1"/>
  <c r="H23" i="1" s="1"/>
  <c r="G60" i="23"/>
  <c r="G60" i="22"/>
  <c r="G60" i="1"/>
  <c r="H60" i="1" s="1"/>
  <c r="G141" i="23"/>
  <c r="G141" i="22"/>
  <c r="G141" i="1"/>
  <c r="H141" i="1" s="1"/>
  <c r="G24" i="22"/>
  <c r="G24" i="23"/>
  <c r="G24" i="1"/>
  <c r="H24" i="1" s="1"/>
  <c r="G71" i="22"/>
  <c r="G71" i="23"/>
  <c r="G71" i="1"/>
  <c r="H71" i="1" s="1"/>
  <c r="G6" i="22"/>
  <c r="G6" i="23"/>
  <c r="G70" i="22"/>
  <c r="G70" i="23"/>
  <c r="G70" i="1"/>
  <c r="H70" i="1" s="1"/>
  <c r="G81" i="22"/>
  <c r="G81" i="23"/>
  <c r="G81" i="1"/>
  <c r="H81" i="1" s="1"/>
  <c r="G136" i="23"/>
  <c r="G136" i="22"/>
  <c r="G136" i="1"/>
  <c r="H136" i="1" s="1"/>
  <c r="G163" i="23"/>
  <c r="G163" i="22"/>
  <c r="G163" i="1"/>
  <c r="H163" i="1" s="1"/>
  <c r="G45" i="22"/>
  <c r="G45" i="23"/>
  <c r="G45" i="1"/>
  <c r="H45" i="1" s="1"/>
  <c r="G144" i="23"/>
  <c r="G144" i="22"/>
  <c r="G144" i="1"/>
  <c r="H144" i="1" s="1"/>
  <c r="G138" i="23"/>
  <c r="G138" i="22"/>
  <c r="G138" i="1"/>
  <c r="H138" i="1" s="1"/>
  <c r="G51" i="23"/>
  <c r="G51" i="22"/>
  <c r="G51" i="1"/>
  <c r="H51" i="1" s="1"/>
  <c r="G18" i="23"/>
  <c r="G18" i="22"/>
  <c r="G18" i="1"/>
  <c r="H18" i="1" s="1"/>
  <c r="G129" i="22"/>
  <c r="G129" i="23"/>
  <c r="G129" i="1"/>
  <c r="H129" i="1" s="1"/>
  <c r="G75" i="23"/>
  <c r="G75" i="22"/>
  <c r="G75" i="1"/>
  <c r="H75" i="1" s="1"/>
  <c r="G73" i="22"/>
  <c r="G73" i="23"/>
  <c r="G73" i="1"/>
  <c r="H73" i="1" s="1"/>
  <c r="G56" i="22"/>
  <c r="G56" i="23"/>
  <c r="G56" i="1"/>
  <c r="H56" i="1" s="1"/>
  <c r="G191" i="22"/>
  <c r="G191" i="23"/>
  <c r="G191" i="1"/>
  <c r="H191" i="1" s="1"/>
  <c r="G20" i="23"/>
  <c r="G20" i="22"/>
  <c r="G20" i="1"/>
  <c r="H20" i="1" s="1"/>
  <c r="G117" i="22"/>
  <c r="G117" i="23"/>
  <c r="G117" i="1"/>
  <c r="H117" i="1" s="1"/>
  <c r="G83" i="22"/>
  <c r="G83" i="23"/>
  <c r="G83" i="1"/>
  <c r="H83" i="1" s="1"/>
  <c r="G177" i="22"/>
  <c r="G177" i="23"/>
  <c r="G177" i="1"/>
  <c r="H177" i="1" s="1"/>
  <c r="G161" i="23"/>
  <c r="G161" i="22"/>
  <c r="G161" i="1"/>
  <c r="H161" i="1" s="1"/>
  <c r="G82" i="22"/>
  <c r="G82" i="23"/>
  <c r="G82" i="1"/>
  <c r="H82" i="1" s="1"/>
  <c r="G190" i="22"/>
  <c r="G190" i="23"/>
  <c r="G190" i="1"/>
  <c r="H190" i="1" s="1"/>
  <c r="G186" i="23"/>
  <c r="G186" i="22"/>
  <c r="G186" i="1"/>
  <c r="H186" i="1" s="1"/>
  <c r="G69" i="22"/>
  <c r="G69" i="23"/>
  <c r="G69" i="1"/>
  <c r="H69" i="1" s="1"/>
  <c r="G108" i="22"/>
  <c r="G108" i="23"/>
  <c r="G108" i="1"/>
  <c r="H108" i="1" s="1"/>
  <c r="G135" i="23"/>
  <c r="G135" i="22"/>
  <c r="G135" i="1"/>
  <c r="H135" i="1" s="1"/>
  <c r="G164" i="23"/>
  <c r="G164" i="22"/>
  <c r="G164" i="1"/>
  <c r="H164" i="1" s="1"/>
  <c r="G32" i="22"/>
  <c r="G32" i="23"/>
  <c r="G32" i="1"/>
  <c r="H32" i="1" s="1"/>
  <c r="G92" i="22"/>
  <c r="G92" i="23"/>
  <c r="G92" i="1"/>
  <c r="H92" i="1" s="1"/>
  <c r="G62" i="23"/>
  <c r="G62" i="22"/>
  <c r="G62" i="1"/>
  <c r="H62" i="1" s="1"/>
  <c r="G137" i="23"/>
  <c r="G137" i="22"/>
  <c r="G137" i="1"/>
  <c r="H137" i="1" s="1"/>
  <c r="G64" i="22"/>
  <c r="G64" i="23"/>
  <c r="G64" i="1"/>
  <c r="H64" i="1" s="1"/>
  <c r="G128" i="22"/>
  <c r="G128" i="23"/>
  <c r="G128" i="1"/>
  <c r="H128" i="1" s="1"/>
  <c r="G147" i="23"/>
  <c r="G147" i="22"/>
  <c r="G147" i="1"/>
  <c r="H147" i="1" s="1"/>
  <c r="G21" i="23"/>
  <c r="G21" i="22"/>
  <c r="G21" i="1"/>
  <c r="H21" i="1" s="1"/>
  <c r="G17" i="23"/>
  <c r="G17" i="22"/>
  <c r="G17" i="1"/>
  <c r="H17" i="1" s="1"/>
  <c r="G7" i="22"/>
  <c r="G7" i="23"/>
  <c r="G7" i="1"/>
  <c r="H7" i="1" s="1"/>
  <c r="G139" i="23"/>
  <c r="G139" i="22"/>
  <c r="G139" i="1"/>
  <c r="H139" i="1" s="1"/>
  <c r="G79" i="23"/>
  <c r="G79" i="22"/>
  <c r="G79" i="1"/>
  <c r="H79" i="1" s="1"/>
  <c r="G104" i="23"/>
  <c r="G104" i="22"/>
  <c r="G104" i="1"/>
  <c r="H104" i="1" s="1"/>
  <c r="G110" i="22"/>
  <c r="G110" i="23"/>
  <c r="G110" i="1"/>
  <c r="H110" i="1" s="1"/>
  <c r="G106" i="22"/>
  <c r="G106" i="23"/>
  <c r="G106" i="1"/>
  <c r="H106" i="1" s="1"/>
  <c r="G26" i="23"/>
  <c r="G26" i="22"/>
  <c r="G26" i="1"/>
  <c r="H26" i="1" s="1"/>
  <c r="G72" i="22"/>
  <c r="G72" i="23"/>
  <c r="G72" i="1"/>
  <c r="H72" i="1" s="1"/>
  <c r="G46" i="22"/>
  <c r="G46" i="23"/>
  <c r="G46" i="1"/>
  <c r="H46" i="1" s="1"/>
  <c r="G11" i="23"/>
  <c r="G11" i="22"/>
  <c r="G11" i="1"/>
  <c r="H11" i="1" s="1"/>
  <c r="G100" i="23"/>
  <c r="G100" i="22"/>
  <c r="G100" i="1"/>
  <c r="H100" i="1" s="1"/>
  <c r="G112" i="23"/>
  <c r="G112" i="22"/>
  <c r="G112" i="1"/>
  <c r="H112" i="1" s="1"/>
  <c r="G80" i="22"/>
  <c r="G80" i="23"/>
  <c r="G80" i="1"/>
  <c r="H80" i="1" s="1"/>
  <c r="G14" i="22"/>
  <c r="G14" i="23"/>
  <c r="G14" i="1"/>
  <c r="H14" i="1" s="1"/>
  <c r="G8" i="23"/>
  <c r="G8" i="22"/>
  <c r="G8" i="1"/>
  <c r="H8" i="1" s="1"/>
  <c r="G146" i="23"/>
  <c r="G146" i="22"/>
  <c r="G146" i="1"/>
  <c r="H146" i="1" s="1"/>
  <c r="G152" i="22"/>
  <c r="G152" i="23"/>
  <c r="G152" i="1"/>
  <c r="H152" i="1" s="1"/>
  <c r="G39" i="23"/>
  <c r="G39" i="22"/>
  <c r="G39" i="1"/>
  <c r="H39" i="1" s="1"/>
  <c r="G107" i="23"/>
  <c r="G107" i="22"/>
  <c r="G107" i="1"/>
  <c r="H107" i="1" s="1"/>
  <c r="G88" i="23"/>
  <c r="G88" i="22"/>
  <c r="G88" i="1"/>
  <c r="H88" i="1" s="1"/>
  <c r="G30" i="22"/>
  <c r="G30" i="23"/>
  <c r="G30" i="1"/>
  <c r="H30" i="1" s="1"/>
  <c r="G131" i="22"/>
  <c r="G131" i="23"/>
  <c r="G131" i="1"/>
  <c r="H131" i="1" s="1"/>
  <c r="G120" i="22"/>
  <c r="G120" i="23"/>
  <c r="G120" i="1"/>
  <c r="H120" i="1" s="1"/>
  <c r="G50" i="23"/>
  <c r="G50" i="22"/>
  <c r="G50" i="1"/>
  <c r="H50" i="1" s="1"/>
  <c r="G188" i="22"/>
  <c r="G188" i="23"/>
  <c r="G188" i="1"/>
  <c r="H188" i="1" s="1"/>
  <c r="G10" i="23"/>
  <c r="G10" i="22"/>
  <c r="G10" i="1"/>
  <c r="H10" i="1" s="1"/>
  <c r="G93" i="22"/>
  <c r="G93" i="23"/>
  <c r="G93" i="1"/>
  <c r="H93" i="1" s="1"/>
  <c r="G157" i="22"/>
  <c r="G157" i="23"/>
  <c r="G157" i="1"/>
  <c r="H157" i="1" s="1"/>
  <c r="G183" i="23"/>
  <c r="G183" i="22"/>
  <c r="G183" i="1"/>
  <c r="H183" i="1" s="1"/>
  <c r="G98" i="23"/>
  <c r="G98" i="22"/>
  <c r="G98" i="1"/>
  <c r="H98" i="1" s="1"/>
  <c r="G35" i="22"/>
  <c r="G35" i="23"/>
  <c r="G35" i="1"/>
  <c r="H35" i="1" s="1"/>
  <c r="G176" i="22"/>
  <c r="G176" i="23"/>
  <c r="G176" i="1"/>
  <c r="H176" i="1" s="1"/>
  <c r="G74" i="23"/>
  <c r="G74" i="22"/>
  <c r="G74" i="1"/>
  <c r="H74" i="1" s="1"/>
  <c r="G134" i="23"/>
  <c r="G134" i="22"/>
  <c r="G134" i="1"/>
  <c r="H134" i="1" s="1"/>
  <c r="G27" i="23"/>
  <c r="G27" i="22"/>
  <c r="G27" i="1"/>
  <c r="H27" i="1" s="1"/>
  <c r="G63" i="22"/>
  <c r="G63" i="23"/>
  <c r="G63" i="1"/>
  <c r="H63" i="1" s="1"/>
  <c r="G111" i="23"/>
  <c r="G111" i="22"/>
  <c r="G111" i="1"/>
  <c r="H111" i="1" s="1"/>
  <c r="G109" i="22"/>
  <c r="G109" i="23"/>
  <c r="G109" i="1"/>
  <c r="H109" i="1" s="1"/>
  <c r="G15" i="22"/>
  <c r="G15" i="23"/>
  <c r="G15" i="1"/>
  <c r="H15" i="1" s="1"/>
  <c r="G148" i="22"/>
  <c r="G148" i="23"/>
  <c r="G148" i="1"/>
  <c r="H148" i="1" s="1"/>
  <c r="G160" i="23"/>
  <c r="G160" i="22"/>
  <c r="G160" i="1"/>
  <c r="H160" i="1" s="1"/>
  <c r="G91" i="23"/>
  <c r="G91" i="22"/>
  <c r="G91" i="1"/>
  <c r="H91" i="1" s="1"/>
  <c r="G180" i="22"/>
  <c r="G180" i="23"/>
  <c r="G180" i="1"/>
  <c r="H180" i="1" s="1"/>
  <c r="Q114" i="1"/>
  <c r="Q41" i="1"/>
  <c r="Q125" i="1"/>
  <c r="Q36" i="1"/>
  <c r="Q128" i="1"/>
  <c r="Q93" i="1"/>
  <c r="Q193" i="1"/>
  <c r="Q184" i="1"/>
  <c r="Q29" i="1"/>
  <c r="V2" i="9"/>
  <c r="Q37" i="1"/>
  <c r="Q135" i="1"/>
  <c r="S6" i="18"/>
  <c r="T6" i="18" s="1"/>
  <c r="S17" i="18"/>
  <c r="U17" i="18" s="1"/>
  <c r="S25" i="18"/>
  <c r="U25" i="18" s="1"/>
  <c r="S33" i="18"/>
  <c r="U33" i="18" s="1"/>
  <c r="S40" i="18"/>
  <c r="U40" i="18" s="1"/>
  <c r="S48" i="18"/>
  <c r="U48" i="18" s="1"/>
  <c r="S56" i="18"/>
  <c r="U56" i="18" s="1"/>
  <c r="S64" i="18"/>
  <c r="U64" i="18" s="1"/>
  <c r="S73" i="18"/>
  <c r="T73" i="18" s="1"/>
  <c r="S74" i="18"/>
  <c r="T74" i="18" s="1"/>
  <c r="S81" i="18"/>
  <c r="T81" i="18" s="1"/>
  <c r="S89" i="18"/>
  <c r="T89" i="18" s="1"/>
  <c r="S99" i="18"/>
  <c r="U99" i="18" s="1"/>
  <c r="S100" i="18"/>
  <c r="T100" i="18" s="1"/>
  <c r="S108" i="18"/>
  <c r="T108" i="18" s="1"/>
  <c r="S116" i="18"/>
  <c r="U116" i="18" s="1"/>
  <c r="S124" i="18"/>
  <c r="U124" i="18" s="1"/>
  <c r="S131" i="18"/>
  <c r="T131" i="18" s="1"/>
  <c r="S140" i="18"/>
  <c r="U140" i="18" s="1"/>
  <c r="S149" i="18"/>
  <c r="S158" i="18"/>
  <c r="T158" i="18" s="1"/>
  <c r="S166" i="18"/>
  <c r="T166" i="18" s="1"/>
  <c r="S176" i="18"/>
  <c r="T176" i="18" s="1"/>
  <c r="S184" i="18"/>
  <c r="T184" i="18" s="1"/>
  <c r="S192" i="18"/>
  <c r="U192" i="18" s="1"/>
  <c r="Q82" i="1"/>
  <c r="S15" i="18"/>
  <c r="U15" i="18" s="1"/>
  <c r="S16" i="18"/>
  <c r="T16" i="18" s="1"/>
  <c r="S24" i="18"/>
  <c r="U24" i="18" s="1"/>
  <c r="S32" i="18"/>
  <c r="U32" i="18" s="1"/>
  <c r="S39" i="18"/>
  <c r="T39" i="18" s="1"/>
  <c r="S47" i="18"/>
  <c r="T47" i="18" s="1"/>
  <c r="S55" i="18"/>
  <c r="T55" i="18" s="1"/>
  <c r="S63" i="18"/>
  <c r="T63" i="18" s="1"/>
  <c r="S72" i="18"/>
  <c r="U72" i="18" s="1"/>
  <c r="S80" i="18"/>
  <c r="U80" i="18" s="1"/>
  <c r="S88" i="18"/>
  <c r="U88" i="18" s="1"/>
  <c r="S98" i="18"/>
  <c r="U98" i="18" s="1"/>
  <c r="S107" i="18"/>
  <c r="U107" i="18" s="1"/>
  <c r="S115" i="18"/>
  <c r="T115" i="18" s="1"/>
  <c r="S123" i="18"/>
  <c r="T123" i="18" s="1"/>
  <c r="S130" i="18"/>
  <c r="T130" i="18" s="1"/>
  <c r="S138" i="18"/>
  <c r="T138" i="18" s="1"/>
  <c r="S139" i="18"/>
  <c r="T139" i="18" s="1"/>
  <c r="S148" i="18"/>
  <c r="U148" i="18" s="1"/>
  <c r="S157" i="18"/>
  <c r="T157" i="18" s="1"/>
  <c r="S165" i="18"/>
  <c r="T165" i="18" s="1"/>
  <c r="S175" i="18"/>
  <c r="T175" i="18" s="1"/>
  <c r="S182" i="18"/>
  <c r="T182" i="18" s="1"/>
  <c r="S191" i="18"/>
  <c r="T191" i="18" s="1"/>
  <c r="S14" i="18"/>
  <c r="T14" i="18" s="1"/>
  <c r="S23" i="18"/>
  <c r="U23" i="18" s="1"/>
  <c r="S31" i="18"/>
  <c r="U31" i="18" s="1"/>
  <c r="S46" i="18"/>
  <c r="U46" i="18" s="1"/>
  <c r="S54" i="18"/>
  <c r="T54" i="18" s="1"/>
  <c r="S62" i="18"/>
  <c r="U62" i="18" s="1"/>
  <c r="S71" i="18"/>
  <c r="T71" i="18" s="1"/>
  <c r="S79" i="18"/>
  <c r="U79" i="18" s="1"/>
  <c r="S87" i="18"/>
  <c r="U87" i="18" s="1"/>
  <c r="S95" i="18"/>
  <c r="U95" i="18" s="1"/>
  <c r="S96" i="18"/>
  <c r="T96" i="18" s="1"/>
  <c r="S97" i="18"/>
  <c r="T97" i="18" s="1"/>
  <c r="S106" i="18"/>
  <c r="T106" i="18" s="1"/>
  <c r="S114" i="18"/>
  <c r="T114" i="18" s="1"/>
  <c r="S122" i="18"/>
  <c r="T122" i="18" s="1"/>
  <c r="S129" i="18"/>
  <c r="T129" i="18" s="1"/>
  <c r="S137" i="18"/>
  <c r="T137" i="18" s="1"/>
  <c r="S147" i="18"/>
  <c r="U147" i="18" s="1"/>
  <c r="S156" i="18"/>
  <c r="T156" i="18" s="1"/>
  <c r="S164" i="18"/>
  <c r="U164" i="18" s="1"/>
  <c r="S174" i="18"/>
  <c r="T174" i="18" s="1"/>
  <c r="S181" i="18"/>
  <c r="T181" i="18" s="1"/>
  <c r="S183" i="18"/>
  <c r="T183" i="18" s="1"/>
  <c r="S190" i="18"/>
  <c r="U190" i="18" s="1"/>
  <c r="S13" i="18"/>
  <c r="U13" i="18" s="1"/>
  <c r="S22" i="18"/>
  <c r="T22" i="18" s="1"/>
  <c r="S30" i="18"/>
  <c r="T30" i="18" s="1"/>
  <c r="S38" i="18"/>
  <c r="U38" i="18" s="1"/>
  <c r="S45" i="18"/>
  <c r="T45" i="18" s="1"/>
  <c r="S53" i="18"/>
  <c r="U53" i="18" s="1"/>
  <c r="S61" i="18"/>
  <c r="U61" i="18" s="1"/>
  <c r="S69" i="18"/>
  <c r="U69" i="18" s="1"/>
  <c r="S70" i="18"/>
  <c r="T70" i="18" s="1"/>
  <c r="S78" i="18"/>
  <c r="U78" i="18" s="1"/>
  <c r="S86" i="18"/>
  <c r="T86" i="18" s="1"/>
  <c r="S94" i="18"/>
  <c r="T94" i="18" s="1"/>
  <c r="S105" i="18"/>
  <c r="T105" i="18" s="1"/>
  <c r="S113" i="18"/>
  <c r="T113" i="18" s="1"/>
  <c r="S121" i="18"/>
  <c r="U121" i="18" s="1"/>
  <c r="S128" i="18"/>
  <c r="U128" i="18" s="1"/>
  <c r="S136" i="18"/>
  <c r="U136" i="18" s="1"/>
  <c r="S146" i="18"/>
  <c r="U146" i="18" s="1"/>
  <c r="S155" i="18"/>
  <c r="T155" i="18" s="1"/>
  <c r="S163" i="18"/>
  <c r="T163" i="18" s="1"/>
  <c r="S173" i="18"/>
  <c r="T173" i="18" s="1"/>
  <c r="S189" i="18"/>
  <c r="T189" i="18" s="1"/>
  <c r="Q133" i="1"/>
  <c r="S12" i="18"/>
  <c r="T12" i="18" s="1"/>
  <c r="S21" i="18"/>
  <c r="U21" i="18" s="1"/>
  <c r="S29" i="18"/>
  <c r="U29" i="18" s="1"/>
  <c r="S37" i="18"/>
  <c r="U37" i="18" s="1"/>
  <c r="S44" i="18"/>
  <c r="U44" i="18" s="1"/>
  <c r="S52" i="18"/>
  <c r="U52" i="18" s="1"/>
  <c r="S60" i="18"/>
  <c r="U60" i="18" s="1"/>
  <c r="S68" i="18"/>
  <c r="T68" i="18" s="1"/>
  <c r="S77" i="18"/>
  <c r="T77" i="18" s="1"/>
  <c r="S85" i="18"/>
  <c r="T85" i="18" s="1"/>
  <c r="S93" i="18"/>
  <c r="T93" i="18" s="1"/>
  <c r="S104" i="18"/>
  <c r="U104" i="18" s="1"/>
  <c r="S112" i="18"/>
  <c r="U112" i="18" s="1"/>
  <c r="S120" i="18"/>
  <c r="T120" i="18" s="1"/>
  <c r="S135" i="18"/>
  <c r="T135" i="18" s="1"/>
  <c r="S144" i="18"/>
  <c r="U144" i="18" s="1"/>
  <c r="S145" i="18"/>
  <c r="U145" i="18" s="1"/>
  <c r="S153" i="18"/>
  <c r="U153" i="18" s="1"/>
  <c r="S154" i="18"/>
  <c r="T154" i="18" s="1"/>
  <c r="S162" i="18"/>
  <c r="U162" i="18" s="1"/>
  <c r="S170" i="18"/>
  <c r="T170" i="18" s="1"/>
  <c r="S172" i="18"/>
  <c r="U172" i="18" s="1"/>
  <c r="S180" i="18"/>
  <c r="U180" i="18" s="1"/>
  <c r="S188" i="18"/>
  <c r="U188" i="18" s="1"/>
  <c r="Q166" i="1"/>
  <c r="Q136" i="1"/>
  <c r="Q185" i="1"/>
  <c r="S11" i="18"/>
  <c r="U11" i="18" s="1"/>
  <c r="S20" i="18"/>
  <c r="T20" i="18" s="1"/>
  <c r="S28" i="18"/>
  <c r="U28" i="18" s="1"/>
  <c r="S36" i="18"/>
  <c r="U36" i="18" s="1"/>
  <c r="S43" i="18"/>
  <c r="T43" i="18" s="1"/>
  <c r="S51" i="18"/>
  <c r="T51" i="18" s="1"/>
  <c r="S59" i="18"/>
  <c r="T59" i="18" s="1"/>
  <c r="S67" i="18"/>
  <c r="U67" i="18" s="1"/>
  <c r="S76" i="18"/>
  <c r="U76" i="18" s="1"/>
  <c r="S84" i="18"/>
  <c r="T84" i="18" s="1"/>
  <c r="S92" i="18"/>
  <c r="U92" i="18" s="1"/>
  <c r="S103" i="18"/>
  <c r="T103" i="18" s="1"/>
  <c r="S111" i="18"/>
  <c r="T111" i="18" s="1"/>
  <c r="S119" i="18"/>
  <c r="T119" i="18" s="1"/>
  <c r="S127" i="18"/>
  <c r="T127" i="18" s="1"/>
  <c r="S134" i="18"/>
  <c r="T134" i="18" s="1"/>
  <c r="S143" i="18"/>
  <c r="T143" i="18" s="1"/>
  <c r="S152" i="18"/>
  <c r="U152" i="18" s="1"/>
  <c r="S161" i="18"/>
  <c r="T161" i="18" s="1"/>
  <c r="S169" i="18"/>
  <c r="T169" i="18" s="1"/>
  <c r="S171" i="18"/>
  <c r="T171" i="18" s="1"/>
  <c r="S179" i="18"/>
  <c r="U179" i="18" s="1"/>
  <c r="S187" i="18"/>
  <c r="T187" i="18" s="1"/>
  <c r="S9" i="18"/>
  <c r="U9" i="18" s="1"/>
  <c r="S10" i="18"/>
  <c r="T10" i="18" s="1"/>
  <c r="S19" i="18"/>
  <c r="U19" i="18" s="1"/>
  <c r="S27" i="18"/>
  <c r="U27" i="18" s="1"/>
  <c r="S35" i="18"/>
  <c r="U35" i="18" s="1"/>
  <c r="S42" i="18"/>
  <c r="U42" i="18" s="1"/>
  <c r="S50" i="18"/>
  <c r="U50" i="18" s="1"/>
  <c r="S58" i="18"/>
  <c r="U58" i="18" s="1"/>
  <c r="S66" i="18"/>
  <c r="U66" i="18" s="1"/>
  <c r="S83" i="18"/>
  <c r="U83" i="18" s="1"/>
  <c r="S91" i="18"/>
  <c r="U91" i="18" s="1"/>
  <c r="S102" i="18"/>
  <c r="U102" i="18" s="1"/>
  <c r="S110" i="18"/>
  <c r="T110" i="18" s="1"/>
  <c r="S118" i="18"/>
  <c r="T118" i="18" s="1"/>
  <c r="S126" i="18"/>
  <c r="T126" i="18" s="1"/>
  <c r="S133" i="18"/>
  <c r="U133" i="18" s="1"/>
  <c r="S142" i="18"/>
  <c r="U142" i="18" s="1"/>
  <c r="S151" i="18"/>
  <c r="U151" i="18" s="1"/>
  <c r="S160" i="18"/>
  <c r="T160" i="18" s="1"/>
  <c r="S168" i="18"/>
  <c r="U168" i="18" s="1"/>
  <c r="S178" i="18"/>
  <c r="T178" i="18" s="1"/>
  <c r="S186" i="18"/>
  <c r="U186" i="18" s="1"/>
  <c r="S7" i="18"/>
  <c r="U7" i="18" s="1"/>
  <c r="S8" i="18"/>
  <c r="T8" i="18" s="1"/>
  <c r="S18" i="18"/>
  <c r="T18" i="18" s="1"/>
  <c r="S26" i="18"/>
  <c r="T26" i="18" s="1"/>
  <c r="S34" i="18"/>
  <c r="U34" i="18" s="1"/>
  <c r="S41" i="18"/>
  <c r="T41" i="18" s="1"/>
  <c r="S49" i="18"/>
  <c r="T49" i="18" s="1"/>
  <c r="S57" i="18"/>
  <c r="U57" i="18" s="1"/>
  <c r="S65" i="18"/>
  <c r="U65" i="18" s="1"/>
  <c r="S75" i="18"/>
  <c r="U75" i="18" s="1"/>
  <c r="S82" i="18"/>
  <c r="T82" i="18" s="1"/>
  <c r="S90" i="18"/>
  <c r="T90" i="18" s="1"/>
  <c r="S101" i="18"/>
  <c r="U101" i="18" s="1"/>
  <c r="S109" i="18"/>
  <c r="U109" i="18" s="1"/>
  <c r="S117" i="18"/>
  <c r="U117" i="18" s="1"/>
  <c r="S125" i="18"/>
  <c r="U125" i="18" s="1"/>
  <c r="S132" i="18"/>
  <c r="T132" i="18" s="1"/>
  <c r="S141" i="18"/>
  <c r="U141" i="18" s="1"/>
  <c r="S150" i="18"/>
  <c r="T150" i="18" s="1"/>
  <c r="S159" i="18"/>
  <c r="T159" i="18" s="1"/>
  <c r="S167" i="18"/>
  <c r="T167" i="18" s="1"/>
  <c r="S177" i="18"/>
  <c r="T177" i="18" s="1"/>
  <c r="S185" i="18"/>
  <c r="T185" i="18" s="1"/>
  <c r="S193" i="18"/>
  <c r="U193" i="18" s="1"/>
  <c r="G58" i="18"/>
  <c r="I58" i="18" s="1"/>
  <c r="G124" i="18"/>
  <c r="H124" i="18" s="1"/>
  <c r="G68" i="18"/>
  <c r="I68" i="18" s="1"/>
  <c r="G114" i="18"/>
  <c r="I114" i="18" s="1"/>
  <c r="G181" i="18"/>
  <c r="I181" i="18" s="1"/>
  <c r="G99" i="18"/>
  <c r="H99" i="18" s="1"/>
  <c r="G174" i="18"/>
  <c r="I174" i="18" s="1"/>
  <c r="G84" i="18"/>
  <c r="H84" i="18" s="1"/>
  <c r="G31" i="18"/>
  <c r="H31" i="18" s="1"/>
  <c r="G37" i="18"/>
  <c r="I37" i="18" s="1"/>
  <c r="G28" i="18"/>
  <c r="I28" i="18" s="1"/>
  <c r="G77" i="18"/>
  <c r="H77" i="18" s="1"/>
  <c r="G52" i="18"/>
  <c r="H52" i="18" s="1"/>
  <c r="G16" i="18"/>
  <c r="I16" i="18" s="1"/>
  <c r="G12" i="18"/>
  <c r="I12" i="18" s="1"/>
  <c r="G65" i="18"/>
  <c r="H65" i="18" s="1"/>
  <c r="G155" i="18"/>
  <c r="I155" i="18" s="1"/>
  <c r="G53" i="18"/>
  <c r="H53" i="18" s="1"/>
  <c r="G105" i="18"/>
  <c r="H105" i="18" s="1"/>
  <c r="G103" i="18"/>
  <c r="H103" i="18" s="1"/>
  <c r="G162" i="18"/>
  <c r="H162" i="18" s="1"/>
  <c r="G13" i="18"/>
  <c r="H13" i="18" s="1"/>
  <c r="G175" i="18"/>
  <c r="H175" i="18" s="1"/>
  <c r="G54" i="18"/>
  <c r="H54" i="18" s="1"/>
  <c r="G78" i="18"/>
  <c r="I78" i="18" s="1"/>
  <c r="G85" i="18"/>
  <c r="I85" i="18" s="1"/>
  <c r="G192" i="18"/>
  <c r="I192" i="18" s="1"/>
  <c r="G189" i="18"/>
  <c r="H189" i="18" s="1"/>
  <c r="G182" i="18"/>
  <c r="I182" i="18" s="1"/>
  <c r="G59" i="18"/>
  <c r="I59" i="18" s="1"/>
  <c r="G122" i="18"/>
  <c r="I122" i="18" s="1"/>
  <c r="G43" i="18"/>
  <c r="I43" i="18" s="1"/>
  <c r="G187" i="18"/>
  <c r="H187" i="18" s="1"/>
  <c r="G55" i="18"/>
  <c r="H55" i="18" s="1"/>
  <c r="G119" i="18"/>
  <c r="I119" i="18" s="1"/>
  <c r="G71" i="18"/>
  <c r="H71" i="18" s="1"/>
  <c r="G61" i="18"/>
  <c r="H61" i="18" s="1"/>
  <c r="G168" i="18"/>
  <c r="I168" i="18" s="1"/>
  <c r="G48" i="18"/>
  <c r="I48" i="18" s="1"/>
  <c r="G170" i="18"/>
  <c r="H170" i="18" s="1"/>
  <c r="G96" i="18"/>
  <c r="I96" i="18" s="1"/>
  <c r="G158" i="18"/>
  <c r="H158" i="18" s="1"/>
  <c r="G86" i="18"/>
  <c r="H86" i="18" s="1"/>
  <c r="G118" i="18"/>
  <c r="I118" i="18" s="1"/>
  <c r="G97" i="18"/>
  <c r="H97" i="18" s="1"/>
  <c r="G149" i="18"/>
  <c r="I149" i="18" s="1"/>
  <c r="G193" i="18"/>
  <c r="H193" i="18" s="1"/>
  <c r="G116" i="18"/>
  <c r="H116" i="18" s="1"/>
  <c r="G150" i="18"/>
  <c r="I150" i="18" s="1"/>
  <c r="G179" i="18"/>
  <c r="H179" i="18" s="1"/>
  <c r="G87" i="18"/>
  <c r="I87" i="18" s="1"/>
  <c r="G125" i="18"/>
  <c r="I125" i="18" s="1"/>
  <c r="G172" i="18"/>
  <c r="G115" i="18"/>
  <c r="I115" i="18" s="1"/>
  <c r="G136" i="18"/>
  <c r="H136" i="18" s="1"/>
  <c r="G45" i="18"/>
  <c r="I45" i="18" s="1"/>
  <c r="G138" i="18"/>
  <c r="H138" i="18" s="1"/>
  <c r="G18" i="18"/>
  <c r="H18" i="18" s="1"/>
  <c r="G75" i="18"/>
  <c r="H75" i="18" s="1"/>
  <c r="G56" i="18"/>
  <c r="H56" i="18" s="1"/>
  <c r="G82" i="18"/>
  <c r="H82" i="18" s="1"/>
  <c r="G32" i="18"/>
  <c r="I32" i="18" s="1"/>
  <c r="G92" i="18"/>
  <c r="I92" i="18" s="1"/>
  <c r="G62" i="18"/>
  <c r="H62" i="18" s="1"/>
  <c r="G137" i="18"/>
  <c r="H137" i="18" s="1"/>
  <c r="G64" i="18"/>
  <c r="I64" i="18" s="1"/>
  <c r="G128" i="18"/>
  <c r="I128" i="18" s="1"/>
  <c r="G147" i="18"/>
  <c r="H147" i="18" s="1"/>
  <c r="G21" i="18"/>
  <c r="H21" i="18" s="1"/>
  <c r="G17" i="18"/>
  <c r="H17" i="18" s="1"/>
  <c r="G7" i="18"/>
  <c r="H7" i="18" s="1"/>
  <c r="G139" i="18"/>
  <c r="H139" i="18" s="1"/>
  <c r="G79" i="18"/>
  <c r="H79" i="18" s="1"/>
  <c r="G110" i="18"/>
  <c r="I110" i="18" s="1"/>
  <c r="G106" i="18"/>
  <c r="I106" i="18" s="1"/>
  <c r="G26" i="18"/>
  <c r="H26" i="18" s="1"/>
  <c r="G72" i="18"/>
  <c r="H72" i="18" s="1"/>
  <c r="G46" i="18"/>
  <c r="H46" i="18" s="1"/>
  <c r="G11" i="18"/>
  <c r="I11" i="18" s="1"/>
  <c r="G112" i="18"/>
  <c r="G80" i="18"/>
  <c r="H80" i="18" s="1"/>
  <c r="G14" i="18"/>
  <c r="H14" i="18" s="1"/>
  <c r="G8" i="18"/>
  <c r="I8" i="18" s="1"/>
  <c r="G67" i="18"/>
  <c r="H67" i="18" s="1"/>
  <c r="G165" i="18"/>
  <c r="I165" i="18" s="1"/>
  <c r="G36" i="18"/>
  <c r="I36" i="18" s="1"/>
  <c r="G33" i="18"/>
  <c r="I33" i="18" s="1"/>
  <c r="G102" i="18"/>
  <c r="I102" i="18" s="1"/>
  <c r="G95" i="18"/>
  <c r="H95" i="18" s="1"/>
  <c r="G90" i="18"/>
  <c r="H90" i="18" s="1"/>
  <c r="G6" i="18"/>
  <c r="I6" i="18" s="1"/>
  <c r="G81" i="18"/>
  <c r="H81" i="18" s="1"/>
  <c r="G163" i="18"/>
  <c r="I163" i="18" s="1"/>
  <c r="G144" i="18"/>
  <c r="I144" i="18" s="1"/>
  <c r="G51" i="18"/>
  <c r="I51" i="18" s="1"/>
  <c r="G129" i="18"/>
  <c r="I129" i="18" s="1"/>
  <c r="G73" i="18"/>
  <c r="I73" i="18" s="1"/>
  <c r="G191" i="18"/>
  <c r="H191" i="18" s="1"/>
  <c r="G20" i="18"/>
  <c r="H20" i="18" s="1"/>
  <c r="G117" i="18"/>
  <c r="I117" i="18" s="1"/>
  <c r="G83" i="18"/>
  <c r="I83" i="18" s="1"/>
  <c r="G177" i="18"/>
  <c r="H177" i="18" s="1"/>
  <c r="G161" i="18"/>
  <c r="I161" i="18" s="1"/>
  <c r="G190" i="18"/>
  <c r="H190" i="18" s="1"/>
  <c r="G186" i="18"/>
  <c r="H186" i="18" s="1"/>
  <c r="G30" i="18"/>
  <c r="H30" i="18" s="1"/>
  <c r="G131" i="18"/>
  <c r="I131" i="18" s="1"/>
  <c r="G120" i="18"/>
  <c r="H120" i="18" s="1"/>
  <c r="G50" i="18"/>
  <c r="I50" i="18" s="1"/>
  <c r="G188" i="18"/>
  <c r="I188" i="18" s="1"/>
  <c r="G93" i="18"/>
  <c r="I93" i="18" s="1"/>
  <c r="G157" i="18"/>
  <c r="H157" i="18" s="1"/>
  <c r="G98" i="18"/>
  <c r="I98" i="18" s="1"/>
  <c r="G35" i="18"/>
  <c r="H35" i="18" s="1"/>
  <c r="G27" i="18"/>
  <c r="H27" i="18" s="1"/>
  <c r="G63" i="18"/>
  <c r="I63" i="18" s="1"/>
  <c r="G111" i="18"/>
  <c r="I111" i="18" s="1"/>
  <c r="G109" i="18"/>
  <c r="I109" i="18" s="1"/>
  <c r="G15" i="18"/>
  <c r="H15" i="18" s="1"/>
  <c r="G148" i="18"/>
  <c r="H148" i="18" s="1"/>
  <c r="G160" i="18"/>
  <c r="I160" i="18" s="1"/>
  <c r="G91" i="18"/>
  <c r="H91" i="18" s="1"/>
  <c r="G180" i="18"/>
  <c r="G24" i="18"/>
  <c r="I24" i="18" s="1"/>
  <c r="G22" i="18"/>
  <c r="I22" i="18" s="1"/>
  <c r="G130" i="18"/>
  <c r="H130" i="18" s="1"/>
  <c r="G29" i="18"/>
  <c r="H29" i="18" s="1"/>
  <c r="G126" i="18"/>
  <c r="H126" i="18" s="1"/>
  <c r="G140" i="18"/>
  <c r="H140" i="18" s="1"/>
  <c r="G49" i="18"/>
  <c r="I49" i="18" s="1"/>
  <c r="G169" i="18"/>
  <c r="I169" i="18" s="1"/>
  <c r="G121" i="18"/>
  <c r="H121" i="18" s="1"/>
  <c r="G34" i="18"/>
  <c r="H34" i="18" s="1"/>
  <c r="G101" i="18"/>
  <c r="I101" i="18" s="1"/>
  <c r="G123" i="18"/>
  <c r="H123" i="18" s="1"/>
  <c r="G57" i="18"/>
  <c r="I57" i="18" s="1"/>
  <c r="G127" i="18"/>
  <c r="I127" i="18" s="1"/>
  <c r="G38" i="18"/>
  <c r="I38" i="18" s="1"/>
  <c r="G167" i="18"/>
  <c r="H167" i="18" s="1"/>
  <c r="G178" i="18"/>
  <c r="I178" i="18" s="1"/>
  <c r="G41" i="18"/>
  <c r="I41" i="18" s="1"/>
  <c r="G89" i="18"/>
  <c r="I89" i="18" s="1"/>
  <c r="G66" i="18"/>
  <c r="H66" i="18" s="1"/>
  <c r="G153" i="18"/>
  <c r="H153" i="18" s="1"/>
  <c r="G47" i="18"/>
  <c r="Z47" i="18" s="1"/>
  <c r="AA47" i="18" s="1"/>
  <c r="G185" i="18"/>
  <c r="I185" i="18" s="1"/>
  <c r="G94" i="18"/>
  <c r="H94" i="18" s="1"/>
  <c r="G19" i="18"/>
  <c r="I19" i="18" s="1"/>
  <c r="G151" i="18"/>
  <c r="I151" i="18" s="1"/>
  <c r="G44" i="18"/>
  <c r="I44" i="18" s="1"/>
  <c r="G166" i="18"/>
  <c r="H166" i="18" s="1"/>
  <c r="G42" i="18"/>
  <c r="I42" i="18" s="1"/>
  <c r="G146" i="18"/>
  <c r="H146" i="18" s="1"/>
  <c r="G69" i="18"/>
  <c r="H69" i="18" s="1"/>
  <c r="G76" i="18"/>
  <c r="I76" i="18" s="1"/>
  <c r="G25" i="18"/>
  <c r="H25" i="18" s="1"/>
  <c r="G133" i="18"/>
  <c r="H133" i="18" s="1"/>
  <c r="G108" i="18"/>
  <c r="I108" i="18" s="1"/>
  <c r="G23" i="18"/>
  <c r="I23" i="18" s="1"/>
  <c r="G152" i="18"/>
  <c r="H152" i="18" s="1"/>
  <c r="G159" i="18"/>
  <c r="H159" i="18" s="1"/>
  <c r="G143" i="18"/>
  <c r="H143" i="18" s="1"/>
  <c r="G135" i="18"/>
  <c r="I135" i="18" s="1"/>
  <c r="G173" i="18"/>
  <c r="I173" i="18" s="1"/>
  <c r="G60" i="18"/>
  <c r="H60" i="18" s="1"/>
  <c r="G184" i="18"/>
  <c r="H184" i="18" s="1"/>
  <c r="G141" i="18"/>
  <c r="I141" i="18" s="1"/>
  <c r="G9" i="18"/>
  <c r="H9" i="18" s="1"/>
  <c r="G164" i="18"/>
  <c r="H164" i="18" s="1"/>
  <c r="G113" i="18"/>
  <c r="H113" i="18" s="1"/>
  <c r="G107" i="18"/>
  <c r="I107" i="18" s="1"/>
  <c r="G156" i="18"/>
  <c r="I156" i="18" s="1"/>
  <c r="W112" i="18"/>
  <c r="X112" i="18" s="1"/>
  <c r="K180" i="18"/>
  <c r="M180" i="18" s="1"/>
  <c r="K91" i="18"/>
  <c r="L91" i="18" s="1"/>
  <c r="K160" i="18"/>
  <c r="L160" i="18" s="1"/>
  <c r="K148" i="18"/>
  <c r="M148" i="18" s="1"/>
  <c r="K15" i="18"/>
  <c r="M15" i="18" s="1"/>
  <c r="K109" i="18"/>
  <c r="L109" i="18" s="1"/>
  <c r="K111" i="18"/>
  <c r="L111" i="18" s="1"/>
  <c r="K63" i="18"/>
  <c r="L63" i="18" s="1"/>
  <c r="K27" i="18"/>
  <c r="M27" i="18" s="1"/>
  <c r="K134" i="18"/>
  <c r="L134" i="18" s="1"/>
  <c r="K74" i="18"/>
  <c r="Z74" i="18" s="1"/>
  <c r="K176" i="18"/>
  <c r="L176" i="18" s="1"/>
  <c r="K35" i="18"/>
  <c r="M35" i="18" s="1"/>
  <c r="K98" i="18"/>
  <c r="L98" i="18" s="1"/>
  <c r="K183" i="18"/>
  <c r="L183" i="18" s="1"/>
  <c r="K157" i="18"/>
  <c r="L157" i="18" s="1"/>
  <c r="K93" i="18"/>
  <c r="L93" i="18" s="1"/>
  <c r="K10" i="18"/>
  <c r="M10" i="18" s="1"/>
  <c r="K188" i="18"/>
  <c r="M188" i="18" s="1"/>
  <c r="K50" i="18"/>
  <c r="M50" i="18" s="1"/>
  <c r="K120" i="18"/>
  <c r="L120" i="18" s="1"/>
  <c r="K131" i="18"/>
  <c r="L131" i="18" s="1"/>
  <c r="K30" i="18"/>
  <c r="L30" i="18" s="1"/>
  <c r="K88" i="18"/>
  <c r="M88" i="18" s="1"/>
  <c r="W116" i="18"/>
  <c r="X116" i="18" s="1"/>
  <c r="W142" i="18"/>
  <c r="X142" i="18" s="1"/>
  <c r="U142" i="1"/>
  <c r="W122" i="18"/>
  <c r="X122" i="18" s="1"/>
  <c r="K8" i="18"/>
  <c r="K14" i="18"/>
  <c r="L14" i="18" s="1"/>
  <c r="K80" i="18"/>
  <c r="K112" i="18"/>
  <c r="M112" i="18" s="1"/>
  <c r="K100" i="18"/>
  <c r="Z100" i="18" s="1"/>
  <c r="K72" i="18"/>
  <c r="L72" i="18" s="1"/>
  <c r="W103" i="18"/>
  <c r="Y103" i="18" s="1"/>
  <c r="K46" i="18"/>
  <c r="K26" i="18"/>
  <c r="L26" i="18" s="1"/>
  <c r="K106" i="18"/>
  <c r="L106" i="18" s="1"/>
  <c r="K110" i="18"/>
  <c r="L110" i="18" s="1"/>
  <c r="K104" i="18"/>
  <c r="L104" i="18" s="1"/>
  <c r="K79" i="18"/>
  <c r="M79" i="18" s="1"/>
  <c r="K7" i="18"/>
  <c r="M7" i="18" s="1"/>
  <c r="K17" i="18"/>
  <c r="M17" i="18" s="1"/>
  <c r="K21" i="18"/>
  <c r="M21" i="18" s="1"/>
  <c r="K147" i="18"/>
  <c r="L147" i="18" s="1"/>
  <c r="K128" i="18"/>
  <c r="L128" i="18" s="1"/>
  <c r="K64" i="18"/>
  <c r="L64" i="18" s="1"/>
  <c r="K137" i="18"/>
  <c r="L137" i="18" s="1"/>
  <c r="K62" i="18"/>
  <c r="K92" i="18"/>
  <c r="L92" i="18" s="1"/>
  <c r="K32" i="18"/>
  <c r="L32" i="18" s="1"/>
  <c r="K186" i="18"/>
  <c r="L186" i="18" s="1"/>
  <c r="K190" i="18"/>
  <c r="M190" i="18" s="1"/>
  <c r="K82" i="18"/>
  <c r="L82" i="18" s="1"/>
  <c r="K161" i="18"/>
  <c r="L161" i="18" s="1"/>
  <c r="K177" i="18"/>
  <c r="L177" i="18" s="1"/>
  <c r="K83" i="18"/>
  <c r="L83" i="18" s="1"/>
  <c r="K117" i="18"/>
  <c r="L117" i="18" s="1"/>
  <c r="K191" i="18"/>
  <c r="L191" i="18" s="1"/>
  <c r="K56" i="18"/>
  <c r="K73" i="18"/>
  <c r="L73" i="18" s="1"/>
  <c r="K75" i="18"/>
  <c r="L75" i="18" s="1"/>
  <c r="K129" i="18"/>
  <c r="L129" i="18" s="1"/>
  <c r="K18" i="18"/>
  <c r="L18" i="18" s="1"/>
  <c r="K51" i="18"/>
  <c r="L51" i="18" s="1"/>
  <c r="K138" i="18"/>
  <c r="L138" i="18" s="1"/>
  <c r="K144" i="18"/>
  <c r="L144" i="18" s="1"/>
  <c r="K45" i="18"/>
  <c r="L45" i="18" s="1"/>
  <c r="K163" i="18"/>
  <c r="L163" i="18" s="1"/>
  <c r="K136" i="18"/>
  <c r="L136" i="18" s="1"/>
  <c r="K81" i="18"/>
  <c r="L81" i="18" s="1"/>
  <c r="K70" i="18"/>
  <c r="L70" i="18" s="1"/>
  <c r="K6" i="18"/>
  <c r="L6" i="18" s="1"/>
  <c r="W114" i="18"/>
  <c r="Y114" i="18" s="1"/>
  <c r="W124" i="18"/>
  <c r="X124" i="18" s="1"/>
  <c r="K20" i="18"/>
  <c r="L20" i="18" s="1"/>
  <c r="K116" i="18"/>
  <c r="K158" i="18"/>
  <c r="L158" i="18" s="1"/>
  <c r="K168" i="18"/>
  <c r="M168" i="18" s="1"/>
  <c r="K119" i="18"/>
  <c r="L119" i="18" s="1"/>
  <c r="K187" i="18"/>
  <c r="L187" i="18" s="1"/>
  <c r="W143" i="18"/>
  <c r="Y143" i="18" s="1"/>
  <c r="K179" i="18"/>
  <c r="L179" i="18" s="1"/>
  <c r="K193" i="18"/>
  <c r="M193" i="18" s="1"/>
  <c r="K149" i="18"/>
  <c r="L149" i="18" s="1"/>
  <c r="K118" i="18"/>
  <c r="L118" i="18" s="1"/>
  <c r="K142" i="18"/>
  <c r="Z142" i="18" s="1"/>
  <c r="K170" i="18"/>
  <c r="L170" i="18" s="1"/>
  <c r="K48" i="18"/>
  <c r="L48" i="18" s="1"/>
  <c r="K61" i="18"/>
  <c r="L61" i="18" s="1"/>
  <c r="K71" i="18"/>
  <c r="L71" i="18" s="1"/>
  <c r="K55" i="18"/>
  <c r="L55" i="18" s="1"/>
  <c r="K132" i="18"/>
  <c r="M132" i="18" s="1"/>
  <c r="K43" i="18"/>
  <c r="L43" i="18" s="1"/>
  <c r="K122" i="18"/>
  <c r="M122" i="18" s="1"/>
  <c r="K59" i="18"/>
  <c r="L59" i="18" s="1"/>
  <c r="W107" i="18"/>
  <c r="X107" i="18" s="1"/>
  <c r="W141" i="18"/>
  <c r="X141" i="18" s="1"/>
  <c r="W152" i="18"/>
  <c r="Y152" i="18" s="1"/>
  <c r="W69" i="18"/>
  <c r="Y69" i="18" s="1"/>
  <c r="W138" i="18"/>
  <c r="X138" i="18" s="1"/>
  <c r="K182" i="18"/>
  <c r="L182" i="18" s="1"/>
  <c r="K189" i="18"/>
  <c r="K192" i="18"/>
  <c r="M192" i="18" s="1"/>
  <c r="K85" i="18"/>
  <c r="L85" i="18" s="1"/>
  <c r="K40" i="18"/>
  <c r="L40" i="18" s="1"/>
  <c r="K78" i="18"/>
  <c r="L78" i="18" s="1"/>
  <c r="K54" i="18"/>
  <c r="L54" i="18" s="1"/>
  <c r="K175" i="18"/>
  <c r="L175" i="18" s="1"/>
  <c r="K13" i="18"/>
  <c r="K162" i="18"/>
  <c r="L162" i="18" s="1"/>
  <c r="K145" i="18"/>
  <c r="L145" i="18" s="1"/>
  <c r="K103" i="18"/>
  <c r="L103" i="18" s="1"/>
  <c r="K105" i="18"/>
  <c r="M105" i="18" s="1"/>
  <c r="K53" i="18"/>
  <c r="K155" i="18"/>
  <c r="L155" i="18" s="1"/>
  <c r="K65" i="18"/>
  <c r="M65" i="18" s="1"/>
  <c r="K12" i="18"/>
  <c r="L12" i="18" s="1"/>
  <c r="K52" i="18"/>
  <c r="M52" i="18" s="1"/>
  <c r="K77" i="18"/>
  <c r="L77" i="18" s="1"/>
  <c r="K28" i="18"/>
  <c r="L28" i="18" s="1"/>
  <c r="K31" i="18"/>
  <c r="M31" i="18" s="1"/>
  <c r="K25" i="18"/>
  <c r="M25" i="18" s="1"/>
  <c r="K84" i="18"/>
  <c r="L84" i="18" s="1"/>
  <c r="K130" i="18"/>
  <c r="L130" i="18" s="1"/>
  <c r="K115" i="18"/>
  <c r="L115" i="18" s="1"/>
  <c r="K95" i="18"/>
  <c r="L95" i="18" s="1"/>
  <c r="K102" i="18"/>
  <c r="L102" i="18" s="1"/>
  <c r="K114" i="18"/>
  <c r="M114" i="18" s="1"/>
  <c r="K33" i="18"/>
  <c r="L33" i="18" s="1"/>
  <c r="K68" i="18"/>
  <c r="M68" i="18" s="1"/>
  <c r="K36" i="18"/>
  <c r="L36" i="18" s="1"/>
  <c r="K121" i="18"/>
  <c r="L121" i="18" s="1"/>
  <c r="K22" i="18"/>
  <c r="L22" i="18" s="1"/>
  <c r="K165" i="18"/>
  <c r="L165" i="18" s="1"/>
  <c r="K125" i="18"/>
  <c r="L125" i="18" s="1"/>
  <c r="W190" i="18"/>
  <c r="Y190" i="18" s="1"/>
  <c r="W73" i="18"/>
  <c r="Y73" i="18" s="1"/>
  <c r="K37" i="18"/>
  <c r="L37" i="18" s="1"/>
  <c r="K90" i="18"/>
  <c r="L90" i="18" s="1"/>
  <c r="K174" i="18"/>
  <c r="L174" i="18" s="1"/>
  <c r="K99" i="18"/>
  <c r="M99" i="18" s="1"/>
  <c r="K181" i="18"/>
  <c r="L181" i="18" s="1"/>
  <c r="K87" i="18"/>
  <c r="K172" i="18"/>
  <c r="L172" i="18" s="1"/>
  <c r="K124" i="18"/>
  <c r="K58" i="18"/>
  <c r="M58" i="18" s="1"/>
  <c r="K67" i="18"/>
  <c r="L67" i="18" s="1"/>
  <c r="K24" i="18"/>
  <c r="L24" i="18" s="1"/>
  <c r="K107" i="18"/>
  <c r="L107" i="18" s="1"/>
  <c r="K113" i="18"/>
  <c r="L113" i="18" s="1"/>
  <c r="K164" i="18"/>
  <c r="M164" i="18" s="1"/>
  <c r="K9" i="18"/>
  <c r="M9" i="18" s="1"/>
  <c r="K141" i="18"/>
  <c r="L141" i="18" s="1"/>
  <c r="K184" i="18"/>
  <c r="M184" i="18" s="1"/>
  <c r="K39" i="18"/>
  <c r="L39" i="18" s="1"/>
  <c r="K60" i="18"/>
  <c r="L60" i="18" s="1"/>
  <c r="K173" i="18"/>
  <c r="L173" i="18" s="1"/>
  <c r="K135" i="18"/>
  <c r="L135" i="18" s="1"/>
  <c r="K143" i="18"/>
  <c r="L143" i="18" s="1"/>
  <c r="K159" i="18"/>
  <c r="L159" i="18" s="1"/>
  <c r="K152" i="18"/>
  <c r="L152" i="18" s="1"/>
  <c r="K23" i="18"/>
  <c r="M23" i="18" s="1"/>
  <c r="K108" i="18"/>
  <c r="L108" i="18" s="1"/>
  <c r="K133" i="18"/>
  <c r="K76" i="18"/>
  <c r="L76" i="18" s="1"/>
  <c r="K69" i="18"/>
  <c r="L69" i="18" s="1"/>
  <c r="K146" i="18"/>
  <c r="M146" i="18" s="1"/>
  <c r="K154" i="18"/>
  <c r="Z154" i="18" s="1"/>
  <c r="K42" i="18"/>
  <c r="M42" i="18" s="1"/>
  <c r="K166" i="18"/>
  <c r="K44" i="18"/>
  <c r="K150" i="18"/>
  <c r="M150" i="18" s="1"/>
  <c r="K86" i="18"/>
  <c r="L86" i="18" s="1"/>
  <c r="W154" i="18"/>
  <c r="X154" i="18" s="1"/>
  <c r="K156" i="18"/>
  <c r="L156" i="18" s="1"/>
  <c r="K151" i="18"/>
  <c r="L151" i="18" s="1"/>
  <c r="K19" i="18"/>
  <c r="M19" i="18" s="1"/>
  <c r="K94" i="18"/>
  <c r="L94" i="18" s="1"/>
  <c r="K185" i="18"/>
  <c r="L185" i="18" s="1"/>
  <c r="K169" i="18"/>
  <c r="M169" i="18" s="1"/>
  <c r="K153" i="18"/>
  <c r="L153" i="18" s="1"/>
  <c r="K66" i="18"/>
  <c r="M66" i="18" s="1"/>
  <c r="K89" i="18"/>
  <c r="M89" i="18" s="1"/>
  <c r="K41" i="18"/>
  <c r="L41" i="18" s="1"/>
  <c r="K178" i="18"/>
  <c r="K167" i="18"/>
  <c r="L167" i="18" s="1"/>
  <c r="K49" i="18"/>
  <c r="L49" i="18" s="1"/>
  <c r="K38" i="18"/>
  <c r="L38" i="18" s="1"/>
  <c r="K140" i="18"/>
  <c r="M140" i="18" s="1"/>
  <c r="K127" i="18"/>
  <c r="L127" i="18" s="1"/>
  <c r="K171" i="18"/>
  <c r="L171" i="18" s="1"/>
  <c r="K57" i="18"/>
  <c r="K126" i="18"/>
  <c r="L126" i="18" s="1"/>
  <c r="K123" i="18"/>
  <c r="L123" i="18" s="1"/>
  <c r="K101" i="18"/>
  <c r="M101" i="18" s="1"/>
  <c r="K29" i="18"/>
  <c r="K34" i="18"/>
  <c r="L34" i="18" s="1"/>
  <c r="K11" i="18"/>
  <c r="M11" i="18" s="1"/>
  <c r="Q28" i="18"/>
  <c r="Q153" i="18"/>
  <c r="Q72" i="18"/>
  <c r="P54" i="18"/>
  <c r="Q117" i="18"/>
  <c r="U137" i="18"/>
  <c r="Q48" i="18"/>
  <c r="Q93" i="18"/>
  <c r="M16" i="18"/>
  <c r="Q105" i="18"/>
  <c r="Q116" i="18"/>
  <c r="P127" i="18"/>
  <c r="P170" i="18"/>
  <c r="U16" i="18"/>
  <c r="Q176" i="18"/>
  <c r="P131" i="18"/>
  <c r="Q168" i="18"/>
  <c r="Q145" i="18"/>
  <c r="Q147" i="18"/>
  <c r="P152" i="18"/>
  <c r="P43" i="18"/>
  <c r="Q16" i="18"/>
  <c r="P47" i="18"/>
  <c r="Q36" i="18"/>
  <c r="Q45" i="18"/>
  <c r="Q174" i="18"/>
  <c r="Q180" i="18"/>
  <c r="P190" i="18"/>
  <c r="Q12" i="18"/>
  <c r="Q60" i="18"/>
  <c r="Q62" i="18"/>
  <c r="Q68" i="18"/>
  <c r="P94" i="18"/>
  <c r="Q109" i="18"/>
  <c r="Q125" i="18"/>
  <c r="Q136" i="18"/>
  <c r="Q139" i="18"/>
  <c r="Q22" i="18"/>
  <c r="P24" i="18"/>
  <c r="P32" i="18"/>
  <c r="Q34" i="18"/>
  <c r="Q71" i="18"/>
  <c r="P103" i="18"/>
  <c r="P115" i="18"/>
  <c r="Q120" i="18"/>
  <c r="Q143" i="18"/>
  <c r="Q179" i="18"/>
  <c r="U39" i="18"/>
  <c r="Q101" i="18"/>
  <c r="Q132" i="18"/>
  <c r="P35" i="18"/>
  <c r="U89" i="18"/>
  <c r="Q107" i="18"/>
  <c r="Q138" i="18"/>
  <c r="Q141" i="18"/>
  <c r="Q163" i="18"/>
  <c r="P112" i="18"/>
  <c r="Q112" i="18"/>
  <c r="Q50" i="18"/>
  <c r="P50" i="18"/>
  <c r="U149" i="18"/>
  <c r="T149" i="18"/>
  <c r="Q46" i="18"/>
  <c r="P46" i="18"/>
  <c r="Q42" i="18"/>
  <c r="P42" i="18"/>
  <c r="Q123" i="18"/>
  <c r="P123" i="18"/>
  <c r="P18" i="18"/>
  <c r="Q18" i="18"/>
  <c r="P156" i="18"/>
  <c r="Q156" i="18"/>
  <c r="Q10" i="18"/>
  <c r="P128" i="18"/>
  <c r="Q128" i="18"/>
  <c r="Q7" i="18"/>
  <c r="P7" i="18"/>
  <c r="H48" i="18"/>
  <c r="P39" i="18"/>
  <c r="Q39" i="18"/>
  <c r="H132" i="18"/>
  <c r="Q158" i="18"/>
  <c r="P158" i="18"/>
  <c r="H40" i="18"/>
  <c r="Q20" i="18"/>
  <c r="P26" i="18"/>
  <c r="P30" i="18"/>
  <c r="T33" i="18"/>
  <c r="P37" i="18"/>
  <c r="P78" i="18"/>
  <c r="Q90" i="18"/>
  <c r="P167" i="18"/>
  <c r="Q167" i="18"/>
  <c r="H39" i="18"/>
  <c r="Q75" i="18"/>
  <c r="P85" i="18"/>
  <c r="H88" i="18"/>
  <c r="I134" i="18"/>
  <c r="P135" i="18"/>
  <c r="Q151" i="18"/>
  <c r="Q160" i="18"/>
  <c r="H142" i="18"/>
  <c r="P6" i="18"/>
  <c r="I39" i="18"/>
  <c r="Q41" i="18"/>
  <c r="Q49" i="18"/>
  <c r="P55" i="18"/>
  <c r="P56" i="18"/>
  <c r="P77" i="18"/>
  <c r="Q84" i="18"/>
  <c r="P119" i="18"/>
  <c r="H128" i="18"/>
  <c r="Q133" i="18"/>
  <c r="H145" i="18"/>
  <c r="Q155" i="18"/>
  <c r="H134" i="18"/>
  <c r="H104" i="18"/>
  <c r="Q38" i="18"/>
  <c r="H122" i="18"/>
  <c r="P154" i="18"/>
  <c r="Q159" i="18"/>
  <c r="P171" i="18"/>
  <c r="Q171" i="18"/>
  <c r="P184" i="18"/>
  <c r="Q184" i="18"/>
  <c r="P64" i="18"/>
  <c r="P97" i="18"/>
  <c r="H119" i="18"/>
  <c r="Q124" i="18"/>
  <c r="P142" i="18"/>
  <c r="P148" i="18"/>
  <c r="H180" i="18"/>
  <c r="Q175" i="18"/>
  <c r="Q183" i="18"/>
  <c r="Q185" i="18"/>
  <c r="Q187" i="18"/>
  <c r="Q191" i="18"/>
  <c r="Q149" i="18"/>
  <c r="Q164" i="18"/>
  <c r="Q172" i="18"/>
  <c r="H176" i="18"/>
  <c r="P9" i="18"/>
  <c r="P13" i="18"/>
  <c r="P17" i="18"/>
  <c r="P21" i="18"/>
  <c r="P25" i="18"/>
  <c r="P29" i="18"/>
  <c r="P33" i="18"/>
  <c r="I40" i="18"/>
  <c r="Q40" i="18"/>
  <c r="P51" i="18"/>
  <c r="P58" i="18"/>
  <c r="Q65" i="18"/>
  <c r="Q67" i="18"/>
  <c r="Q73" i="18"/>
  <c r="Q80" i="18"/>
  <c r="P44" i="18"/>
  <c r="Q76" i="18"/>
  <c r="P76" i="18"/>
  <c r="Q81" i="18"/>
  <c r="P81" i="18"/>
  <c r="I10" i="18"/>
  <c r="Q53" i="18"/>
  <c r="I70" i="18"/>
  <c r="M47" i="18"/>
  <c r="P11" i="18"/>
  <c r="P15" i="18"/>
  <c r="P19" i="18"/>
  <c r="P23" i="18"/>
  <c r="P27" i="18"/>
  <c r="P31" i="18"/>
  <c r="Q57" i="18"/>
  <c r="P59" i="18"/>
  <c r="P66" i="18"/>
  <c r="P52" i="18"/>
  <c r="P83" i="18"/>
  <c r="Q83" i="18"/>
  <c r="P14" i="18"/>
  <c r="Q61" i="18"/>
  <c r="P63" i="18"/>
  <c r="Q70" i="18"/>
  <c r="Q88" i="18"/>
  <c r="P86" i="18"/>
  <c r="I88" i="18"/>
  <c r="Q91" i="18"/>
  <c r="U85" i="18"/>
  <c r="P89" i="18"/>
  <c r="Q92" i="18"/>
  <c r="P96" i="18"/>
  <c r="Q100" i="18"/>
  <c r="Q79" i="18"/>
  <c r="P82" i="18"/>
  <c r="Q87" i="18"/>
  <c r="P95" i="18"/>
  <c r="P98" i="18"/>
  <c r="Q102" i="18"/>
  <c r="Q108" i="18"/>
  <c r="Q113" i="18"/>
  <c r="Q121" i="18"/>
  <c r="Q129" i="18"/>
  <c r="P111" i="18"/>
  <c r="P114" i="18"/>
  <c r="P122" i="18"/>
  <c r="P130" i="18"/>
  <c r="I132" i="18"/>
  <c r="U134" i="18"/>
  <c r="Q140" i="18"/>
  <c r="P140" i="18"/>
  <c r="P165" i="18"/>
  <c r="Q165" i="18"/>
  <c r="P104" i="18"/>
  <c r="I104" i="18"/>
  <c r="Q137" i="18"/>
  <c r="P137" i="18"/>
  <c r="I180" i="18"/>
  <c r="P99" i="18"/>
  <c r="P106" i="18"/>
  <c r="P110" i="18"/>
  <c r="P118" i="18"/>
  <c r="P126" i="18"/>
  <c r="P134" i="18"/>
  <c r="P181" i="18"/>
  <c r="Q181" i="18"/>
  <c r="I142" i="18"/>
  <c r="Q144" i="18"/>
  <c r="P144" i="18"/>
  <c r="P166" i="18"/>
  <c r="P182" i="18"/>
  <c r="Q161" i="18"/>
  <c r="I176" i="18"/>
  <c r="Q177" i="18"/>
  <c r="P162" i="18"/>
  <c r="P178" i="18"/>
  <c r="P146" i="18"/>
  <c r="Q157" i="18"/>
  <c r="Q173" i="18"/>
  <c r="P186" i="18"/>
  <c r="Q150" i="18"/>
  <c r="Q169" i="18"/>
  <c r="P189" i="18"/>
  <c r="P193" i="18"/>
  <c r="P188" i="18"/>
  <c r="P192" i="18"/>
  <c r="M34" i="1"/>
  <c r="M186" i="1"/>
  <c r="M182" i="1"/>
  <c r="M162" i="1"/>
  <c r="M98" i="1"/>
  <c r="M39" i="1"/>
  <c r="M67" i="1"/>
  <c r="M103" i="1"/>
  <c r="M75" i="1"/>
  <c r="M107" i="1"/>
  <c r="M76" i="1"/>
  <c r="M14" i="1"/>
  <c r="M140" i="1"/>
  <c r="M77" i="1"/>
  <c r="M142" i="1"/>
  <c r="M158" i="1"/>
  <c r="M85" i="1"/>
  <c r="M45" i="1"/>
  <c r="M54" i="1"/>
  <c r="M190" i="1"/>
  <c r="M69" i="1"/>
  <c r="M102" i="1"/>
  <c r="M70" i="1"/>
  <c r="M168" i="1"/>
  <c r="M176" i="1"/>
  <c r="M25" i="1"/>
  <c r="M40" i="1"/>
  <c r="M121" i="1"/>
  <c r="M24" i="1"/>
  <c r="M170" i="1"/>
  <c r="M106" i="1"/>
  <c r="M42" i="1"/>
  <c r="M84" i="1"/>
  <c r="M129" i="1"/>
  <c r="M100" i="1"/>
  <c r="M164" i="1"/>
  <c r="M126" i="1"/>
  <c r="M172" i="1"/>
  <c r="M149" i="1"/>
  <c r="M57" i="1"/>
  <c r="M33" i="1"/>
  <c r="M160" i="1"/>
  <c r="M148" i="1"/>
  <c r="M150" i="1"/>
  <c r="M157" i="1"/>
  <c r="M22" i="1"/>
  <c r="M132" i="1"/>
  <c r="M154" i="1"/>
  <c r="M90" i="1"/>
  <c r="M26" i="1"/>
  <c r="M177" i="1"/>
  <c r="M73" i="1"/>
  <c r="M118" i="1"/>
  <c r="M136" i="1"/>
  <c r="M92" i="1"/>
  <c r="M180" i="1"/>
  <c r="M94" i="1"/>
  <c r="M112" i="1"/>
  <c r="M104" i="1"/>
  <c r="M109" i="1"/>
  <c r="M105" i="1"/>
  <c r="M65" i="1"/>
  <c r="M13" i="1"/>
  <c r="M117" i="1"/>
  <c r="M156" i="1"/>
  <c r="M62" i="1"/>
  <c r="M146" i="1"/>
  <c r="M82" i="1"/>
  <c r="M18" i="1"/>
  <c r="M52" i="1"/>
  <c r="M153" i="1"/>
  <c r="M108" i="1"/>
  <c r="M184" i="1"/>
  <c r="M41" i="1"/>
  <c r="M56" i="1"/>
  <c r="M101" i="1"/>
  <c r="M166" i="1"/>
  <c r="M88" i="1"/>
  <c r="M193" i="1"/>
  <c r="M165" i="1"/>
  <c r="M17" i="1"/>
  <c r="M120" i="1"/>
  <c r="M7" i="1"/>
  <c r="M124" i="1"/>
  <c r="M36" i="1"/>
  <c r="M37" i="1"/>
  <c r="M19" i="1"/>
  <c r="M8" i="1"/>
  <c r="M138" i="1"/>
  <c r="M74" i="1"/>
  <c r="M10" i="1"/>
  <c r="M185" i="1"/>
  <c r="M116" i="1"/>
  <c r="M89" i="1"/>
  <c r="M86" i="1"/>
  <c r="M60" i="1"/>
  <c r="M72" i="1"/>
  <c r="M16" i="1"/>
  <c r="M80" i="1"/>
  <c r="M97" i="1"/>
  <c r="M96" i="1"/>
  <c r="M38" i="1"/>
  <c r="M128" i="1"/>
  <c r="M133" i="1"/>
  <c r="M125" i="1"/>
  <c r="M64" i="1"/>
  <c r="M130" i="1"/>
  <c r="M66" i="1"/>
  <c r="M78" i="1"/>
  <c r="M110" i="1"/>
  <c r="M152" i="1"/>
  <c r="M141" i="1"/>
  <c r="M144" i="1"/>
  <c r="M53" i="1"/>
  <c r="M9" i="1"/>
  <c r="M93" i="1"/>
  <c r="M181" i="1"/>
  <c r="M145" i="1"/>
  <c r="M81" i="1"/>
  <c r="M12" i="1"/>
  <c r="M49" i="1"/>
  <c r="M134" i="1"/>
  <c r="M21" i="1"/>
  <c r="M29" i="1"/>
  <c r="M11" i="1"/>
  <c r="M122" i="1"/>
  <c r="M58" i="1"/>
  <c r="M48" i="1"/>
  <c r="M113" i="1"/>
  <c r="M189" i="1"/>
  <c r="M174" i="1"/>
  <c r="M68" i="1"/>
  <c r="M44" i="1"/>
  <c r="M169" i="1"/>
  <c r="M61" i="1"/>
  <c r="M188" i="1"/>
  <c r="M20" i="1"/>
  <c r="M161" i="1"/>
  <c r="M173" i="1"/>
  <c r="M46" i="1"/>
  <c r="M137" i="1"/>
  <c r="M28" i="1"/>
  <c r="M30" i="1"/>
  <c r="M178" i="1"/>
  <c r="M114" i="1"/>
  <c r="M50" i="1"/>
  <c r="T151" i="23" l="1"/>
  <c r="V151" i="23" s="1"/>
  <c r="T151" i="22"/>
  <c r="T139" i="1"/>
  <c r="T112" i="18"/>
  <c r="T128" i="1"/>
  <c r="T100" i="1"/>
  <c r="T119" i="23"/>
  <c r="V119" i="23" s="1"/>
  <c r="T137" i="1"/>
  <c r="U137" i="1" s="1"/>
  <c r="T71" i="22"/>
  <c r="T129" i="23"/>
  <c r="V129" i="23" s="1"/>
  <c r="W25" i="18"/>
  <c r="Y25" i="18" s="1"/>
  <c r="T48" i="18"/>
  <c r="T28" i="18"/>
  <c r="T187" i="1"/>
  <c r="T128" i="22"/>
  <c r="T100" i="22"/>
  <c r="T119" i="22"/>
  <c r="T137" i="23"/>
  <c r="V137" i="23" s="1"/>
  <c r="T129" i="22"/>
  <c r="T187" i="23"/>
  <c r="V187" i="23" s="1"/>
  <c r="T32" i="18"/>
  <c r="T55" i="1"/>
  <c r="V55" i="1" s="1"/>
  <c r="T64" i="22"/>
  <c r="T8" i="1"/>
  <c r="T70" i="1"/>
  <c r="T136" i="22"/>
  <c r="T18" i="1"/>
  <c r="T62" i="23"/>
  <c r="V62" i="23" s="1"/>
  <c r="H32" i="18"/>
  <c r="I99" i="18"/>
  <c r="W39" i="18"/>
  <c r="Y39" i="18" s="1"/>
  <c r="T55" i="23"/>
  <c r="V55" i="23" s="1"/>
  <c r="T8" i="22"/>
  <c r="T70" i="22"/>
  <c r="T18" i="23"/>
  <c r="V18" i="23" s="1"/>
  <c r="T177" i="1"/>
  <c r="T21" i="1"/>
  <c r="I162" i="18"/>
  <c r="W181" i="18"/>
  <c r="X181" i="18" s="1"/>
  <c r="W37" i="18"/>
  <c r="Y37" i="18" s="1"/>
  <c r="T55" i="22"/>
  <c r="T71" i="1"/>
  <c r="T70" i="23"/>
  <c r="V70" i="23" s="1"/>
  <c r="T18" i="22"/>
  <c r="T177" i="23"/>
  <c r="V177" i="23" s="1"/>
  <c r="W55" i="18"/>
  <c r="Y55" i="18" s="1"/>
  <c r="T128" i="23"/>
  <c r="V128" i="23" s="1"/>
  <c r="T119" i="1"/>
  <c r="T71" i="23"/>
  <c r="V71" i="23" s="1"/>
  <c r="T129" i="1"/>
  <c r="T177" i="22"/>
  <c r="T66" i="18"/>
  <c r="T67" i="18"/>
  <c r="U150" i="18"/>
  <c r="U165" i="18"/>
  <c r="T9" i="18"/>
  <c r="T172" i="18"/>
  <c r="U174" i="18"/>
  <c r="T146" i="18"/>
  <c r="U105" i="18"/>
  <c r="T78" i="18"/>
  <c r="U161" i="18"/>
  <c r="U154" i="18"/>
  <c r="T56" i="18"/>
  <c r="U108" i="18"/>
  <c r="W32" i="18"/>
  <c r="X32" i="18" s="1"/>
  <c r="T132" i="23"/>
  <c r="V132" i="23" s="1"/>
  <c r="T179" i="23"/>
  <c r="V179" i="23" s="1"/>
  <c r="T62" i="22"/>
  <c r="W67" i="18"/>
  <c r="Y67" i="18" s="1"/>
  <c r="T150" i="22"/>
  <c r="T83" i="1"/>
  <c r="T138" i="23"/>
  <c r="V138" i="23" s="1"/>
  <c r="T150" i="23"/>
  <c r="V150" i="23" s="1"/>
  <c r="T83" i="22"/>
  <c r="T138" i="22"/>
  <c r="T21" i="22"/>
  <c r="W164" i="18"/>
  <c r="X164" i="18" s="1"/>
  <c r="W150" i="18"/>
  <c r="X150" i="18" s="1"/>
  <c r="W33" i="18"/>
  <c r="Y33" i="18" s="1"/>
  <c r="W77" i="18"/>
  <c r="X77" i="18" s="1"/>
  <c r="T83" i="23"/>
  <c r="V83" i="23" s="1"/>
  <c r="T122" i="1"/>
  <c r="U122" i="1" s="1"/>
  <c r="T26" i="1"/>
  <c r="U26" i="1" s="1"/>
  <c r="T168" i="22"/>
  <c r="T48" i="1"/>
  <c r="T147" i="23"/>
  <c r="V147" i="23" s="1"/>
  <c r="T104" i="22"/>
  <c r="T26" i="23"/>
  <c r="V26" i="23" s="1"/>
  <c r="T170" i="22"/>
  <c r="T96" i="22"/>
  <c r="T79" i="22"/>
  <c r="T11" i="23"/>
  <c r="V11" i="23" s="1"/>
  <c r="T132" i="1"/>
  <c r="U132" i="1" s="1"/>
  <c r="T179" i="1"/>
  <c r="T26" i="22"/>
  <c r="W53" i="18"/>
  <c r="X53" i="18" s="1"/>
  <c r="W132" i="18"/>
  <c r="X132" i="18" s="1"/>
  <c r="T132" i="22"/>
  <c r="T179" i="22"/>
  <c r="T62" i="1"/>
  <c r="U131" i="18"/>
  <c r="U115" i="18"/>
  <c r="H51" i="18"/>
  <c r="I65" i="18"/>
  <c r="I190" i="18"/>
  <c r="I139" i="18"/>
  <c r="I84" i="18"/>
  <c r="H92" i="18"/>
  <c r="H102" i="18"/>
  <c r="U129" i="18"/>
  <c r="I52" i="18"/>
  <c r="I72" i="18"/>
  <c r="T46" i="18"/>
  <c r="T164" i="18"/>
  <c r="U157" i="18"/>
  <c r="U163" i="18"/>
  <c r="H22" i="18"/>
  <c r="U100" i="18"/>
  <c r="U94" i="18"/>
  <c r="I82" i="18"/>
  <c r="H108" i="18"/>
  <c r="T98" i="18"/>
  <c r="H165" i="18"/>
  <c r="T19" i="18"/>
  <c r="U166" i="18"/>
  <c r="T38" i="18"/>
  <c r="T170" i="1"/>
  <c r="U170" i="1" s="1"/>
  <c r="T11" i="1"/>
  <c r="U11" i="1" s="1"/>
  <c r="T101" i="18"/>
  <c r="T152" i="18"/>
  <c r="U97" i="18"/>
  <c r="H44" i="18"/>
  <c r="H50" i="18"/>
  <c r="L15" i="18"/>
  <c r="U84" i="18"/>
  <c r="T91" i="18"/>
  <c r="T168" i="23"/>
  <c r="V168" i="23" s="1"/>
  <c r="T147" i="1"/>
  <c r="U147" i="1" s="1"/>
  <c r="T147" i="22"/>
  <c r="T104" i="1"/>
  <c r="U96" i="18"/>
  <c r="T48" i="23"/>
  <c r="V48" i="23" s="1"/>
  <c r="T104" i="23"/>
  <c r="V104" i="23" s="1"/>
  <c r="T162" i="18"/>
  <c r="T128" i="18"/>
  <c r="I80" i="18"/>
  <c r="H155" i="18"/>
  <c r="T190" i="18"/>
  <c r="H161" i="18"/>
  <c r="U63" i="18"/>
  <c r="U176" i="18"/>
  <c r="T145" i="18"/>
  <c r="H59" i="18"/>
  <c r="M109" i="18"/>
  <c r="H174" i="18"/>
  <c r="J32" i="23"/>
  <c r="W32" i="23"/>
  <c r="I186" i="18"/>
  <c r="H96" i="18"/>
  <c r="I7" i="18"/>
  <c r="U12" i="18"/>
  <c r="I175" i="18"/>
  <c r="T170" i="23"/>
  <c r="V170" i="23" s="1"/>
  <c r="T11" i="22"/>
  <c r="T96" i="1"/>
  <c r="U96" i="1" s="1"/>
  <c r="Z96" i="18"/>
  <c r="U106" i="18"/>
  <c r="T96" i="23"/>
  <c r="V96" i="23" s="1"/>
  <c r="T79" i="1"/>
  <c r="U77" i="18"/>
  <c r="U181" i="18"/>
  <c r="T79" i="23"/>
  <c r="V79" i="23" s="1"/>
  <c r="U74" i="18"/>
  <c r="U54" i="18"/>
  <c r="U184" i="18"/>
  <c r="T17" i="18"/>
  <c r="T69" i="18"/>
  <c r="H149" i="18"/>
  <c r="I126" i="18"/>
  <c r="U191" i="18"/>
  <c r="I25" i="18"/>
  <c r="T24" i="18"/>
  <c r="I67" i="18"/>
  <c r="T31" i="18"/>
  <c r="U158" i="18"/>
  <c r="T104" i="18"/>
  <c r="U156" i="18"/>
  <c r="T32" i="22"/>
  <c r="T32" i="23"/>
  <c r="V32" i="23" s="1"/>
  <c r="T32" i="1"/>
  <c r="V32" i="1" s="1"/>
  <c r="T44" i="23"/>
  <c r="V44" i="23" s="1"/>
  <c r="T44" i="1"/>
  <c r="U44" i="1" s="1"/>
  <c r="T44" i="22"/>
  <c r="T133" i="23"/>
  <c r="V133" i="23" s="1"/>
  <c r="T133" i="22"/>
  <c r="T133" i="1"/>
  <c r="T60" i="23"/>
  <c r="V60" i="23" s="1"/>
  <c r="T60" i="22"/>
  <c r="T60" i="1"/>
  <c r="V60" i="1" s="1"/>
  <c r="T24" i="22"/>
  <c r="T24" i="1"/>
  <c r="T24" i="23"/>
  <c r="V24" i="23" s="1"/>
  <c r="T36" i="23"/>
  <c r="V36" i="23" s="1"/>
  <c r="T36" i="22"/>
  <c r="T36" i="1"/>
  <c r="T95" i="22"/>
  <c r="T95" i="23"/>
  <c r="V95" i="23" s="1"/>
  <c r="T95" i="1"/>
  <c r="T12" i="23"/>
  <c r="V12" i="23" s="1"/>
  <c r="T12" i="22"/>
  <c r="T12" i="1"/>
  <c r="T13" i="23"/>
  <c r="V13" i="23" s="1"/>
  <c r="T13" i="22"/>
  <c r="T13" i="1"/>
  <c r="T182" i="23"/>
  <c r="V182" i="23" s="1"/>
  <c r="T182" i="22"/>
  <c r="T182" i="1"/>
  <c r="U182" i="1" s="1"/>
  <c r="H118" i="18"/>
  <c r="T42" i="22"/>
  <c r="T42" i="23"/>
  <c r="V42" i="23" s="1"/>
  <c r="T42" i="1"/>
  <c r="T23" i="22"/>
  <c r="T23" i="23"/>
  <c r="V23" i="23" s="1"/>
  <c r="T23" i="1"/>
  <c r="T184" i="22"/>
  <c r="T184" i="1"/>
  <c r="T184" i="23"/>
  <c r="V184" i="23" s="1"/>
  <c r="T58" i="22"/>
  <c r="T58" i="23"/>
  <c r="V58" i="23" s="1"/>
  <c r="T58" i="1"/>
  <c r="T68" i="23"/>
  <c r="V68" i="23" s="1"/>
  <c r="T68" i="22"/>
  <c r="T68" i="1"/>
  <c r="V68" i="1" s="1"/>
  <c r="T115" i="23"/>
  <c r="V115" i="23" s="1"/>
  <c r="T115" i="22"/>
  <c r="T115" i="1"/>
  <c r="T31" i="22"/>
  <c r="T31" i="23"/>
  <c r="V31" i="23" s="1"/>
  <c r="T31" i="1"/>
  <c r="T155" i="23"/>
  <c r="V155" i="23" s="1"/>
  <c r="T155" i="22"/>
  <c r="T155" i="1"/>
  <c r="T54" i="23"/>
  <c r="V54" i="23" s="1"/>
  <c r="T54" i="22"/>
  <c r="T54" i="1"/>
  <c r="T166" i="23"/>
  <c r="V166" i="23" s="1"/>
  <c r="T166" i="22"/>
  <c r="T166" i="1"/>
  <c r="U166" i="1" s="1"/>
  <c r="T67" i="23"/>
  <c r="V67" i="23" s="1"/>
  <c r="T67" i="22"/>
  <c r="T67" i="1"/>
  <c r="T154" i="22"/>
  <c r="T154" i="23"/>
  <c r="V154" i="23" s="1"/>
  <c r="T154" i="1"/>
  <c r="U154" i="1" s="1"/>
  <c r="T152" i="22"/>
  <c r="T152" i="1"/>
  <c r="V152" i="1" s="1"/>
  <c r="T152" i="23"/>
  <c r="V152" i="23" s="1"/>
  <c r="T141" i="23"/>
  <c r="V141" i="23" s="1"/>
  <c r="T141" i="22"/>
  <c r="T141" i="1"/>
  <c r="U141" i="1" s="1"/>
  <c r="T125" i="23"/>
  <c r="V125" i="23" s="1"/>
  <c r="T125" i="22"/>
  <c r="T125" i="1"/>
  <c r="U125" i="1" s="1"/>
  <c r="T33" i="22"/>
  <c r="T33" i="23"/>
  <c r="V33" i="23" s="1"/>
  <c r="T33" i="1"/>
  <c r="V33" i="1" s="1"/>
  <c r="T174" i="23"/>
  <c r="V174" i="23" s="1"/>
  <c r="T174" i="22"/>
  <c r="T174" i="1"/>
  <c r="U174" i="1" s="1"/>
  <c r="T37" i="23"/>
  <c r="V37" i="23" s="1"/>
  <c r="T37" i="22"/>
  <c r="T37" i="1"/>
  <c r="U37" i="1" s="1"/>
  <c r="T53" i="23"/>
  <c r="V53" i="23" s="1"/>
  <c r="T53" i="22"/>
  <c r="T53" i="1"/>
  <c r="T78" i="23"/>
  <c r="V78" i="23" s="1"/>
  <c r="T78" i="22"/>
  <c r="T78" i="1"/>
  <c r="T108" i="23"/>
  <c r="V108" i="23" s="1"/>
  <c r="T108" i="1"/>
  <c r="U108" i="1" s="1"/>
  <c r="T108" i="22"/>
  <c r="T39" i="22"/>
  <c r="T39" i="23"/>
  <c r="V39" i="23" s="1"/>
  <c r="T39" i="1"/>
  <c r="V39" i="1" s="1"/>
  <c r="T172" i="23"/>
  <c r="V172" i="23" s="1"/>
  <c r="T172" i="1"/>
  <c r="T172" i="22"/>
  <c r="T99" i="23"/>
  <c r="V99" i="23" s="1"/>
  <c r="T99" i="22"/>
  <c r="T99" i="1"/>
  <c r="H117" i="18"/>
  <c r="Z88" i="18"/>
  <c r="T99" i="18"/>
  <c r="U143" i="18"/>
  <c r="U26" i="18"/>
  <c r="W166" i="18"/>
  <c r="Y166" i="18" s="1"/>
  <c r="T146" i="22"/>
  <c r="T146" i="23"/>
  <c r="V146" i="23" s="1"/>
  <c r="T146" i="1"/>
  <c r="U146" i="1" s="1"/>
  <c r="T159" i="22"/>
  <c r="T159" i="23"/>
  <c r="V159" i="23" s="1"/>
  <c r="T159" i="1"/>
  <c r="T9" i="22"/>
  <c r="T9" i="23"/>
  <c r="V9" i="23" s="1"/>
  <c r="T9" i="1"/>
  <c r="T165" i="23"/>
  <c r="V165" i="23" s="1"/>
  <c r="T165" i="22"/>
  <c r="T165" i="1"/>
  <c r="T87" i="22"/>
  <c r="T87" i="23"/>
  <c r="V87" i="23" s="1"/>
  <c r="T87" i="1"/>
  <c r="T130" i="22"/>
  <c r="T130" i="23"/>
  <c r="V130" i="23" s="1"/>
  <c r="T130" i="1"/>
  <c r="T28" i="23"/>
  <c r="V28" i="23" s="1"/>
  <c r="T28" i="22"/>
  <c r="T28" i="1"/>
  <c r="U28" i="1" s="1"/>
  <c r="T105" i="22"/>
  <c r="T105" i="23"/>
  <c r="V105" i="23" s="1"/>
  <c r="T105" i="1"/>
  <c r="T40" i="22"/>
  <c r="T40" i="23"/>
  <c r="V40" i="23" s="1"/>
  <c r="T40" i="1"/>
  <c r="T65" i="22"/>
  <c r="T65" i="23"/>
  <c r="V65" i="23" s="1"/>
  <c r="T65" i="1"/>
  <c r="U65" i="1" s="1"/>
  <c r="T175" i="22"/>
  <c r="T175" i="23"/>
  <c r="V175" i="23" s="1"/>
  <c r="T175" i="1"/>
  <c r="U175" i="1" s="1"/>
  <c r="U159" i="18"/>
  <c r="I77" i="18"/>
  <c r="T88" i="18"/>
  <c r="T40" i="18"/>
  <c r="T37" i="18"/>
  <c r="U30" i="18"/>
  <c r="T69" i="23"/>
  <c r="V69" i="23" s="1"/>
  <c r="T69" i="22"/>
  <c r="T69" i="1"/>
  <c r="U69" i="1" s="1"/>
  <c r="T143" i="22"/>
  <c r="T143" i="23"/>
  <c r="V143" i="23" s="1"/>
  <c r="T143" i="1"/>
  <c r="V143" i="1" s="1"/>
  <c r="T164" i="23"/>
  <c r="V164" i="23" s="1"/>
  <c r="T164" i="22"/>
  <c r="T164" i="1"/>
  <c r="U164" i="1" s="1"/>
  <c r="T124" i="23"/>
  <c r="V124" i="23" s="1"/>
  <c r="T124" i="22"/>
  <c r="T124" i="1"/>
  <c r="V124" i="1" s="1"/>
  <c r="T114" i="22"/>
  <c r="T114" i="23"/>
  <c r="V114" i="23" s="1"/>
  <c r="T114" i="1"/>
  <c r="U114" i="1" s="1"/>
  <c r="T90" i="22"/>
  <c r="T90" i="23"/>
  <c r="V90" i="23" s="1"/>
  <c r="T90" i="1"/>
  <c r="U90" i="1" s="1"/>
  <c r="T77" i="23"/>
  <c r="V77" i="23" s="1"/>
  <c r="T77" i="22"/>
  <c r="T77" i="1"/>
  <c r="U77" i="1" s="1"/>
  <c r="T103" i="22"/>
  <c r="T103" i="23"/>
  <c r="V103" i="23" s="1"/>
  <c r="T103" i="1"/>
  <c r="U103" i="1" s="1"/>
  <c r="T85" i="23"/>
  <c r="V85" i="23" s="1"/>
  <c r="T85" i="22"/>
  <c r="T85" i="1"/>
  <c r="T34" i="22"/>
  <c r="T34" i="23"/>
  <c r="V34" i="23" s="1"/>
  <c r="T34" i="1"/>
  <c r="T76" i="23"/>
  <c r="V76" i="23" s="1"/>
  <c r="T76" i="22"/>
  <c r="T76" i="1"/>
  <c r="T135" i="22"/>
  <c r="T135" i="23"/>
  <c r="V135" i="23" s="1"/>
  <c r="T135" i="1"/>
  <c r="T113" i="22"/>
  <c r="T113" i="23"/>
  <c r="V113" i="23" s="1"/>
  <c r="T113" i="1"/>
  <c r="T22" i="23"/>
  <c r="V22" i="23" s="1"/>
  <c r="T22" i="22"/>
  <c r="T22" i="1"/>
  <c r="T102" i="23"/>
  <c r="V102" i="23" s="1"/>
  <c r="T102" i="22"/>
  <c r="T102" i="1"/>
  <c r="T84" i="23"/>
  <c r="V84" i="23" s="1"/>
  <c r="T84" i="22"/>
  <c r="T84" i="1"/>
  <c r="T52" i="23"/>
  <c r="V52" i="23" s="1"/>
  <c r="T52" i="1"/>
  <c r="T52" i="22"/>
  <c r="T145" i="22"/>
  <c r="T145" i="23"/>
  <c r="V145" i="23" s="1"/>
  <c r="T145" i="1"/>
  <c r="T192" i="22"/>
  <c r="T192" i="1"/>
  <c r="T192" i="23"/>
  <c r="V192" i="23" s="1"/>
  <c r="T148" i="18"/>
  <c r="T25" i="22"/>
  <c r="T25" i="23"/>
  <c r="V25" i="23" s="1"/>
  <c r="T25" i="1"/>
  <c r="U25" i="1" s="1"/>
  <c r="T173" i="23"/>
  <c r="V173" i="23" s="1"/>
  <c r="T173" i="22"/>
  <c r="T173" i="1"/>
  <c r="T107" i="23"/>
  <c r="V107" i="23" s="1"/>
  <c r="T107" i="22"/>
  <c r="T107" i="1"/>
  <c r="V107" i="1" s="1"/>
  <c r="T121" i="22"/>
  <c r="T121" i="23"/>
  <c r="V121" i="23" s="1"/>
  <c r="T121" i="1"/>
  <c r="U121" i="1" s="1"/>
  <c r="T181" i="23"/>
  <c r="V181" i="23" s="1"/>
  <c r="T181" i="22"/>
  <c r="T181" i="1"/>
  <c r="U181" i="1" s="1"/>
  <c r="T16" i="22"/>
  <c r="T16" i="1"/>
  <c r="V16" i="1" s="1"/>
  <c r="T16" i="23"/>
  <c r="V16" i="23" s="1"/>
  <c r="T162" i="22"/>
  <c r="T162" i="23"/>
  <c r="V162" i="23" s="1"/>
  <c r="T162" i="1"/>
  <c r="U162" i="1" s="1"/>
  <c r="T189" i="23"/>
  <c r="V189" i="23" s="1"/>
  <c r="T189" i="22"/>
  <c r="T189" i="1"/>
  <c r="U189" i="1" s="1"/>
  <c r="T136" i="18"/>
  <c r="U70" i="18"/>
  <c r="I53" i="18"/>
  <c r="T58" i="18"/>
  <c r="T153" i="18"/>
  <c r="T13" i="18"/>
  <c r="U8" i="18"/>
  <c r="U138" i="18"/>
  <c r="T25" i="18"/>
  <c r="U14" i="18"/>
  <c r="U187" i="18"/>
  <c r="I124" i="18"/>
  <c r="T15" i="18"/>
  <c r="H110" i="18"/>
  <c r="I55" i="18"/>
  <c r="H85" i="18"/>
  <c r="T72" i="18"/>
  <c r="T87" i="18"/>
  <c r="H15" i="22"/>
  <c r="W15" i="22"/>
  <c r="X15" i="22" s="1"/>
  <c r="H63" i="23"/>
  <c r="H35" i="22"/>
  <c r="W35" i="22"/>
  <c r="H157" i="23"/>
  <c r="W120" i="22"/>
  <c r="H120" i="22"/>
  <c r="W88" i="22"/>
  <c r="H88" i="22"/>
  <c r="H8" i="23"/>
  <c r="X8" i="23"/>
  <c r="H112" i="22"/>
  <c r="W112" i="22"/>
  <c r="X112" i="22" s="1"/>
  <c r="H26" i="23"/>
  <c r="H104" i="22"/>
  <c r="W104" i="22"/>
  <c r="H21" i="23"/>
  <c r="H64" i="23"/>
  <c r="H164" i="23"/>
  <c r="H69" i="23"/>
  <c r="H177" i="22"/>
  <c r="W177" i="22"/>
  <c r="H20" i="22"/>
  <c r="W20" i="22"/>
  <c r="X20" i="22" s="1"/>
  <c r="W129" i="22"/>
  <c r="X129" i="22" s="1"/>
  <c r="H129" i="22"/>
  <c r="W138" i="22"/>
  <c r="H138" i="22"/>
  <c r="H81" i="22"/>
  <c r="W81" i="22"/>
  <c r="M32" i="22"/>
  <c r="N32" i="22"/>
  <c r="W141" i="22"/>
  <c r="X141" i="22" s="1"/>
  <c r="H141" i="22"/>
  <c r="W150" i="22"/>
  <c r="H150" i="22"/>
  <c r="H149" i="23"/>
  <c r="H142" i="23"/>
  <c r="H48" i="22"/>
  <c r="W48" i="22"/>
  <c r="H132" i="22"/>
  <c r="W132" i="22"/>
  <c r="H122" i="23"/>
  <c r="W44" i="22"/>
  <c r="H44" i="22"/>
  <c r="H192" i="23"/>
  <c r="W175" i="22"/>
  <c r="H175" i="22"/>
  <c r="H145" i="22"/>
  <c r="W145" i="22"/>
  <c r="X145" i="22" s="1"/>
  <c r="H65" i="23"/>
  <c r="H52" i="22"/>
  <c r="W52" i="22"/>
  <c r="W84" i="22"/>
  <c r="X84" i="22" s="1"/>
  <c r="H84" i="22"/>
  <c r="H174" i="23"/>
  <c r="H102" i="23"/>
  <c r="H33" i="23"/>
  <c r="H22" i="23"/>
  <c r="H125" i="23"/>
  <c r="H166" i="23"/>
  <c r="H173" i="23"/>
  <c r="H19" i="23"/>
  <c r="X19" i="23"/>
  <c r="H47" i="23"/>
  <c r="H41" i="23"/>
  <c r="H49" i="22"/>
  <c r="W49" i="22"/>
  <c r="X49" i="22" s="1"/>
  <c r="W57" i="22"/>
  <c r="H57" i="22"/>
  <c r="W101" i="22"/>
  <c r="H101" i="22"/>
  <c r="H160" i="22"/>
  <c r="W160" i="22"/>
  <c r="X160" i="22" s="1"/>
  <c r="H63" i="22"/>
  <c r="W63" i="22"/>
  <c r="X63" i="22" s="1"/>
  <c r="W74" i="22"/>
  <c r="H74" i="22"/>
  <c r="W157" i="22"/>
  <c r="H157" i="22"/>
  <c r="H188" i="23"/>
  <c r="H88" i="23"/>
  <c r="H152" i="23"/>
  <c r="H112" i="23"/>
  <c r="H46" i="23"/>
  <c r="H104" i="23"/>
  <c r="H7" i="23"/>
  <c r="W64" i="22"/>
  <c r="X64" i="22" s="1"/>
  <c r="H64" i="22"/>
  <c r="H92" i="23"/>
  <c r="W69" i="22"/>
  <c r="H69" i="22"/>
  <c r="H82" i="23"/>
  <c r="H20" i="23"/>
  <c r="H73" i="23"/>
  <c r="H138" i="23"/>
  <c r="H163" i="22"/>
  <c r="W163" i="22"/>
  <c r="H141" i="23"/>
  <c r="H154" i="23"/>
  <c r="W149" i="22"/>
  <c r="H149" i="22"/>
  <c r="H86" i="23"/>
  <c r="H48" i="23"/>
  <c r="H119" i="23"/>
  <c r="W122" i="22"/>
  <c r="H122" i="22"/>
  <c r="H159" i="22"/>
  <c r="W159" i="22"/>
  <c r="X159" i="22" s="1"/>
  <c r="H192" i="22"/>
  <c r="W192" i="22"/>
  <c r="X192" i="22" s="1"/>
  <c r="W78" i="22"/>
  <c r="X78" i="22" s="1"/>
  <c r="H78" i="22"/>
  <c r="H145" i="23"/>
  <c r="H53" i="23"/>
  <c r="H52" i="23"/>
  <c r="H37" i="23"/>
  <c r="W174" i="22"/>
  <c r="H174" i="22"/>
  <c r="W95" i="22"/>
  <c r="X95" i="22" s="1"/>
  <c r="H95" i="22"/>
  <c r="H33" i="22"/>
  <c r="W33" i="22"/>
  <c r="H36" i="23"/>
  <c r="H125" i="22"/>
  <c r="W125" i="22"/>
  <c r="H143" i="22"/>
  <c r="W143" i="22"/>
  <c r="H173" i="22"/>
  <c r="W173" i="22"/>
  <c r="X173" i="22" s="1"/>
  <c r="W156" i="22"/>
  <c r="X156" i="22" s="1"/>
  <c r="H156" i="22"/>
  <c r="W47" i="22"/>
  <c r="X47" i="22" s="1"/>
  <c r="H47" i="22"/>
  <c r="H66" i="22"/>
  <c r="W66" i="22"/>
  <c r="H49" i="23"/>
  <c r="H127" i="23"/>
  <c r="H101" i="23"/>
  <c r="H160" i="23"/>
  <c r="H109" i="23"/>
  <c r="H74" i="23"/>
  <c r="H98" i="22"/>
  <c r="W98" i="22"/>
  <c r="W188" i="22"/>
  <c r="X188" i="22" s="1"/>
  <c r="H188" i="22"/>
  <c r="H131" i="23"/>
  <c r="W152" i="22"/>
  <c r="H152" i="22"/>
  <c r="H14" i="23"/>
  <c r="X14" i="23"/>
  <c r="W46" i="22"/>
  <c r="X46" i="22" s="1"/>
  <c r="H46" i="22"/>
  <c r="H106" i="23"/>
  <c r="W7" i="22"/>
  <c r="X7" i="22" s="1"/>
  <c r="H7" i="22"/>
  <c r="H147" i="22"/>
  <c r="W147" i="22"/>
  <c r="W92" i="22"/>
  <c r="H92" i="22"/>
  <c r="W135" i="22"/>
  <c r="X135" i="22" s="1"/>
  <c r="H135" i="22"/>
  <c r="W82" i="22"/>
  <c r="X82" i="22" s="1"/>
  <c r="H82" i="22"/>
  <c r="H83" i="23"/>
  <c r="W73" i="22"/>
  <c r="H73" i="22"/>
  <c r="W18" i="22"/>
  <c r="X18" i="22" s="1"/>
  <c r="H18" i="22"/>
  <c r="H163" i="23"/>
  <c r="H70" i="23"/>
  <c r="H71" i="23"/>
  <c r="W154" i="22"/>
  <c r="H154" i="22"/>
  <c r="H116" i="23"/>
  <c r="H86" i="22"/>
  <c r="W86" i="22"/>
  <c r="X86" i="22" s="1"/>
  <c r="W96" i="22"/>
  <c r="H96" i="22"/>
  <c r="W119" i="22"/>
  <c r="X119" i="22" s="1"/>
  <c r="H119" i="22"/>
  <c r="H187" i="23"/>
  <c r="H159" i="23"/>
  <c r="W182" i="22"/>
  <c r="X182" i="22" s="1"/>
  <c r="H182" i="22"/>
  <c r="H78" i="23"/>
  <c r="H13" i="23"/>
  <c r="H53" i="22"/>
  <c r="W53" i="22"/>
  <c r="X53" i="22" s="1"/>
  <c r="W12" i="22"/>
  <c r="X12" i="22" s="1"/>
  <c r="H12" i="22"/>
  <c r="H37" i="22"/>
  <c r="W37" i="22"/>
  <c r="W90" i="22"/>
  <c r="X90" i="22" s="1"/>
  <c r="H90" i="22"/>
  <c r="H95" i="23"/>
  <c r="H114" i="22"/>
  <c r="W114" i="22"/>
  <c r="X114" i="22" s="1"/>
  <c r="H36" i="22"/>
  <c r="W36" i="22"/>
  <c r="W124" i="22"/>
  <c r="X124" i="22" s="1"/>
  <c r="H124" i="22"/>
  <c r="H143" i="23"/>
  <c r="H67" i="22"/>
  <c r="W67" i="22"/>
  <c r="H156" i="23"/>
  <c r="X156" i="23"/>
  <c r="H94" i="23"/>
  <c r="H66" i="23"/>
  <c r="H178" i="23"/>
  <c r="H127" i="22"/>
  <c r="W127" i="22"/>
  <c r="X127" i="22" s="1"/>
  <c r="H126" i="22"/>
  <c r="W126" i="22"/>
  <c r="H180" i="23"/>
  <c r="X180" i="23"/>
  <c r="H109" i="22"/>
  <c r="W109" i="22"/>
  <c r="X109" i="22" s="1"/>
  <c r="W27" i="22"/>
  <c r="X27" i="22" s="1"/>
  <c r="H27" i="22"/>
  <c r="H98" i="23"/>
  <c r="H93" i="23"/>
  <c r="H131" i="22"/>
  <c r="W131" i="22"/>
  <c r="W107" i="22"/>
  <c r="X107" i="22" s="1"/>
  <c r="H107" i="22"/>
  <c r="W14" i="22"/>
  <c r="X14" i="22" s="1"/>
  <c r="H14" i="22"/>
  <c r="W100" i="22"/>
  <c r="X100" i="22" s="1"/>
  <c r="H100" i="22"/>
  <c r="H106" i="22"/>
  <c r="W106" i="22"/>
  <c r="X106" i="22" s="1"/>
  <c r="W79" i="22"/>
  <c r="H79" i="22"/>
  <c r="H147" i="23"/>
  <c r="W137" i="22"/>
  <c r="H137" i="22"/>
  <c r="H135" i="23"/>
  <c r="W186" i="22"/>
  <c r="X186" i="22" s="1"/>
  <c r="H186" i="22"/>
  <c r="W83" i="22"/>
  <c r="X83" i="22" s="1"/>
  <c r="H83" i="22"/>
  <c r="H191" i="23"/>
  <c r="H18" i="23"/>
  <c r="H144" i="22"/>
  <c r="W144" i="22"/>
  <c r="W70" i="22"/>
  <c r="H70" i="22"/>
  <c r="W71" i="22"/>
  <c r="H71" i="22"/>
  <c r="W60" i="22"/>
  <c r="X60" i="22" s="1"/>
  <c r="H60" i="22"/>
  <c r="W116" i="22"/>
  <c r="H116" i="22"/>
  <c r="H97" i="22"/>
  <c r="W97" i="22"/>
  <c r="H96" i="23"/>
  <c r="H168" i="23"/>
  <c r="H187" i="22"/>
  <c r="W187" i="22"/>
  <c r="H59" i="23"/>
  <c r="H182" i="23"/>
  <c r="X182" i="23"/>
  <c r="H85" i="23"/>
  <c r="W13" i="22"/>
  <c r="X13" i="22" s="1"/>
  <c r="H13" i="22"/>
  <c r="H103" i="22"/>
  <c r="W103" i="22"/>
  <c r="H12" i="23"/>
  <c r="W77" i="22"/>
  <c r="X77" i="22" s="1"/>
  <c r="H77" i="22"/>
  <c r="H90" i="23"/>
  <c r="W115" i="22"/>
  <c r="X115" i="22" s="1"/>
  <c r="H115" i="22"/>
  <c r="H114" i="23"/>
  <c r="H68" i="22"/>
  <c r="W68" i="22"/>
  <c r="H124" i="23"/>
  <c r="H58" i="23"/>
  <c r="H67" i="23"/>
  <c r="H133" i="22"/>
  <c r="W133" i="22"/>
  <c r="H94" i="22"/>
  <c r="W94" i="22"/>
  <c r="X94" i="22" s="1"/>
  <c r="H169" i="23"/>
  <c r="H178" i="22"/>
  <c r="W178" i="22"/>
  <c r="X178" i="22" s="1"/>
  <c r="H38" i="23"/>
  <c r="H126" i="23"/>
  <c r="H29" i="22"/>
  <c r="W29" i="22"/>
  <c r="W180" i="22"/>
  <c r="X180" i="22" s="1"/>
  <c r="H180" i="22"/>
  <c r="H148" i="23"/>
  <c r="H27" i="23"/>
  <c r="H176" i="23"/>
  <c r="H93" i="22"/>
  <c r="W93" i="22"/>
  <c r="X93" i="22" s="1"/>
  <c r="W50" i="22"/>
  <c r="H50" i="22"/>
  <c r="H107" i="23"/>
  <c r="X107" i="23"/>
  <c r="W146" i="22"/>
  <c r="H146" i="22"/>
  <c r="H100" i="23"/>
  <c r="H72" i="23"/>
  <c r="H79" i="23"/>
  <c r="W17" i="22"/>
  <c r="X17" i="22" s="1"/>
  <c r="H17" i="22"/>
  <c r="H137" i="23"/>
  <c r="H32" i="23"/>
  <c r="H186" i="23"/>
  <c r="H161" i="22"/>
  <c r="W161" i="22"/>
  <c r="H191" i="22"/>
  <c r="W191" i="22"/>
  <c r="X191" i="22" s="1"/>
  <c r="H75" i="22"/>
  <c r="W75" i="22"/>
  <c r="X75" i="22" s="1"/>
  <c r="H144" i="23"/>
  <c r="W136" i="22"/>
  <c r="H136" i="22"/>
  <c r="H6" i="23"/>
  <c r="H60" i="23"/>
  <c r="H179" i="23"/>
  <c r="X179" i="23"/>
  <c r="H97" i="23"/>
  <c r="H158" i="22"/>
  <c r="W158" i="22"/>
  <c r="H168" i="22"/>
  <c r="W168" i="22"/>
  <c r="H55" i="23"/>
  <c r="H59" i="22"/>
  <c r="W59" i="22"/>
  <c r="X59" i="22" s="1"/>
  <c r="W76" i="22"/>
  <c r="X76" i="22" s="1"/>
  <c r="H76" i="22"/>
  <c r="W85" i="22"/>
  <c r="X85" i="22" s="1"/>
  <c r="H85" i="22"/>
  <c r="H54" i="23"/>
  <c r="H103" i="23"/>
  <c r="H155" i="23"/>
  <c r="H77" i="23"/>
  <c r="H31" i="23"/>
  <c r="H115" i="23"/>
  <c r="W181" i="22"/>
  <c r="X181" i="22" s="1"/>
  <c r="H181" i="22"/>
  <c r="H68" i="23"/>
  <c r="H121" i="23"/>
  <c r="H58" i="22"/>
  <c r="W58" i="22"/>
  <c r="H25" i="23"/>
  <c r="H133" i="23"/>
  <c r="H151" i="23"/>
  <c r="W169" i="22"/>
  <c r="X169" i="22" s="1"/>
  <c r="H169" i="22"/>
  <c r="H89" i="22"/>
  <c r="W89" i="22"/>
  <c r="X89" i="22" s="1"/>
  <c r="W38" i="22"/>
  <c r="X38" i="22" s="1"/>
  <c r="H38" i="22"/>
  <c r="H171" i="22"/>
  <c r="W171" i="22"/>
  <c r="H29" i="23"/>
  <c r="W148" i="22"/>
  <c r="H148" i="22"/>
  <c r="H111" i="22"/>
  <c r="W111" i="22"/>
  <c r="X111" i="22" s="1"/>
  <c r="H176" i="22"/>
  <c r="W176" i="22"/>
  <c r="W183" i="22"/>
  <c r="X183" i="22" s="1"/>
  <c r="H183" i="22"/>
  <c r="H50" i="23"/>
  <c r="H30" i="23"/>
  <c r="H146" i="23"/>
  <c r="H80" i="23"/>
  <c r="W72" i="22"/>
  <c r="X72" i="22" s="1"/>
  <c r="H72" i="22"/>
  <c r="H110" i="23"/>
  <c r="H17" i="23"/>
  <c r="H128" i="23"/>
  <c r="H32" i="22"/>
  <c r="W32" i="22"/>
  <c r="H108" i="23"/>
  <c r="H161" i="23"/>
  <c r="H117" i="23"/>
  <c r="H75" i="23"/>
  <c r="W51" i="22"/>
  <c r="X51" i="22" s="1"/>
  <c r="H51" i="22"/>
  <c r="H136" i="23"/>
  <c r="W6" i="22"/>
  <c r="H6" i="22"/>
  <c r="H24" i="23"/>
  <c r="W179" i="22"/>
  <c r="X179" i="22" s="1"/>
  <c r="H179" i="22"/>
  <c r="H193" i="23"/>
  <c r="H158" i="23"/>
  <c r="H170" i="22"/>
  <c r="W170" i="22"/>
  <c r="W55" i="22"/>
  <c r="X55" i="22" s="1"/>
  <c r="H55" i="22"/>
  <c r="H43" i="23"/>
  <c r="H76" i="23"/>
  <c r="H189" i="23"/>
  <c r="W54" i="22"/>
  <c r="X54" i="22" s="1"/>
  <c r="H54" i="22"/>
  <c r="H162" i="22"/>
  <c r="W162" i="22"/>
  <c r="W155" i="22"/>
  <c r="H155" i="22"/>
  <c r="H16" i="23"/>
  <c r="W31" i="22"/>
  <c r="H31" i="22"/>
  <c r="H130" i="22"/>
  <c r="W130" i="22"/>
  <c r="X130" i="22" s="1"/>
  <c r="H181" i="23"/>
  <c r="H87" i="23"/>
  <c r="W121" i="22"/>
  <c r="X121" i="22" s="1"/>
  <c r="H121" i="22"/>
  <c r="H165" i="22"/>
  <c r="W165" i="22"/>
  <c r="W25" i="22"/>
  <c r="H25" i="22"/>
  <c r="W113" i="22"/>
  <c r="X113" i="22" s="1"/>
  <c r="H113" i="22"/>
  <c r="W151" i="22"/>
  <c r="H151" i="22"/>
  <c r="H185" i="22"/>
  <c r="W185" i="22"/>
  <c r="X185" i="22" s="1"/>
  <c r="H89" i="23"/>
  <c r="W167" i="22"/>
  <c r="H167" i="22"/>
  <c r="H171" i="23"/>
  <c r="W123" i="22"/>
  <c r="H123" i="22"/>
  <c r="W91" i="22"/>
  <c r="X91" i="22" s="1"/>
  <c r="H91" i="22"/>
  <c r="H111" i="23"/>
  <c r="W134" i="22"/>
  <c r="X134" i="22" s="1"/>
  <c r="H134" i="22"/>
  <c r="H183" i="23"/>
  <c r="W10" i="22"/>
  <c r="X10" i="22" s="1"/>
  <c r="H10" i="22"/>
  <c r="W30" i="22"/>
  <c r="H30" i="22"/>
  <c r="W39" i="22"/>
  <c r="H39" i="22"/>
  <c r="W80" i="22"/>
  <c r="X80" i="22" s="1"/>
  <c r="H80" i="22"/>
  <c r="W11" i="22"/>
  <c r="X11" i="22" s="1"/>
  <c r="H11" i="22"/>
  <c r="W110" i="22"/>
  <c r="X110" i="22" s="1"/>
  <c r="H110" i="22"/>
  <c r="W139" i="22"/>
  <c r="X139" i="22" s="1"/>
  <c r="H139" i="22"/>
  <c r="H128" i="22"/>
  <c r="W128" i="22"/>
  <c r="W62" i="22"/>
  <c r="H62" i="22"/>
  <c r="H108" i="22"/>
  <c r="W108" i="22"/>
  <c r="H190" i="23"/>
  <c r="X190" i="23"/>
  <c r="H117" i="22"/>
  <c r="W117" i="22"/>
  <c r="H56" i="23"/>
  <c r="H51" i="23"/>
  <c r="H45" i="23"/>
  <c r="W24" i="22"/>
  <c r="H24" i="22"/>
  <c r="H23" i="22"/>
  <c r="W23" i="22"/>
  <c r="X23" i="22" s="1"/>
  <c r="W193" i="22"/>
  <c r="X193" i="22" s="1"/>
  <c r="H193" i="22"/>
  <c r="H118" i="23"/>
  <c r="H170" i="23"/>
  <c r="W61" i="22"/>
  <c r="H61" i="22"/>
  <c r="H43" i="22"/>
  <c r="W43" i="22"/>
  <c r="W9" i="22"/>
  <c r="X9" i="22" s="1"/>
  <c r="H9" i="22"/>
  <c r="H189" i="22"/>
  <c r="W189" i="22"/>
  <c r="X189" i="22" s="1"/>
  <c r="H40" i="22"/>
  <c r="W40" i="22"/>
  <c r="X40" i="22" s="1"/>
  <c r="H162" i="23"/>
  <c r="W105" i="22"/>
  <c r="X105" i="22" s="1"/>
  <c r="H105" i="22"/>
  <c r="H16" i="22"/>
  <c r="W16" i="22"/>
  <c r="H28" i="22"/>
  <c r="W28" i="22"/>
  <c r="H130" i="23"/>
  <c r="H99" i="22"/>
  <c r="W99" i="22"/>
  <c r="X99" i="22" s="1"/>
  <c r="H87" i="22"/>
  <c r="W87" i="22"/>
  <c r="H172" i="23"/>
  <c r="H165" i="23"/>
  <c r="W184" i="22"/>
  <c r="X184" i="22" s="1"/>
  <c r="H184" i="22"/>
  <c r="H113" i="23"/>
  <c r="X113" i="23"/>
  <c r="H42" i="23"/>
  <c r="H185" i="23"/>
  <c r="H153" i="23"/>
  <c r="H167" i="23"/>
  <c r="H140" i="22"/>
  <c r="W140" i="22"/>
  <c r="H123" i="23"/>
  <c r="H34" i="23"/>
  <c r="H91" i="23"/>
  <c r="H15" i="23"/>
  <c r="H134" i="23"/>
  <c r="H35" i="23"/>
  <c r="H10" i="23"/>
  <c r="H120" i="23"/>
  <c r="H39" i="23"/>
  <c r="W8" i="22"/>
  <c r="X8" i="22" s="1"/>
  <c r="H8" i="22"/>
  <c r="H11" i="23"/>
  <c r="W26" i="22"/>
  <c r="H26" i="22"/>
  <c r="H139" i="23"/>
  <c r="H21" i="22"/>
  <c r="W21" i="22"/>
  <c r="X21" i="22" s="1"/>
  <c r="H62" i="23"/>
  <c r="W164" i="22"/>
  <c r="X164" i="22" s="1"/>
  <c r="H164" i="22"/>
  <c r="W190" i="22"/>
  <c r="X190" i="22" s="1"/>
  <c r="H190" i="22"/>
  <c r="H177" i="23"/>
  <c r="W56" i="22"/>
  <c r="H56" i="22"/>
  <c r="H129" i="23"/>
  <c r="W45" i="22"/>
  <c r="X45" i="22" s="1"/>
  <c r="H45" i="22"/>
  <c r="H81" i="23"/>
  <c r="M32" i="23"/>
  <c r="N32" i="23"/>
  <c r="H23" i="23"/>
  <c r="H150" i="23"/>
  <c r="W118" i="22"/>
  <c r="X118" i="22" s="1"/>
  <c r="H118" i="22"/>
  <c r="W142" i="22"/>
  <c r="X142" i="22" s="1"/>
  <c r="H142" i="22"/>
  <c r="H61" i="23"/>
  <c r="H132" i="23"/>
  <c r="H9" i="23"/>
  <c r="H44" i="23"/>
  <c r="H40" i="23"/>
  <c r="H175" i="23"/>
  <c r="H105" i="23"/>
  <c r="H65" i="22"/>
  <c r="W65" i="22"/>
  <c r="X65" i="22" s="1"/>
  <c r="H28" i="23"/>
  <c r="H84" i="23"/>
  <c r="H99" i="23"/>
  <c r="W102" i="22"/>
  <c r="H102" i="22"/>
  <c r="H172" i="22"/>
  <c r="W172" i="22"/>
  <c r="W22" i="22"/>
  <c r="H22" i="22"/>
  <c r="H184" i="23"/>
  <c r="W166" i="22"/>
  <c r="H166" i="22"/>
  <c r="W42" i="22"/>
  <c r="X42" i="22" s="1"/>
  <c r="H42" i="22"/>
  <c r="W19" i="22"/>
  <c r="X19" i="22" s="1"/>
  <c r="H19" i="22"/>
  <c r="H153" i="22"/>
  <c r="W153" i="22"/>
  <c r="W41" i="22"/>
  <c r="X41" i="22" s="1"/>
  <c r="H41" i="22"/>
  <c r="H140" i="23"/>
  <c r="H57" i="23"/>
  <c r="H34" i="22"/>
  <c r="W34" i="22"/>
  <c r="U18" i="18"/>
  <c r="U47" i="18"/>
  <c r="T133" i="18"/>
  <c r="T142" i="18"/>
  <c r="U135" i="18"/>
  <c r="U114" i="18"/>
  <c r="T62" i="18"/>
  <c r="U113" i="18"/>
  <c r="U175" i="18"/>
  <c r="U189" i="18"/>
  <c r="T53" i="18"/>
  <c r="T60" i="18"/>
  <c r="U71" i="18"/>
  <c r="U43" i="18"/>
  <c r="T180" i="18"/>
  <c r="T192" i="18"/>
  <c r="U171" i="18"/>
  <c r="U111" i="18"/>
  <c r="U73" i="18"/>
  <c r="T61" i="18"/>
  <c r="T121" i="18"/>
  <c r="W48" i="18"/>
  <c r="Y48" i="18" s="1"/>
  <c r="W149" i="18"/>
  <c r="X149" i="18" s="1"/>
  <c r="U78" i="1"/>
  <c r="U187" i="1"/>
  <c r="W170" i="18"/>
  <c r="Y170" i="18" s="1"/>
  <c r="W108" i="18"/>
  <c r="X108" i="18" s="1"/>
  <c r="U190" i="1"/>
  <c r="W96" i="18"/>
  <c r="X96" i="18" s="1"/>
  <c r="W175" i="18"/>
  <c r="X175" i="18" s="1"/>
  <c r="W179" i="18"/>
  <c r="Y179" i="18" s="1"/>
  <c r="W16" i="18"/>
  <c r="X16" i="18" s="1"/>
  <c r="W187" i="18"/>
  <c r="X187" i="18" s="1"/>
  <c r="W71" i="18"/>
  <c r="Y71" i="18" s="1"/>
  <c r="W86" i="18"/>
  <c r="Y86" i="18" s="1"/>
  <c r="U118" i="1"/>
  <c r="U106" i="1"/>
  <c r="W65" i="18"/>
  <c r="X65" i="18" s="1"/>
  <c r="V172" i="1"/>
  <c r="W193" i="18"/>
  <c r="Y193" i="18" s="1"/>
  <c r="W172" i="18"/>
  <c r="X172" i="18" s="1"/>
  <c r="W174" i="18"/>
  <c r="X174" i="18" s="1"/>
  <c r="W78" i="18"/>
  <c r="Y78" i="18" s="1"/>
  <c r="U193" i="1"/>
  <c r="Y112" i="18"/>
  <c r="U173" i="18"/>
  <c r="T147" i="18"/>
  <c r="U68" i="18"/>
  <c r="T144" i="18"/>
  <c r="U81" i="18"/>
  <c r="U45" i="18"/>
  <c r="T11" i="18"/>
  <c r="T140" i="18"/>
  <c r="T83" i="18"/>
  <c r="T95" i="18"/>
  <c r="U139" i="18"/>
  <c r="T188" i="18"/>
  <c r="T80" i="18"/>
  <c r="U10" i="18"/>
  <c r="T23" i="18"/>
  <c r="T76" i="18"/>
  <c r="T34" i="18"/>
  <c r="U177" i="18"/>
  <c r="V142" i="1"/>
  <c r="I146" i="18"/>
  <c r="T102" i="18"/>
  <c r="T27" i="18"/>
  <c r="H156" i="18"/>
  <c r="H12" i="18"/>
  <c r="U185" i="18"/>
  <c r="I137" i="18"/>
  <c r="T168" i="18"/>
  <c r="H49" i="18"/>
  <c r="I148" i="18"/>
  <c r="U49" i="18"/>
  <c r="I21" i="18"/>
  <c r="H106" i="18"/>
  <c r="T21" i="18"/>
  <c r="H173" i="18"/>
  <c r="H150" i="18"/>
  <c r="I81" i="18"/>
  <c r="T117" i="18"/>
  <c r="I152" i="18"/>
  <c r="H11" i="18"/>
  <c r="T92" i="18"/>
  <c r="H45" i="18"/>
  <c r="I20" i="18"/>
  <c r="W147" i="18"/>
  <c r="X147" i="18" s="1"/>
  <c r="V112" i="1"/>
  <c r="Z44" i="18"/>
  <c r="L35" i="18"/>
  <c r="U97" i="1"/>
  <c r="W168" i="18"/>
  <c r="X168" i="18" s="1"/>
  <c r="W97" i="18"/>
  <c r="Y97" i="18" s="1"/>
  <c r="H192" i="18"/>
  <c r="W131" i="18"/>
  <c r="Y131" i="18" s="1"/>
  <c r="Z53" i="18"/>
  <c r="Z139" i="18"/>
  <c r="H98" i="18"/>
  <c r="H57" i="18"/>
  <c r="H43" i="18"/>
  <c r="I158" i="18"/>
  <c r="U41" i="18"/>
  <c r="U160" i="18"/>
  <c r="W120" i="18"/>
  <c r="X120" i="18" s="1"/>
  <c r="I66" i="18"/>
  <c r="T109" i="18"/>
  <c r="Z124" i="18"/>
  <c r="V149" i="1"/>
  <c r="W121" i="18"/>
  <c r="X121" i="18" s="1"/>
  <c r="I54" i="18"/>
  <c r="I75" i="18"/>
  <c r="H178" i="18"/>
  <c r="H141" i="18"/>
  <c r="I130" i="18"/>
  <c r="H131" i="18"/>
  <c r="Z178" i="18"/>
  <c r="H125" i="18"/>
  <c r="U20" i="18"/>
  <c r="W26" i="18"/>
  <c r="Y26" i="18" s="1"/>
  <c r="I177" i="18"/>
  <c r="T36" i="18"/>
  <c r="L112" i="18"/>
  <c r="W118" i="18"/>
  <c r="Y118" i="18" s="1"/>
  <c r="H68" i="18"/>
  <c r="U103" i="18"/>
  <c r="T107" i="18"/>
  <c r="W125" i="18"/>
  <c r="X125" i="18" s="1"/>
  <c r="W189" i="18"/>
  <c r="Y189" i="18" s="1"/>
  <c r="I13" i="18"/>
  <c r="W90" i="18"/>
  <c r="Y90" i="18" s="1"/>
  <c r="W106" i="18"/>
  <c r="X106" i="18" s="1"/>
  <c r="I34" i="18"/>
  <c r="H188" i="18"/>
  <c r="Z7" i="18"/>
  <c r="M120" i="18"/>
  <c r="M82" i="18"/>
  <c r="H144" i="18"/>
  <c r="T141" i="18"/>
  <c r="V116" i="1"/>
  <c r="T179" i="18"/>
  <c r="W61" i="18"/>
  <c r="X61" i="18" s="1"/>
  <c r="U110" i="18"/>
  <c r="I35" i="18"/>
  <c r="T29" i="18"/>
  <c r="I94" i="18"/>
  <c r="I153" i="18"/>
  <c r="I14" i="18"/>
  <c r="U93" i="18"/>
  <c r="Z183" i="18"/>
  <c r="H129" i="18"/>
  <c r="T35" i="18"/>
  <c r="T125" i="18"/>
  <c r="X55" i="18"/>
  <c r="T193" i="18"/>
  <c r="M128" i="18"/>
  <c r="Z82" i="18"/>
  <c r="M93" i="18"/>
  <c r="H64" i="18"/>
  <c r="Z189" i="18"/>
  <c r="Y116" i="18"/>
  <c r="I91" i="18"/>
  <c r="Z55" i="18"/>
  <c r="Z158" i="18"/>
  <c r="U120" i="1"/>
  <c r="L7" i="18"/>
  <c r="M131" i="18"/>
  <c r="L193" i="18"/>
  <c r="I116" i="18"/>
  <c r="H168" i="18"/>
  <c r="H185" i="18"/>
  <c r="H63" i="18"/>
  <c r="H6" i="18"/>
  <c r="I147" i="18"/>
  <c r="H182" i="18"/>
  <c r="T151" i="18"/>
  <c r="I15" i="18"/>
  <c r="I140" i="18"/>
  <c r="I46" i="18"/>
  <c r="H16" i="18"/>
  <c r="I191" i="18"/>
  <c r="U167" i="18"/>
  <c r="I136" i="18"/>
  <c r="H135" i="18"/>
  <c r="I62" i="18"/>
  <c r="Z46" i="18"/>
  <c r="M76" i="18"/>
  <c r="H23" i="18"/>
  <c r="Z97" i="18"/>
  <c r="Z15" i="18"/>
  <c r="I60" i="18"/>
  <c r="Z16" i="18"/>
  <c r="I113" i="18"/>
  <c r="I97" i="18"/>
  <c r="H181" i="18"/>
  <c r="M98" i="18"/>
  <c r="H83" i="18"/>
  <c r="H28" i="18"/>
  <c r="X37" i="18"/>
  <c r="H151" i="18"/>
  <c r="Z62" i="18"/>
  <c r="Z80" i="18"/>
  <c r="Y132" i="18"/>
  <c r="M81" i="18"/>
  <c r="Z116" i="18"/>
  <c r="H107" i="18"/>
  <c r="M177" i="18"/>
  <c r="Y122" i="18"/>
  <c r="L88" i="18"/>
  <c r="H78" i="18"/>
  <c r="L79" i="18"/>
  <c r="M157" i="18"/>
  <c r="Z56" i="18"/>
  <c r="H36" i="18"/>
  <c r="M147" i="18"/>
  <c r="M37" i="18"/>
  <c r="M111" i="18"/>
  <c r="V150" i="1"/>
  <c r="M45" i="18"/>
  <c r="Z87" i="18"/>
  <c r="M183" i="18"/>
  <c r="I103" i="18"/>
  <c r="M26" i="18"/>
  <c r="I18" i="18"/>
  <c r="U90" i="18"/>
  <c r="H87" i="18"/>
  <c r="L80" i="18"/>
  <c r="Z104" i="18"/>
  <c r="M30" i="18"/>
  <c r="Z109" i="18"/>
  <c r="Z84" i="18"/>
  <c r="Z83" i="18"/>
  <c r="T7" i="18"/>
  <c r="T42" i="18"/>
  <c r="Z70" i="18"/>
  <c r="H24" i="18"/>
  <c r="I26" i="18"/>
  <c r="I71" i="18"/>
  <c r="H169" i="18"/>
  <c r="Z131" i="18"/>
  <c r="Z161" i="18"/>
  <c r="U132" i="18"/>
  <c r="H41" i="18"/>
  <c r="W162" i="18"/>
  <c r="I170" i="18"/>
  <c r="U86" i="1"/>
  <c r="H160" i="18"/>
  <c r="Z180" i="18"/>
  <c r="AA180" i="18" s="1"/>
  <c r="I120" i="18"/>
  <c r="I56" i="18"/>
  <c r="Z93" i="18"/>
  <c r="Z120" i="18"/>
  <c r="M161" i="18"/>
  <c r="I159" i="18"/>
  <c r="V71" i="1"/>
  <c r="I105" i="18"/>
  <c r="L180" i="18"/>
  <c r="I69" i="18"/>
  <c r="H101" i="18"/>
  <c r="I179" i="18"/>
  <c r="H93" i="18"/>
  <c r="T65" i="18"/>
  <c r="T186" i="18"/>
  <c r="U118" i="18"/>
  <c r="M104" i="18"/>
  <c r="I95" i="18"/>
  <c r="Z14" i="18"/>
  <c r="AA14" i="18" s="1"/>
  <c r="Z98" i="18"/>
  <c r="W99" i="18"/>
  <c r="W85" i="18"/>
  <c r="M134" i="18"/>
  <c r="Y142" i="18"/>
  <c r="AA142" i="18" s="1"/>
  <c r="M46" i="18"/>
  <c r="I123" i="18"/>
  <c r="I167" i="18"/>
  <c r="Z17" i="18"/>
  <c r="M110" i="18"/>
  <c r="H89" i="18"/>
  <c r="H42" i="18"/>
  <c r="I121" i="18"/>
  <c r="U183" i="18"/>
  <c r="M186" i="18"/>
  <c r="M75" i="18"/>
  <c r="I47" i="18"/>
  <c r="Z193" i="18"/>
  <c r="U123" i="18"/>
  <c r="W173" i="18"/>
  <c r="X173" i="18" s="1"/>
  <c r="I193" i="18"/>
  <c r="I27" i="18"/>
  <c r="I17" i="18"/>
  <c r="U119" i="18"/>
  <c r="H19" i="18"/>
  <c r="L62" i="18"/>
  <c r="M72" i="18"/>
  <c r="U51" i="18"/>
  <c r="W158" i="18"/>
  <c r="I189" i="18"/>
  <c r="U126" i="18"/>
  <c r="Z75" i="18"/>
  <c r="H73" i="18"/>
  <c r="M142" i="18"/>
  <c r="T50" i="18"/>
  <c r="Z26" i="18"/>
  <c r="M62" i="18"/>
  <c r="Z186" i="18"/>
  <c r="U55" i="18"/>
  <c r="M160" i="18"/>
  <c r="Z35" i="18"/>
  <c r="Z129" i="18"/>
  <c r="Z172" i="18"/>
  <c r="V119" i="1"/>
  <c r="I187" i="18"/>
  <c r="I164" i="18"/>
  <c r="L52" i="18"/>
  <c r="U22" i="18"/>
  <c r="Z190" i="18"/>
  <c r="AA190" i="18" s="1"/>
  <c r="U122" i="18"/>
  <c r="T75" i="18"/>
  <c r="I138" i="18"/>
  <c r="H8" i="18"/>
  <c r="L17" i="18"/>
  <c r="Z81" i="18"/>
  <c r="T116" i="18"/>
  <c r="W119" i="18"/>
  <c r="U182" i="18"/>
  <c r="T44" i="18"/>
  <c r="U170" i="18"/>
  <c r="Z128" i="18"/>
  <c r="M113" i="18"/>
  <c r="H47" i="18"/>
  <c r="T64" i="18"/>
  <c r="Z45" i="18"/>
  <c r="I172" i="18"/>
  <c r="M106" i="18"/>
  <c r="I31" i="18"/>
  <c r="L190" i="18"/>
  <c r="Z94" i="18"/>
  <c r="M64" i="18"/>
  <c r="H33" i="18"/>
  <c r="Z18" i="18"/>
  <c r="H127" i="18"/>
  <c r="M91" i="18"/>
  <c r="U61" i="1"/>
  <c r="U59" i="1"/>
  <c r="M170" i="18"/>
  <c r="I166" i="18"/>
  <c r="I9" i="18"/>
  <c r="U178" i="18"/>
  <c r="H163" i="18"/>
  <c r="Z27" i="18"/>
  <c r="Z145" i="18"/>
  <c r="I86" i="18"/>
  <c r="T57" i="18"/>
  <c r="H38" i="18"/>
  <c r="I79" i="18"/>
  <c r="Z8" i="18"/>
  <c r="AA8" i="18" s="1"/>
  <c r="W59" i="18"/>
  <c r="L58" i="18"/>
  <c r="M115" i="18"/>
  <c r="M100" i="18"/>
  <c r="I29" i="18"/>
  <c r="I133" i="18"/>
  <c r="M92" i="18"/>
  <c r="H172" i="18"/>
  <c r="Z10" i="18"/>
  <c r="Z111" i="18"/>
  <c r="Z79" i="18"/>
  <c r="U169" i="18"/>
  <c r="H111" i="18"/>
  <c r="Z102" i="18"/>
  <c r="Z133" i="18"/>
  <c r="Z134" i="18"/>
  <c r="Z64" i="18"/>
  <c r="M165" i="18"/>
  <c r="M6" i="18"/>
  <c r="Z29" i="18"/>
  <c r="Z13" i="18"/>
  <c r="M144" i="18"/>
  <c r="L100" i="18"/>
  <c r="Z144" i="18"/>
  <c r="Z165" i="18"/>
  <c r="Z106" i="18"/>
  <c r="U43" i="1"/>
  <c r="W43" i="18"/>
  <c r="M121" i="18"/>
  <c r="Z33" i="18"/>
  <c r="M118" i="18"/>
  <c r="Z137" i="18"/>
  <c r="Z119" i="18"/>
  <c r="L46" i="18"/>
  <c r="M32" i="18"/>
  <c r="Z115" i="18"/>
  <c r="Z12" i="18"/>
  <c r="X73" i="18"/>
  <c r="Z32" i="18"/>
  <c r="L9" i="18"/>
  <c r="M39" i="18"/>
  <c r="Z58" i="18"/>
  <c r="M145" i="18"/>
  <c r="M119" i="18"/>
  <c r="M12" i="18"/>
  <c r="M78" i="18"/>
  <c r="Z73" i="18"/>
  <c r="M189" i="18"/>
  <c r="V114" i="1"/>
  <c r="Z110" i="18"/>
  <c r="Z78" i="18"/>
  <c r="Z39" i="18"/>
  <c r="AA39" i="18" s="1"/>
  <c r="Z6" i="18"/>
  <c r="M73" i="18"/>
  <c r="M137" i="18"/>
  <c r="Z101" i="18"/>
  <c r="M18" i="18"/>
  <c r="M154" i="18"/>
  <c r="L29" i="18"/>
  <c r="Z157" i="18"/>
  <c r="Z30" i="18"/>
  <c r="Z112" i="18"/>
  <c r="Z72" i="18"/>
  <c r="Z92" i="18"/>
  <c r="M130" i="18"/>
  <c r="Z9" i="18"/>
  <c r="L42" i="18"/>
  <c r="M175" i="18"/>
  <c r="U155" i="18"/>
  <c r="M123" i="18"/>
  <c r="M102" i="18"/>
  <c r="I61" i="18"/>
  <c r="T79" i="18"/>
  <c r="U59" i="18"/>
  <c r="I184" i="18"/>
  <c r="X152" i="18"/>
  <c r="M80" i="18"/>
  <c r="H37" i="18"/>
  <c r="M53" i="18"/>
  <c r="L101" i="18"/>
  <c r="M29" i="18"/>
  <c r="H76" i="18"/>
  <c r="M84" i="18"/>
  <c r="Z51" i="18"/>
  <c r="Z48" i="18"/>
  <c r="Z91" i="18"/>
  <c r="AA91" i="18" s="1"/>
  <c r="Z105" i="18"/>
  <c r="Y154" i="18"/>
  <c r="AA154" i="18" s="1"/>
  <c r="L10" i="18"/>
  <c r="U127" i="18"/>
  <c r="V132" i="1"/>
  <c r="I157" i="18"/>
  <c r="M152" i="18"/>
  <c r="U86" i="18"/>
  <c r="M55" i="18"/>
  <c r="L188" i="18"/>
  <c r="Z179" i="18"/>
  <c r="AA179" i="18" s="1"/>
  <c r="Z31" i="18"/>
  <c r="M129" i="18"/>
  <c r="L116" i="18"/>
  <c r="Z76" i="18"/>
  <c r="L13" i="18"/>
  <c r="Z147" i="18"/>
  <c r="Z177" i="18"/>
  <c r="I90" i="18"/>
  <c r="M13" i="18"/>
  <c r="Z191" i="18"/>
  <c r="Z160" i="18"/>
  <c r="Z36" i="18"/>
  <c r="M103" i="18"/>
  <c r="Z40" i="18"/>
  <c r="M28" i="18"/>
  <c r="M126" i="18"/>
  <c r="M48" i="18"/>
  <c r="Z188" i="18"/>
  <c r="I143" i="18"/>
  <c r="Z143" i="18"/>
  <c r="AA143" i="18" s="1"/>
  <c r="H114" i="18"/>
  <c r="H115" i="18"/>
  <c r="M87" i="18"/>
  <c r="Z28" i="18"/>
  <c r="X114" i="18"/>
  <c r="M158" i="18"/>
  <c r="U130" i="18"/>
  <c r="I112" i="18"/>
  <c r="M71" i="18"/>
  <c r="M51" i="18"/>
  <c r="Z182" i="18"/>
  <c r="AA182" i="18" s="1"/>
  <c r="Z155" i="18"/>
  <c r="M83" i="18"/>
  <c r="Z152" i="18"/>
  <c r="AA152" i="18" s="1"/>
  <c r="H112" i="18"/>
  <c r="M125" i="18"/>
  <c r="T52" i="18"/>
  <c r="T124" i="18"/>
  <c r="L11" i="18"/>
  <c r="H58" i="18"/>
  <c r="L31" i="18"/>
  <c r="M36" i="18"/>
  <c r="U6" i="18"/>
  <c r="M63" i="18"/>
  <c r="M155" i="18"/>
  <c r="M172" i="18"/>
  <c r="Z103" i="18"/>
  <c r="M74" i="18"/>
  <c r="X39" i="18"/>
  <c r="M191" i="18"/>
  <c r="H109" i="18"/>
  <c r="U82" i="18"/>
  <c r="Z63" i="18"/>
  <c r="I30" i="18"/>
  <c r="U120" i="18"/>
  <c r="L74" i="18"/>
  <c r="M14" i="18"/>
  <c r="M156" i="18"/>
  <c r="M182" i="18"/>
  <c r="Z192" i="18"/>
  <c r="Z151" i="18"/>
  <c r="M107" i="18"/>
  <c r="M44" i="18"/>
  <c r="Y181" i="18"/>
  <c r="M135" i="18"/>
  <c r="M187" i="18"/>
  <c r="Z49" i="18"/>
  <c r="L192" i="18"/>
  <c r="Z136" i="18"/>
  <c r="Z187" i="18"/>
  <c r="Z122" i="18"/>
  <c r="Z114" i="18"/>
  <c r="Z118" i="18"/>
  <c r="Z99" i="18"/>
  <c r="AA99" i="18" s="1"/>
  <c r="Z108" i="18"/>
  <c r="M136" i="18"/>
  <c r="Z125" i="18"/>
  <c r="L142" i="18"/>
  <c r="M60" i="18"/>
  <c r="Z52" i="18"/>
  <c r="Z25" i="18"/>
  <c r="AA25" i="18" s="1"/>
  <c r="M133" i="18"/>
  <c r="Z141" i="18"/>
  <c r="M127" i="18"/>
  <c r="M43" i="18"/>
  <c r="M151" i="18"/>
  <c r="Z37" i="18"/>
  <c r="AA37" i="18" s="1"/>
  <c r="M141" i="18"/>
  <c r="Z90" i="18"/>
  <c r="Z107" i="18"/>
  <c r="AA107" i="18" s="1"/>
  <c r="L25" i="18"/>
  <c r="Z95" i="18"/>
  <c r="AA95" i="18" s="1"/>
  <c r="L114" i="18"/>
  <c r="Z11" i="18"/>
  <c r="M49" i="18"/>
  <c r="Z43" i="18"/>
  <c r="L44" i="18"/>
  <c r="Z41" i="18"/>
  <c r="L122" i="18"/>
  <c r="M95" i="18"/>
  <c r="M90" i="18"/>
  <c r="M69" i="18"/>
  <c r="M59" i="18"/>
  <c r="Z126" i="18"/>
  <c r="L53" i="18"/>
  <c r="Z59" i="18"/>
  <c r="L87" i="18"/>
  <c r="M24" i="18"/>
  <c r="Z170" i="18"/>
  <c r="M61" i="18"/>
  <c r="M167" i="18"/>
  <c r="Z150" i="18"/>
  <c r="V138" i="1"/>
  <c r="M174" i="18"/>
  <c r="Z23" i="18"/>
  <c r="Z69" i="18"/>
  <c r="AA69" i="18" s="1"/>
  <c r="L133" i="18"/>
  <c r="Z60" i="18"/>
  <c r="Z173" i="18"/>
  <c r="Z169" i="18"/>
  <c r="M173" i="18"/>
  <c r="Z174" i="18"/>
  <c r="M94" i="18"/>
  <c r="M181" i="18"/>
  <c r="Z24" i="18"/>
  <c r="L146" i="18"/>
  <c r="Z22" i="18"/>
  <c r="L150" i="18"/>
  <c r="L189" i="18"/>
  <c r="M162" i="18"/>
  <c r="M178" i="18"/>
  <c r="Z175" i="18"/>
  <c r="L23" i="18"/>
  <c r="Z68" i="18"/>
  <c r="M40" i="18"/>
  <c r="Z146" i="18"/>
  <c r="L68" i="18"/>
  <c r="Z156" i="18"/>
  <c r="AA156" i="18" s="1"/>
  <c r="M179" i="18"/>
  <c r="Z167" i="18"/>
  <c r="L169" i="18"/>
  <c r="Z19" i="18"/>
  <c r="AA19" i="18" s="1"/>
  <c r="M116" i="18"/>
  <c r="Z71" i="18"/>
  <c r="Z113" i="18"/>
  <c r="AA113" i="18" s="1"/>
  <c r="M22" i="18"/>
  <c r="Y138" i="18"/>
  <c r="Y107" i="18"/>
  <c r="U55" i="1"/>
  <c r="Y124" i="18"/>
  <c r="X69" i="18"/>
  <c r="X103" i="18"/>
  <c r="V73" i="1"/>
  <c r="X25" i="18"/>
  <c r="X67" i="18"/>
  <c r="M33" i="18"/>
  <c r="M41" i="18"/>
  <c r="X143" i="18"/>
  <c r="Z148" i="18"/>
  <c r="M67" i="18"/>
  <c r="M54" i="18"/>
  <c r="Z127" i="18"/>
  <c r="L178" i="18"/>
  <c r="Z185" i="18"/>
  <c r="L154" i="18"/>
  <c r="Z153" i="18"/>
  <c r="L148" i="18"/>
  <c r="L124" i="18"/>
  <c r="Z132" i="18"/>
  <c r="L56" i="18"/>
  <c r="Z164" i="18"/>
  <c r="Z184" i="18"/>
  <c r="U168" i="1"/>
  <c r="X190" i="18"/>
  <c r="M86" i="18"/>
  <c r="Z54" i="18"/>
  <c r="Z135" i="18"/>
  <c r="Z77" i="18"/>
  <c r="L8" i="18"/>
  <c r="Y141" i="18"/>
  <c r="M124" i="18"/>
  <c r="Z86" i="18"/>
  <c r="M149" i="18"/>
  <c r="L132" i="18"/>
  <c r="M56" i="18"/>
  <c r="M77" i="18"/>
  <c r="M85" i="18"/>
  <c r="M20" i="18"/>
  <c r="M153" i="18"/>
  <c r="M171" i="18"/>
  <c r="M163" i="18"/>
  <c r="L164" i="18"/>
  <c r="Z149" i="18"/>
  <c r="Z117" i="18"/>
  <c r="M8" i="18"/>
  <c r="M143" i="18"/>
  <c r="Z121" i="18"/>
  <c r="M185" i="18"/>
  <c r="M108" i="18"/>
  <c r="Z130" i="18"/>
  <c r="Z42" i="18"/>
  <c r="Z123" i="18"/>
  <c r="Z20" i="18"/>
  <c r="M117" i="18"/>
  <c r="M70" i="18"/>
  <c r="M34" i="18"/>
  <c r="Z21" i="18"/>
  <c r="L27" i="18"/>
  <c r="Z65" i="18"/>
  <c r="Z168" i="18"/>
  <c r="L168" i="18"/>
  <c r="Z171" i="18"/>
  <c r="L99" i="18"/>
  <c r="Z85" i="18"/>
  <c r="L21" i="18"/>
  <c r="L50" i="18"/>
  <c r="L105" i="18"/>
  <c r="L65" i="18"/>
  <c r="L19" i="18"/>
  <c r="Z181" i="18"/>
  <c r="Z67" i="18"/>
  <c r="AA67" i="18" s="1"/>
  <c r="Z162" i="18"/>
  <c r="Z138" i="18"/>
  <c r="Z176" i="18"/>
  <c r="M176" i="18"/>
  <c r="M138" i="18"/>
  <c r="L184" i="18"/>
  <c r="Z163" i="18"/>
  <c r="Z50" i="18"/>
  <c r="M38" i="18"/>
  <c r="Z61" i="18"/>
  <c r="W151" i="18"/>
  <c r="W92" i="18"/>
  <c r="W178" i="18"/>
  <c r="W139" i="18"/>
  <c r="W47" i="18"/>
  <c r="V47" i="1"/>
  <c r="W169" i="18"/>
  <c r="U169" i="1"/>
  <c r="W94" i="18"/>
  <c r="W46" i="18"/>
  <c r="U46" i="1"/>
  <c r="W89" i="18"/>
  <c r="V89" i="1"/>
  <c r="W14" i="18"/>
  <c r="W136" i="18"/>
  <c r="W51" i="18"/>
  <c r="W56" i="18"/>
  <c r="W83" i="18"/>
  <c r="U83" i="1"/>
  <c r="W186" i="18"/>
  <c r="W30" i="18"/>
  <c r="U30" i="1"/>
  <c r="W93" i="18"/>
  <c r="W35" i="18"/>
  <c r="U35" i="1"/>
  <c r="W15" i="18"/>
  <c r="V15" i="1"/>
  <c r="W180" i="18"/>
  <c r="W19" i="18"/>
  <c r="U19" i="1"/>
  <c r="W66" i="18"/>
  <c r="W163" i="18"/>
  <c r="W18" i="18"/>
  <c r="W191" i="18"/>
  <c r="U191" i="1"/>
  <c r="W64" i="18"/>
  <c r="U64" i="1"/>
  <c r="W50" i="18"/>
  <c r="W157" i="18"/>
  <c r="W176" i="18"/>
  <c r="W63" i="18"/>
  <c r="W148" i="18"/>
  <c r="W128" i="18"/>
  <c r="U128" i="1"/>
  <c r="W41" i="18"/>
  <c r="W11" i="18"/>
  <c r="W17" i="18"/>
  <c r="W140" i="18"/>
  <c r="W153" i="18"/>
  <c r="W6" i="18"/>
  <c r="W177" i="18"/>
  <c r="W104" i="18"/>
  <c r="W110" i="18"/>
  <c r="W70" i="18"/>
  <c r="W45" i="18"/>
  <c r="W129" i="18"/>
  <c r="W20" i="18"/>
  <c r="V20" i="1"/>
  <c r="W161" i="18"/>
  <c r="U161" i="1"/>
  <c r="W185" i="18"/>
  <c r="W21" i="18"/>
  <c r="W7" i="18"/>
  <c r="W72" i="18"/>
  <c r="V72" i="1"/>
  <c r="W38" i="18"/>
  <c r="U38" i="1"/>
  <c r="W100" i="18"/>
  <c r="W188" i="18"/>
  <c r="U188" i="1"/>
  <c r="W183" i="18"/>
  <c r="W74" i="18"/>
  <c r="W111" i="18"/>
  <c r="W160" i="18"/>
  <c r="W80" i="18"/>
  <c r="U80" i="1"/>
  <c r="W49" i="18"/>
  <c r="W137" i="18"/>
  <c r="W8" i="18"/>
  <c r="W156" i="18"/>
  <c r="W27" i="18"/>
  <c r="U27" i="1"/>
  <c r="W167" i="18"/>
  <c r="U167" i="1"/>
  <c r="W62" i="18"/>
  <c r="W81" i="18"/>
  <c r="W144" i="18"/>
  <c r="W75" i="18"/>
  <c r="W117" i="18"/>
  <c r="W82" i="18"/>
  <c r="U82" i="1"/>
  <c r="W79" i="18"/>
  <c r="W88" i="18"/>
  <c r="W10" i="18"/>
  <c r="W98" i="18"/>
  <c r="V98" i="1"/>
  <c r="W134" i="18"/>
  <c r="W109" i="18"/>
  <c r="W91" i="18"/>
  <c r="L57" i="18"/>
  <c r="Z57" i="18"/>
  <c r="M57" i="18"/>
  <c r="L140" i="18"/>
  <c r="Z140" i="18"/>
  <c r="L89" i="18"/>
  <c r="Z89" i="18"/>
  <c r="L166" i="18"/>
  <c r="M166" i="18"/>
  <c r="Z166" i="18"/>
  <c r="Z34" i="18"/>
  <c r="W135" i="18"/>
  <c r="W57" i="18"/>
  <c r="W101" i="18"/>
  <c r="W31" i="18"/>
  <c r="W52" i="18"/>
  <c r="W155" i="18"/>
  <c r="W145" i="18"/>
  <c r="W44" i="18"/>
  <c r="W184" i="18"/>
  <c r="W159" i="18"/>
  <c r="W127" i="18"/>
  <c r="W126" i="18"/>
  <c r="W58" i="18"/>
  <c r="W102" i="18"/>
  <c r="W115" i="18"/>
  <c r="W84" i="18"/>
  <c r="M159" i="18"/>
  <c r="W9" i="18"/>
  <c r="W60" i="18"/>
  <c r="W171" i="18"/>
  <c r="W22" i="18"/>
  <c r="W40" i="18"/>
  <c r="W182" i="18"/>
  <c r="Z38" i="18"/>
  <c r="W42" i="18"/>
  <c r="W113" i="18"/>
  <c r="U113" i="1"/>
  <c r="W68" i="18"/>
  <c r="AA90" i="18"/>
  <c r="L66" i="18"/>
  <c r="Z66" i="18"/>
  <c r="W76" i="18"/>
  <c r="W28" i="18"/>
  <c r="W12" i="18"/>
  <c r="W105" i="18"/>
  <c r="W13" i="18"/>
  <c r="Z159" i="18"/>
  <c r="W146" i="18"/>
  <c r="W24" i="18"/>
  <c r="W165" i="18"/>
  <c r="W95" i="18"/>
  <c r="W54" i="18"/>
  <c r="W29" i="18"/>
  <c r="W133" i="18"/>
  <c r="W36" i="18"/>
  <c r="W87" i="18"/>
  <c r="W130" i="18"/>
  <c r="W192" i="18"/>
  <c r="W23" i="18"/>
  <c r="V23" i="1"/>
  <c r="W123" i="18"/>
  <c r="W34" i="18"/>
  <c r="Q11" i="1"/>
  <c r="Q122" i="1"/>
  <c r="Q140" i="1"/>
  <c r="Q73" i="1"/>
  <c r="Q65" i="1"/>
  <c r="Q56" i="1"/>
  <c r="Q39" i="1"/>
  <c r="Q154" i="1"/>
  <c r="Q55" i="1"/>
  <c r="Q7" i="1"/>
  <c r="Q61" i="1"/>
  <c r="Q38" i="1"/>
  <c r="Q171" i="1"/>
  <c r="Q48" i="1"/>
  <c r="Q97" i="1"/>
  <c r="Q21" i="1"/>
  <c r="Q161" i="1"/>
  <c r="Q129" i="1"/>
  <c r="Q87" i="1"/>
  <c r="Q189" i="1"/>
  <c r="Q118" i="1"/>
  <c r="Q124" i="1"/>
  <c r="Q172" i="1"/>
  <c r="Q50" i="1"/>
  <c r="Q183" i="1"/>
  <c r="Q91" i="1"/>
  <c r="Q63" i="1"/>
  <c r="Q52" i="1"/>
  <c r="Q119" i="1"/>
  <c r="Q47" i="1"/>
  <c r="Q75" i="1"/>
  <c r="Q104" i="1"/>
  <c r="Q6" i="1"/>
  <c r="Q103" i="1"/>
  <c r="Q109" i="1"/>
  <c r="Q68" i="1"/>
  <c r="Q192" i="1"/>
  <c r="Q179" i="1"/>
  <c r="Q116" i="1"/>
  <c r="Q123" i="1"/>
  <c r="Q76" i="1"/>
  <c r="Q170" i="1"/>
  <c r="Q12" i="1"/>
  <c r="Q66" i="1"/>
  <c r="Q117" i="1"/>
  <c r="Q121" i="1"/>
  <c r="Q131" i="1"/>
  <c r="Q33" i="1"/>
  <c r="Q143" i="1"/>
  <c r="Q90" i="1"/>
  <c r="Q126" i="1"/>
  <c r="Q156" i="1"/>
  <c r="Q107" i="1"/>
  <c r="Q84" i="1"/>
  <c r="Q164" i="1"/>
  <c r="Q159" i="1"/>
  <c r="Q22" i="1"/>
  <c r="Q85" i="1"/>
  <c r="Q57" i="1"/>
  <c r="Q60" i="1"/>
  <c r="Q165" i="1"/>
  <c r="Q146" i="1"/>
  <c r="Q30" i="1"/>
  <c r="Q144" i="1"/>
  <c r="Q127" i="1"/>
  <c r="Q18" i="1"/>
  <c r="Q147" i="1"/>
  <c r="Q10" i="1"/>
  <c r="Q58" i="1"/>
  <c r="Q101" i="1"/>
  <c r="Q139" i="1"/>
  <c r="Q178" i="1"/>
  <c r="Q108" i="1"/>
  <c r="Q187" i="1"/>
  <c r="Q112" i="1"/>
  <c r="Q145" i="1"/>
  <c r="Q150" i="1"/>
  <c r="Q54" i="1"/>
  <c r="Q86" i="1"/>
  <c r="Q130" i="1"/>
  <c r="Q24" i="1"/>
  <c r="Q81" i="1"/>
  <c r="Q20" i="1"/>
  <c r="Q160" i="1"/>
  <c r="Q134" i="1"/>
  <c r="Q102" i="1"/>
  <c r="Q162" i="1"/>
  <c r="Q92" i="1"/>
  <c r="Q70" i="1"/>
  <c r="Q188" i="1"/>
  <c r="Q132" i="1"/>
  <c r="Q77" i="1"/>
  <c r="Q14" i="1"/>
  <c r="Q25" i="1"/>
  <c r="Q26" i="1"/>
  <c r="Q173" i="1"/>
  <c r="Q158" i="1"/>
  <c r="Q167" i="1"/>
  <c r="Q45" i="1"/>
  <c r="Q152" i="1"/>
  <c r="Q74" i="1"/>
  <c r="Q111" i="1"/>
  <c r="Q17" i="1"/>
  <c r="Q9" i="1"/>
  <c r="Q169" i="1"/>
  <c r="Q40" i="1"/>
  <c r="Q163" i="1"/>
  <c r="Q186" i="1"/>
  <c r="Q94" i="1"/>
  <c r="Q23" i="1"/>
  <c r="Q32" i="1"/>
  <c r="Q181" i="1"/>
  <c r="Q89" i="1"/>
  <c r="Q62" i="1"/>
  <c r="Q113" i="1"/>
  <c r="Q99" i="1"/>
  <c r="Q27" i="1"/>
  <c r="Q67" i="1"/>
  <c r="Q98" i="1"/>
  <c r="Q191" i="1"/>
  <c r="Q177" i="1"/>
  <c r="Q182" i="1"/>
  <c r="Q34" i="1"/>
  <c r="Q137" i="1"/>
  <c r="Q153" i="1"/>
  <c r="Q64" i="1"/>
  <c r="Q78" i="1"/>
  <c r="Q46" i="1"/>
  <c r="Q15" i="1"/>
  <c r="Q142" i="1"/>
  <c r="Q53" i="1"/>
  <c r="Q157" i="1"/>
  <c r="Q138" i="1"/>
  <c r="Q8" i="1"/>
  <c r="Q69" i="1"/>
  <c r="Q149" i="1"/>
  <c r="Q174" i="1"/>
  <c r="Q49" i="1"/>
  <c r="Q141" i="1"/>
  <c r="Q115" i="1"/>
  <c r="Q31" i="1"/>
  <c r="Q80" i="1"/>
  <c r="Q190" i="1"/>
  <c r="Q96" i="1"/>
  <c r="Q176" i="1"/>
  <c r="Q13" i="1"/>
  <c r="Q42" i="1"/>
  <c r="Q35" i="1"/>
  <c r="Q168" i="1"/>
  <c r="Q16" i="1"/>
  <c r="Q44" i="1"/>
  <c r="Q19" i="1"/>
  <c r="Q95" i="1"/>
  <c r="Q72" i="1"/>
  <c r="Q71" i="1"/>
  <c r="Q110" i="1"/>
  <c r="Q148" i="1"/>
  <c r="Q59" i="1"/>
  <c r="Q155" i="1"/>
  <c r="Q106" i="1"/>
  <c r="Q120" i="1"/>
  <c r="Q79" i="1"/>
  <c r="Q180" i="1"/>
  <c r="Q88" i="1"/>
  <c r="Q105" i="1"/>
  <c r="Q175" i="1"/>
  <c r="Q151" i="1"/>
  <c r="Q51" i="1"/>
  <c r="Q83" i="1"/>
  <c r="Q43" i="1"/>
  <c r="Q100" i="1"/>
  <c r="Q28" i="1"/>
  <c r="V96" i="1"/>
  <c r="I2" i="9"/>
  <c r="AA114" i="18" l="1"/>
  <c r="AA33" i="18"/>
  <c r="Y164" i="18"/>
  <c r="V26" i="1"/>
  <c r="Y32" i="18"/>
  <c r="X33" i="18"/>
  <c r="Y150" i="18"/>
  <c r="V125" i="1"/>
  <c r="V103" i="1"/>
  <c r="Y53" i="18"/>
  <c r="AA53" i="18" s="1"/>
  <c r="Y77" i="18"/>
  <c r="V65" i="1"/>
  <c r="V162" i="1"/>
  <c r="U32" i="1"/>
  <c r="V69" i="1"/>
  <c r="U152" i="1"/>
  <c r="V90" i="1"/>
  <c r="V164" i="1"/>
  <c r="X179" i="18"/>
  <c r="X166" i="18"/>
  <c r="V37" i="1"/>
  <c r="V189" i="1"/>
  <c r="V166" i="1"/>
  <c r="X170" i="18"/>
  <c r="AA166" i="18"/>
  <c r="Y175" i="18"/>
  <c r="X71" i="18"/>
  <c r="AA131" i="18"/>
  <c r="AA78" i="18"/>
  <c r="AA122" i="18"/>
  <c r="V25" i="1"/>
  <c r="U39" i="1"/>
  <c r="V77" i="1"/>
  <c r="X78" i="18"/>
  <c r="AA112" i="18"/>
  <c r="X131" i="18"/>
  <c r="AA141" i="18"/>
  <c r="Y96" i="18"/>
  <c r="AA96" i="18" s="1"/>
  <c r="AA189" i="18"/>
  <c r="U124" i="1"/>
  <c r="X48" i="18"/>
  <c r="Y149" i="18"/>
  <c r="AA118" i="18"/>
  <c r="V147" i="1"/>
  <c r="Y187" i="18"/>
  <c r="AA187" i="18" s="1"/>
  <c r="AA97" i="18"/>
  <c r="AA71" i="18"/>
  <c r="AA73" i="18"/>
  <c r="X1" i="22"/>
  <c r="AA48" i="18"/>
  <c r="X1" i="23"/>
  <c r="Y120" i="18"/>
  <c r="AA120" i="18" s="1"/>
  <c r="AA103" i="18"/>
  <c r="V108" i="1"/>
  <c r="V181" i="1"/>
  <c r="Y65" i="18"/>
  <c r="AA65" i="18" s="1"/>
  <c r="Y16" i="18"/>
  <c r="AA16" i="18" s="1"/>
  <c r="AA193" i="18"/>
  <c r="V86" i="1"/>
  <c r="AA86" i="18"/>
  <c r="V187" i="1"/>
  <c r="Y108" i="18"/>
  <c r="AA108" i="18" s="1"/>
  <c r="V154" i="1"/>
  <c r="U143" i="1"/>
  <c r="U33" i="1"/>
  <c r="V141" i="1"/>
  <c r="V121" i="1"/>
  <c r="V78" i="1"/>
  <c r="V174" i="1"/>
  <c r="V118" i="1"/>
  <c r="V190" i="1"/>
  <c r="U107" i="1"/>
  <c r="V122" i="1"/>
  <c r="U164" i="22"/>
  <c r="V164" i="22"/>
  <c r="V122" i="22"/>
  <c r="X122" i="22" s="1"/>
  <c r="U122" i="22"/>
  <c r="U105" i="22"/>
  <c r="V105" i="22"/>
  <c r="X60" i="23"/>
  <c r="U60" i="23"/>
  <c r="U100" i="23"/>
  <c r="X100" i="23"/>
  <c r="U66" i="22"/>
  <c r="V66" i="22"/>
  <c r="X66" i="22" s="1"/>
  <c r="U159" i="23"/>
  <c r="X159" i="23"/>
  <c r="U141" i="22"/>
  <c r="V141" i="22"/>
  <c r="V125" i="22"/>
  <c r="X125" i="22" s="1"/>
  <c r="U125" i="22"/>
  <c r="U27" i="23"/>
  <c r="X27" i="23"/>
  <c r="U129" i="23"/>
  <c r="X129" i="23"/>
  <c r="U62" i="22"/>
  <c r="V62" i="22"/>
  <c r="X62" i="22" s="1"/>
  <c r="U86" i="22"/>
  <c r="V86" i="22"/>
  <c r="X99" i="23"/>
  <c r="U99" i="23"/>
  <c r="U182" i="23"/>
  <c r="U34" i="22"/>
  <c r="V34" i="22"/>
  <c r="X34" i="22" s="1"/>
  <c r="U134" i="23"/>
  <c r="X134" i="23"/>
  <c r="U18" i="22"/>
  <c r="V18" i="22"/>
  <c r="V117" i="22"/>
  <c r="X117" i="22" s="1"/>
  <c r="U117" i="22"/>
  <c r="U79" i="22"/>
  <c r="V79" i="22"/>
  <c r="X79" i="22" s="1"/>
  <c r="X57" i="23"/>
  <c r="U57" i="23"/>
  <c r="U179" i="22"/>
  <c r="V179" i="22"/>
  <c r="U175" i="23"/>
  <c r="X175" i="23"/>
  <c r="U192" i="23"/>
  <c r="X192" i="23"/>
  <c r="U58" i="23"/>
  <c r="X58" i="23"/>
  <c r="U74" i="23"/>
  <c r="X74" i="23"/>
  <c r="U51" i="23"/>
  <c r="X51" i="23"/>
  <c r="U23" i="23"/>
  <c r="X23" i="23"/>
  <c r="U144" i="23"/>
  <c r="X144" i="23"/>
  <c r="U139" i="23"/>
  <c r="X139" i="23"/>
  <c r="X137" i="23"/>
  <c r="U137" i="23"/>
  <c r="V112" i="22"/>
  <c r="U112" i="22"/>
  <c r="U142" i="22"/>
  <c r="V142" i="22"/>
  <c r="X114" i="23"/>
  <c r="U114" i="23"/>
  <c r="X84" i="23"/>
  <c r="U84" i="23"/>
  <c r="X80" i="23"/>
  <c r="U80" i="23"/>
  <c r="X116" i="23"/>
  <c r="U116" i="23"/>
  <c r="U33" i="23"/>
  <c r="X33" i="23"/>
  <c r="X68" i="23"/>
  <c r="U68" i="23"/>
  <c r="U174" i="22"/>
  <c r="V174" i="22"/>
  <c r="X174" i="22" s="1"/>
  <c r="X170" i="23"/>
  <c r="U170" i="23"/>
  <c r="U172" i="22"/>
  <c r="V172" i="22"/>
  <c r="X172" i="22" s="1"/>
  <c r="U36" i="23"/>
  <c r="X36" i="23"/>
  <c r="U95" i="23"/>
  <c r="X95" i="23"/>
  <c r="U113" i="23"/>
  <c r="X183" i="23"/>
  <c r="U183" i="23"/>
  <c r="U136" i="23"/>
  <c r="X136" i="23"/>
  <c r="U69" i="22"/>
  <c r="V69" i="22"/>
  <c r="X69" i="22" s="1"/>
  <c r="U31" i="22"/>
  <c r="V31" i="22"/>
  <c r="X31" i="22" s="1"/>
  <c r="U128" i="23"/>
  <c r="X128" i="23"/>
  <c r="U82" i="22"/>
  <c r="V82" i="22"/>
  <c r="V19" i="22"/>
  <c r="U19" i="22"/>
  <c r="U9" i="22"/>
  <c r="V9" i="22"/>
  <c r="U141" i="23"/>
  <c r="X141" i="23"/>
  <c r="X61" i="23"/>
  <c r="U61" i="23"/>
  <c r="U102" i="23"/>
  <c r="X102" i="23"/>
  <c r="U93" i="23"/>
  <c r="X93" i="23"/>
  <c r="U70" i="23"/>
  <c r="X70" i="23"/>
  <c r="U162" i="22"/>
  <c r="V162" i="22"/>
  <c r="X162" i="22" s="1"/>
  <c r="U99" i="22"/>
  <c r="V99" i="22"/>
  <c r="V155" i="22"/>
  <c r="X155" i="22" s="1"/>
  <c r="U155" i="22"/>
  <c r="U76" i="22"/>
  <c r="V76" i="22"/>
  <c r="U10" i="23"/>
  <c r="X10" i="23"/>
  <c r="X6" i="23"/>
  <c r="U6" i="23"/>
  <c r="U156" i="22"/>
  <c r="V156" i="22"/>
  <c r="U45" i="22"/>
  <c r="V45" i="22"/>
  <c r="U88" i="22"/>
  <c r="V88" i="22"/>
  <c r="X88" i="22" s="1"/>
  <c r="U179" i="23"/>
  <c r="V12" i="22"/>
  <c r="U12" i="22"/>
  <c r="U42" i="23"/>
  <c r="X42" i="23"/>
  <c r="V188" i="22"/>
  <c r="U188" i="22"/>
  <c r="U14" i="22"/>
  <c r="V14" i="22"/>
  <c r="V169" i="22"/>
  <c r="U169" i="22"/>
  <c r="U167" i="22"/>
  <c r="V167" i="22"/>
  <c r="X167" i="22" s="1"/>
  <c r="X185" i="23"/>
  <c r="U185" i="23"/>
  <c r="V191" i="22"/>
  <c r="U191" i="22"/>
  <c r="V37" i="22"/>
  <c r="X37" i="22" s="1"/>
  <c r="U37" i="22"/>
  <c r="U142" i="23"/>
  <c r="X142" i="23"/>
  <c r="X147" i="23"/>
  <c r="U147" i="23"/>
  <c r="U148" i="22"/>
  <c r="V148" i="22"/>
  <c r="X148" i="22" s="1"/>
  <c r="U17" i="23"/>
  <c r="X17" i="23"/>
  <c r="V96" i="22"/>
  <c r="X96" i="22" s="1"/>
  <c r="U96" i="22"/>
  <c r="U33" i="22"/>
  <c r="V33" i="22"/>
  <c r="X33" i="22" s="1"/>
  <c r="U24" i="22"/>
  <c r="V24" i="22"/>
  <c r="X24" i="22" s="1"/>
  <c r="X174" i="23"/>
  <c r="U174" i="23"/>
  <c r="U172" i="23"/>
  <c r="X172" i="23"/>
  <c r="V36" i="22"/>
  <c r="X36" i="22" s="1"/>
  <c r="U36" i="22"/>
  <c r="U25" i="23"/>
  <c r="X25" i="23"/>
  <c r="V43" i="22"/>
  <c r="X43" i="22" s="1"/>
  <c r="U43" i="22"/>
  <c r="U95" i="22"/>
  <c r="V95" i="22"/>
  <c r="U113" i="22"/>
  <c r="V113" i="22"/>
  <c r="V183" i="22"/>
  <c r="U183" i="22"/>
  <c r="V136" i="22"/>
  <c r="X136" i="22" s="1"/>
  <c r="U136" i="22"/>
  <c r="X86" i="18"/>
  <c r="U138" i="23"/>
  <c r="X138" i="23"/>
  <c r="X69" i="23"/>
  <c r="U69" i="23"/>
  <c r="X65" i="23"/>
  <c r="U65" i="23"/>
  <c r="U31" i="23"/>
  <c r="X31" i="23"/>
  <c r="U128" i="22"/>
  <c r="V128" i="22"/>
  <c r="X128" i="22" s="1"/>
  <c r="X82" i="23"/>
  <c r="U82" i="23"/>
  <c r="U19" i="23"/>
  <c r="U9" i="23"/>
  <c r="X9" i="23"/>
  <c r="U61" i="22"/>
  <c r="V61" i="22"/>
  <c r="X61" i="22" s="1"/>
  <c r="U102" i="22"/>
  <c r="V102" i="22"/>
  <c r="X102" i="22" s="1"/>
  <c r="U93" i="22"/>
  <c r="V93" i="22"/>
  <c r="V70" i="22"/>
  <c r="X70" i="22" s="1"/>
  <c r="U70" i="22"/>
  <c r="U162" i="23"/>
  <c r="X162" i="23"/>
  <c r="U71" i="22"/>
  <c r="V71" i="22"/>
  <c r="X71" i="22" s="1"/>
  <c r="U99" i="1"/>
  <c r="V99" i="1"/>
  <c r="U155" i="23"/>
  <c r="X155" i="23"/>
  <c r="X76" i="23"/>
  <c r="U76" i="23"/>
  <c r="U10" i="22"/>
  <c r="V10" i="22"/>
  <c r="U6" i="22"/>
  <c r="V6" i="22"/>
  <c r="X6" i="22" s="1"/>
  <c r="U156" i="23"/>
  <c r="X45" i="23"/>
  <c r="U45" i="23"/>
  <c r="X88" i="23"/>
  <c r="U88" i="23"/>
  <c r="V181" i="22"/>
  <c r="U181" i="22"/>
  <c r="U12" i="23"/>
  <c r="X12" i="23"/>
  <c r="U42" i="22"/>
  <c r="V42" i="22"/>
  <c r="U188" i="23"/>
  <c r="X188" i="23"/>
  <c r="U14" i="23"/>
  <c r="U169" i="23"/>
  <c r="X169" i="23"/>
  <c r="X167" i="23"/>
  <c r="U167" i="23"/>
  <c r="V185" i="22"/>
  <c r="U185" i="22"/>
  <c r="X191" i="23"/>
  <c r="U191" i="23"/>
  <c r="U37" i="23"/>
  <c r="X37" i="23"/>
  <c r="U55" i="23"/>
  <c r="X55" i="23"/>
  <c r="U147" i="22"/>
  <c r="V147" i="22"/>
  <c r="X147" i="22" s="1"/>
  <c r="U148" i="23"/>
  <c r="X148" i="23"/>
  <c r="U17" i="22"/>
  <c r="V17" i="22"/>
  <c r="X96" i="23"/>
  <c r="U96" i="23"/>
  <c r="U24" i="23"/>
  <c r="X24" i="23"/>
  <c r="U108" i="22"/>
  <c r="V108" i="22"/>
  <c r="X108" i="22" s="1"/>
  <c r="U187" i="22"/>
  <c r="V187" i="22"/>
  <c r="X187" i="22" s="1"/>
  <c r="U145" i="23"/>
  <c r="X145" i="23"/>
  <c r="V73" i="22"/>
  <c r="X73" i="22" s="1"/>
  <c r="U73" i="22"/>
  <c r="U25" i="22"/>
  <c r="V25" i="22"/>
  <c r="X25" i="22" s="1"/>
  <c r="U43" i="23"/>
  <c r="X43" i="23"/>
  <c r="U22" i="23"/>
  <c r="X22" i="23"/>
  <c r="V44" i="22"/>
  <c r="X44" i="22" s="1"/>
  <c r="U44" i="22"/>
  <c r="V8" i="22"/>
  <c r="U8" i="22"/>
  <c r="U153" i="22"/>
  <c r="V153" i="22"/>
  <c r="X153" i="22" s="1"/>
  <c r="U138" i="22"/>
  <c r="V138" i="22"/>
  <c r="X138" i="22" s="1"/>
  <c r="U97" i="23"/>
  <c r="X97" i="23"/>
  <c r="U65" i="22"/>
  <c r="V65" i="22"/>
  <c r="V126" i="22"/>
  <c r="X126" i="22" s="1"/>
  <c r="U126" i="22"/>
  <c r="U63" i="23"/>
  <c r="X63" i="23"/>
  <c r="U75" i="22"/>
  <c r="V75" i="22"/>
  <c r="U21" i="22"/>
  <c r="V21" i="22"/>
  <c r="U106" i="22"/>
  <c r="V106" i="22"/>
  <c r="U154" i="23"/>
  <c r="X154" i="23"/>
  <c r="V59" i="22"/>
  <c r="U59" i="22"/>
  <c r="U101" i="22"/>
  <c r="V101" i="22"/>
  <c r="X101" i="22" s="1"/>
  <c r="V104" i="22"/>
  <c r="X104" i="22" s="1"/>
  <c r="U104" i="22"/>
  <c r="U89" i="23"/>
  <c r="X89" i="23"/>
  <c r="U39" i="22"/>
  <c r="V39" i="22"/>
  <c r="X39" i="22" s="1"/>
  <c r="U71" i="23"/>
  <c r="X71" i="23"/>
  <c r="V67" i="22"/>
  <c r="X67" i="22" s="1"/>
  <c r="U67" i="22"/>
  <c r="V165" i="22"/>
  <c r="X165" i="22" s="1"/>
  <c r="U165" i="22"/>
  <c r="U184" i="23"/>
  <c r="X184" i="23"/>
  <c r="V64" i="22"/>
  <c r="U64" i="22"/>
  <c r="U41" i="22"/>
  <c r="V41" i="22"/>
  <c r="U35" i="23"/>
  <c r="X35" i="23"/>
  <c r="U49" i="22"/>
  <c r="V49" i="22"/>
  <c r="U16" i="22"/>
  <c r="V16" i="22"/>
  <c r="X16" i="22" s="1"/>
  <c r="U158" i="23"/>
  <c r="X158" i="23"/>
  <c r="X181" i="23"/>
  <c r="U181" i="23"/>
  <c r="U54" i="23"/>
  <c r="X54" i="23"/>
  <c r="V135" i="22"/>
  <c r="U135" i="22"/>
  <c r="V151" i="22"/>
  <c r="X151" i="22" s="1"/>
  <c r="U151" i="22"/>
  <c r="U178" i="22"/>
  <c r="V178" i="22"/>
  <c r="U176" i="23"/>
  <c r="X176" i="23"/>
  <c r="U15" i="23"/>
  <c r="X15" i="23"/>
  <c r="U109" i="22"/>
  <c r="V109" i="22"/>
  <c r="V163" i="22"/>
  <c r="X163" i="22" s="1"/>
  <c r="U163" i="22"/>
  <c r="X143" i="23"/>
  <c r="U143" i="23"/>
  <c r="V55" i="22"/>
  <c r="U55" i="22"/>
  <c r="V40" i="22"/>
  <c r="U40" i="22"/>
  <c r="U50" i="23"/>
  <c r="X50" i="23"/>
  <c r="V32" i="22"/>
  <c r="X32" i="22" s="1"/>
  <c r="U32" i="22"/>
  <c r="U13" i="22"/>
  <c r="V13" i="22"/>
  <c r="U127" i="23"/>
  <c r="X127" i="23"/>
  <c r="X108" i="23"/>
  <c r="U108" i="23"/>
  <c r="U187" i="23"/>
  <c r="X187" i="23"/>
  <c r="U145" i="22"/>
  <c r="V145" i="22"/>
  <c r="X73" i="23"/>
  <c r="U73" i="23"/>
  <c r="U149" i="22"/>
  <c r="V149" i="22"/>
  <c r="X149" i="22" s="1"/>
  <c r="U103" i="22"/>
  <c r="V103" i="22"/>
  <c r="X103" i="22" s="1"/>
  <c r="U22" i="22"/>
  <c r="V22" i="22"/>
  <c r="X22" i="22" s="1"/>
  <c r="X44" i="23"/>
  <c r="U44" i="23"/>
  <c r="U8" i="23"/>
  <c r="U153" i="23"/>
  <c r="X153" i="23"/>
  <c r="U172" i="1"/>
  <c r="V106" i="1"/>
  <c r="X131" i="23"/>
  <c r="U131" i="23"/>
  <c r="U97" i="22"/>
  <c r="V97" i="22"/>
  <c r="X97" i="22" s="1"/>
  <c r="U126" i="23"/>
  <c r="X126" i="23"/>
  <c r="V63" i="22"/>
  <c r="U63" i="22"/>
  <c r="U75" i="23"/>
  <c r="X75" i="23"/>
  <c r="U21" i="23"/>
  <c r="X21" i="23"/>
  <c r="U106" i="23"/>
  <c r="X106" i="23"/>
  <c r="U154" i="22"/>
  <c r="V154" i="22"/>
  <c r="X154" i="22" s="1"/>
  <c r="U59" i="23"/>
  <c r="X59" i="23"/>
  <c r="U101" i="23"/>
  <c r="X101" i="23"/>
  <c r="U104" i="23"/>
  <c r="X104" i="23"/>
  <c r="U89" i="22"/>
  <c r="V89" i="22"/>
  <c r="U39" i="23"/>
  <c r="X39" i="23"/>
  <c r="U67" i="23"/>
  <c r="X67" i="23"/>
  <c r="U165" i="23"/>
  <c r="X165" i="23"/>
  <c r="V184" i="22"/>
  <c r="U184" i="22"/>
  <c r="X64" i="23"/>
  <c r="U64" i="23"/>
  <c r="X41" i="23"/>
  <c r="U41" i="23"/>
  <c r="U35" i="22"/>
  <c r="V35" i="22"/>
  <c r="X35" i="22" s="1"/>
  <c r="X49" i="23"/>
  <c r="U49" i="23"/>
  <c r="U16" i="23"/>
  <c r="X16" i="23"/>
  <c r="U158" i="22"/>
  <c r="V158" i="22"/>
  <c r="X158" i="22" s="1"/>
  <c r="U54" i="22"/>
  <c r="V54" i="22"/>
  <c r="U135" i="23"/>
  <c r="X135" i="23"/>
  <c r="X151" i="23"/>
  <c r="U151" i="23"/>
  <c r="X178" i="23"/>
  <c r="U178" i="23"/>
  <c r="V176" i="22"/>
  <c r="X176" i="22" s="1"/>
  <c r="U176" i="22"/>
  <c r="V15" i="22"/>
  <c r="U15" i="22"/>
  <c r="U109" i="23"/>
  <c r="X109" i="23"/>
  <c r="X163" i="23"/>
  <c r="U163" i="23"/>
  <c r="U143" i="22"/>
  <c r="V143" i="22"/>
  <c r="X143" i="22" s="1"/>
  <c r="X53" i="23"/>
  <c r="U53" i="23"/>
  <c r="U40" i="23"/>
  <c r="X40" i="23"/>
  <c r="U50" i="22"/>
  <c r="V50" i="22"/>
  <c r="X50" i="22" s="1"/>
  <c r="U32" i="23"/>
  <c r="X32" i="23"/>
  <c r="U132" i="22"/>
  <c r="V132" i="22"/>
  <c r="X132" i="22" s="1"/>
  <c r="U13" i="23"/>
  <c r="X13" i="23"/>
  <c r="V127" i="22"/>
  <c r="U127" i="22"/>
  <c r="U28" i="22"/>
  <c r="V28" i="22"/>
  <c r="X28" i="22" s="1"/>
  <c r="V120" i="22"/>
  <c r="X120" i="22" s="1"/>
  <c r="U120" i="22"/>
  <c r="U149" i="23"/>
  <c r="X149" i="23"/>
  <c r="U103" i="23"/>
  <c r="X103" i="23"/>
  <c r="U171" i="22"/>
  <c r="V171" i="22"/>
  <c r="X171" i="22" s="1"/>
  <c r="U110" i="22"/>
  <c r="V110" i="22"/>
  <c r="X186" i="23"/>
  <c r="U186" i="23"/>
  <c r="V140" i="22"/>
  <c r="X140" i="22" s="1"/>
  <c r="U140" i="22"/>
  <c r="V193" i="1"/>
  <c r="V131" i="22"/>
  <c r="X131" i="22" s="1"/>
  <c r="U131" i="22"/>
  <c r="U168" i="23"/>
  <c r="X168" i="23"/>
  <c r="X124" i="23"/>
  <c r="U124" i="23"/>
  <c r="U29" i="23"/>
  <c r="X29" i="23"/>
  <c r="U157" i="22"/>
  <c r="V157" i="22"/>
  <c r="X157" i="22" s="1"/>
  <c r="X81" i="23"/>
  <c r="U81" i="23"/>
  <c r="U133" i="23"/>
  <c r="X133" i="23"/>
  <c r="U90" i="22"/>
  <c r="V90" i="22"/>
  <c r="U180" i="23"/>
  <c r="U161" i="22"/>
  <c r="V161" i="22"/>
  <c r="X161" i="22" s="1"/>
  <c r="U46" i="23"/>
  <c r="X46" i="23"/>
  <c r="U166" i="23"/>
  <c r="X166" i="23"/>
  <c r="X85" i="23"/>
  <c r="U85" i="23"/>
  <c r="V67" i="1"/>
  <c r="U67" i="1"/>
  <c r="U146" i="22"/>
  <c r="V146" i="22"/>
  <c r="X146" i="22" s="1"/>
  <c r="U91" i="22"/>
  <c r="V91" i="22"/>
  <c r="X177" i="23"/>
  <c r="U177" i="23"/>
  <c r="X7" i="23"/>
  <c r="U7" i="23"/>
  <c r="U30" i="22"/>
  <c r="V30" i="22"/>
  <c r="X30" i="22" s="1"/>
  <c r="X72" i="23"/>
  <c r="U72" i="23"/>
  <c r="X119" i="23"/>
  <c r="U119" i="23"/>
  <c r="U26" i="22"/>
  <c r="V26" i="22"/>
  <c r="X26" i="22" s="1"/>
  <c r="U87" i="23"/>
  <c r="X87" i="23"/>
  <c r="U160" i="22"/>
  <c r="V160" i="22"/>
  <c r="U83" i="23"/>
  <c r="X83" i="23"/>
  <c r="U92" i="22"/>
  <c r="V92" i="22"/>
  <c r="X92" i="22" s="1"/>
  <c r="U47" i="22"/>
  <c r="V47" i="22"/>
  <c r="U20" i="23"/>
  <c r="X20" i="23"/>
  <c r="U98" i="23"/>
  <c r="X98" i="23"/>
  <c r="U38" i="23"/>
  <c r="X38" i="23"/>
  <c r="U53" i="22"/>
  <c r="V53" i="22"/>
  <c r="V52" i="22"/>
  <c r="X52" i="22" s="1"/>
  <c r="U52" i="22"/>
  <c r="U11" i="23"/>
  <c r="X11" i="23"/>
  <c r="V152" i="22"/>
  <c r="X152" i="22" s="1"/>
  <c r="U152" i="22"/>
  <c r="U132" i="23"/>
  <c r="X132" i="23"/>
  <c r="V130" i="22"/>
  <c r="U130" i="22"/>
  <c r="U190" i="22"/>
  <c r="V190" i="22"/>
  <c r="V193" i="22"/>
  <c r="U193" i="22"/>
  <c r="V78" i="22"/>
  <c r="U78" i="22"/>
  <c r="U28" i="23"/>
  <c r="X28" i="23"/>
  <c r="U120" i="23"/>
  <c r="X120" i="23"/>
  <c r="U121" i="23"/>
  <c r="X121" i="23"/>
  <c r="X171" i="23"/>
  <c r="U171" i="23"/>
  <c r="U110" i="23"/>
  <c r="X110" i="23"/>
  <c r="U186" i="22"/>
  <c r="V186" i="22"/>
  <c r="U140" i="23"/>
  <c r="X140" i="23"/>
  <c r="U131" i="1"/>
  <c r="V131" i="1"/>
  <c r="U168" i="22"/>
  <c r="V168" i="22"/>
  <c r="X168" i="22" s="1"/>
  <c r="V124" i="22"/>
  <c r="U124" i="22"/>
  <c r="V29" i="22"/>
  <c r="X29" i="22" s="1"/>
  <c r="U29" i="22"/>
  <c r="U157" i="23"/>
  <c r="X157" i="23"/>
  <c r="V81" i="22"/>
  <c r="X81" i="22" s="1"/>
  <c r="U81" i="22"/>
  <c r="U133" i="22"/>
  <c r="V133" i="22"/>
  <c r="X133" i="22" s="1"/>
  <c r="V189" i="22"/>
  <c r="U189" i="22"/>
  <c r="V118" i="22"/>
  <c r="U118" i="22"/>
  <c r="U90" i="23"/>
  <c r="X90" i="23"/>
  <c r="U180" i="22"/>
  <c r="V180" i="22"/>
  <c r="U161" i="23"/>
  <c r="X161" i="23"/>
  <c r="U46" i="22"/>
  <c r="V46" i="22"/>
  <c r="U166" i="22"/>
  <c r="V166" i="22"/>
  <c r="X166" i="22" s="1"/>
  <c r="U85" i="22"/>
  <c r="V85" i="22"/>
  <c r="U146" i="23"/>
  <c r="X146" i="23"/>
  <c r="X91" i="23"/>
  <c r="U91" i="23"/>
  <c r="V177" i="22"/>
  <c r="X177" i="22" s="1"/>
  <c r="U177" i="22"/>
  <c r="V7" i="22"/>
  <c r="U7" i="22"/>
  <c r="U30" i="23"/>
  <c r="X30" i="23"/>
  <c r="U72" i="22"/>
  <c r="V72" i="22"/>
  <c r="V173" i="22"/>
  <c r="U173" i="22"/>
  <c r="V119" i="22"/>
  <c r="U119" i="22"/>
  <c r="U26" i="23"/>
  <c r="X26" i="23"/>
  <c r="U87" i="22"/>
  <c r="V87" i="22"/>
  <c r="X87" i="22" s="1"/>
  <c r="U160" i="23"/>
  <c r="X160" i="23"/>
  <c r="U83" i="22"/>
  <c r="V83" i="22"/>
  <c r="X92" i="23"/>
  <c r="U92" i="23"/>
  <c r="U47" i="23"/>
  <c r="X47" i="23"/>
  <c r="U20" i="22"/>
  <c r="V20" i="22"/>
  <c r="U98" i="22"/>
  <c r="V98" i="22"/>
  <c r="X98" i="22" s="1"/>
  <c r="U38" i="22"/>
  <c r="V38" i="22"/>
  <c r="U150" i="22"/>
  <c r="V150" i="22"/>
  <c r="X150" i="22" s="1"/>
  <c r="U53" i="1"/>
  <c r="V53" i="1"/>
  <c r="X52" i="23"/>
  <c r="U52" i="23"/>
  <c r="V11" i="22"/>
  <c r="U11" i="22"/>
  <c r="U152" i="23"/>
  <c r="X152" i="23"/>
  <c r="V77" i="22"/>
  <c r="U77" i="22"/>
  <c r="X130" i="23"/>
  <c r="U130" i="23"/>
  <c r="U190" i="23"/>
  <c r="X193" i="23"/>
  <c r="U193" i="23"/>
  <c r="U78" i="23"/>
  <c r="X78" i="23"/>
  <c r="U115" i="22"/>
  <c r="V115" i="22"/>
  <c r="U107" i="23"/>
  <c r="U48" i="22"/>
  <c r="V48" i="22"/>
  <c r="X48" i="22" s="1"/>
  <c r="V121" i="22"/>
  <c r="U121" i="22"/>
  <c r="V123" i="22"/>
  <c r="X123" i="22" s="1"/>
  <c r="U123" i="22"/>
  <c r="U111" i="22"/>
  <c r="V111" i="22"/>
  <c r="V56" i="22"/>
  <c r="X56" i="22" s="1"/>
  <c r="U56" i="22"/>
  <c r="X94" i="23"/>
  <c r="U94" i="23"/>
  <c r="AA175" i="18"/>
  <c r="U164" i="23"/>
  <c r="X164" i="23"/>
  <c r="X122" i="23"/>
  <c r="U122" i="23"/>
  <c r="U105" i="23"/>
  <c r="X105" i="23"/>
  <c r="V60" i="22"/>
  <c r="U60" i="22"/>
  <c r="U100" i="22"/>
  <c r="V100" i="22"/>
  <c r="U66" i="23"/>
  <c r="X66" i="23"/>
  <c r="V159" i="22"/>
  <c r="U159" i="22"/>
  <c r="X189" i="23"/>
  <c r="U189" i="23"/>
  <c r="X118" i="23"/>
  <c r="U118" i="23"/>
  <c r="U125" i="23"/>
  <c r="X125" i="23"/>
  <c r="V27" i="22"/>
  <c r="U27" i="22"/>
  <c r="V129" i="22"/>
  <c r="U129" i="22"/>
  <c r="U62" i="23"/>
  <c r="X62" i="23"/>
  <c r="X86" i="23"/>
  <c r="U86" i="23"/>
  <c r="U85" i="1"/>
  <c r="V85" i="1"/>
  <c r="U182" i="22"/>
  <c r="V182" i="22"/>
  <c r="U34" i="23"/>
  <c r="X34" i="23"/>
  <c r="V134" i="22"/>
  <c r="U134" i="22"/>
  <c r="U18" i="23"/>
  <c r="X18" i="23"/>
  <c r="U117" i="23"/>
  <c r="X117" i="23"/>
  <c r="U79" i="23"/>
  <c r="X79" i="23"/>
  <c r="U57" i="22"/>
  <c r="V57" i="22"/>
  <c r="X57" i="22" s="1"/>
  <c r="U173" i="23"/>
  <c r="X173" i="23"/>
  <c r="U175" i="22"/>
  <c r="V175" i="22"/>
  <c r="X175" i="22" s="1"/>
  <c r="V192" i="22"/>
  <c r="U192" i="22"/>
  <c r="U58" i="22"/>
  <c r="V58" i="22"/>
  <c r="X58" i="22" s="1"/>
  <c r="V74" i="22"/>
  <c r="X74" i="22" s="1"/>
  <c r="U74" i="22"/>
  <c r="V51" i="22"/>
  <c r="U51" i="22"/>
  <c r="V23" i="22"/>
  <c r="U23" i="22"/>
  <c r="U144" i="22"/>
  <c r="V144" i="22"/>
  <c r="X144" i="22" s="1"/>
  <c r="V139" i="22"/>
  <c r="U139" i="22"/>
  <c r="U137" i="22"/>
  <c r="V137" i="22"/>
  <c r="X137" i="22" s="1"/>
  <c r="X112" i="23"/>
  <c r="U112" i="23"/>
  <c r="U150" i="23"/>
  <c r="X150" i="23"/>
  <c r="V114" i="22"/>
  <c r="U114" i="22"/>
  <c r="U84" i="22"/>
  <c r="V84" i="22"/>
  <c r="U80" i="22"/>
  <c r="V80" i="22"/>
  <c r="V116" i="22"/>
  <c r="X116" i="22" s="1"/>
  <c r="U116" i="22"/>
  <c r="X77" i="23"/>
  <c r="U77" i="23"/>
  <c r="U68" i="22"/>
  <c r="V68" i="22"/>
  <c r="X68" i="22" s="1"/>
  <c r="V170" i="22"/>
  <c r="X170" i="22" s="1"/>
  <c r="U170" i="22"/>
  <c r="X115" i="23"/>
  <c r="U115" i="23"/>
  <c r="U107" i="22"/>
  <c r="V107" i="22"/>
  <c r="X48" i="23"/>
  <c r="U48" i="23"/>
  <c r="X123" i="23"/>
  <c r="U123" i="23"/>
  <c r="X111" i="23"/>
  <c r="U111" i="23"/>
  <c r="X56" i="23"/>
  <c r="U56" i="23"/>
  <c r="V94" i="22"/>
  <c r="U94" i="22"/>
  <c r="V97" i="1"/>
  <c r="X97" i="18"/>
  <c r="V170" i="1"/>
  <c r="AA77" i="18"/>
  <c r="U16" i="1"/>
  <c r="V61" i="1"/>
  <c r="AA181" i="18"/>
  <c r="X193" i="18"/>
  <c r="Y174" i="18"/>
  <c r="AA174" i="18" s="1"/>
  <c r="X90" i="18"/>
  <c r="Y172" i="18"/>
  <c r="AA172" i="18" s="1"/>
  <c r="U60" i="1"/>
  <c r="V59" i="1"/>
  <c r="AA26" i="18"/>
  <c r="AA149" i="18"/>
  <c r="Y121" i="18"/>
  <c r="AA121" i="18" s="1"/>
  <c r="Y168" i="18"/>
  <c r="AA168" i="18" s="1"/>
  <c r="Y147" i="18"/>
  <c r="AA147" i="18" s="1"/>
  <c r="U89" i="1"/>
  <c r="X26" i="18"/>
  <c r="Y173" i="18"/>
  <c r="AA173" i="18" s="1"/>
  <c r="U119" i="1"/>
  <c r="V11" i="1"/>
  <c r="U149" i="1"/>
  <c r="V43" i="1"/>
  <c r="V35" i="1"/>
  <c r="V83" i="1"/>
  <c r="U71" i="1"/>
  <c r="AA124" i="18"/>
  <c r="X118" i="18"/>
  <c r="AA116" i="18"/>
  <c r="Y106" i="18"/>
  <c r="AA106" i="18" s="1"/>
  <c r="Y125" i="18"/>
  <c r="AA125" i="18" s="1"/>
  <c r="AA164" i="18"/>
  <c r="AA170" i="18"/>
  <c r="X189" i="18"/>
  <c r="Y61" i="18"/>
  <c r="AA61" i="18" s="1"/>
  <c r="AA150" i="18"/>
  <c r="U20" i="1"/>
  <c r="AA55" i="18"/>
  <c r="V161" i="1"/>
  <c r="AA32" i="18"/>
  <c r="V46" i="1"/>
  <c r="V128" i="1"/>
  <c r="V38" i="1"/>
  <c r="V64" i="1"/>
  <c r="V30" i="1"/>
  <c r="AA132" i="18"/>
  <c r="AA138" i="18"/>
  <c r="V19" i="1"/>
  <c r="V188" i="1"/>
  <c r="V137" i="1"/>
  <c r="U68" i="1"/>
  <c r="X85" i="18"/>
  <c r="Y85" i="18"/>
  <c r="AA85" i="18" s="1"/>
  <c r="Y99" i="18"/>
  <c r="X99" i="18"/>
  <c r="Y162" i="18"/>
  <c r="AA162" i="18" s="1"/>
  <c r="X162" i="18"/>
  <c r="U179" i="1"/>
  <c r="V179" i="1"/>
  <c r="X158" i="18"/>
  <c r="Y158" i="18"/>
  <c r="AA158" i="18" s="1"/>
  <c r="Y119" i="18"/>
  <c r="AA119" i="18" s="1"/>
  <c r="X119" i="18"/>
  <c r="U158" i="1"/>
  <c r="V158" i="1"/>
  <c r="U173" i="1"/>
  <c r="V173" i="1"/>
  <c r="V175" i="1"/>
  <c r="Y59" i="18"/>
  <c r="AA59" i="18" s="1"/>
  <c r="X59" i="18"/>
  <c r="U48" i="1"/>
  <c r="V48" i="1"/>
  <c r="X43" i="18"/>
  <c r="Y43" i="18"/>
  <c r="AA43" i="18" s="1"/>
  <c r="V113" i="1"/>
  <c r="V182" i="1"/>
  <c r="U98" i="1"/>
  <c r="U23" i="1"/>
  <c r="AA1" i="18"/>
  <c r="V191" i="1"/>
  <c r="V44" i="1"/>
  <c r="V27" i="1"/>
  <c r="V146" i="1"/>
  <c r="U15" i="1"/>
  <c r="U47" i="1"/>
  <c r="Y182" i="18"/>
  <c r="X182" i="18"/>
  <c r="U21" i="1"/>
  <c r="V21" i="1"/>
  <c r="X14" i="18"/>
  <c r="Y14" i="18"/>
  <c r="Y115" i="18"/>
  <c r="AA115" i="18" s="1"/>
  <c r="X115" i="18"/>
  <c r="U17" i="1"/>
  <c r="V17" i="1"/>
  <c r="Y46" i="18"/>
  <c r="AA46" i="18" s="1"/>
  <c r="X46" i="18"/>
  <c r="V139" i="1"/>
  <c r="U139" i="1"/>
  <c r="V92" i="1"/>
  <c r="U92" i="1"/>
  <c r="V80" i="1"/>
  <c r="V87" i="1"/>
  <c r="U87" i="1"/>
  <c r="U54" i="1"/>
  <c r="V54" i="1"/>
  <c r="U126" i="1"/>
  <c r="V126" i="1"/>
  <c r="Y44" i="18"/>
  <c r="AA44" i="18" s="1"/>
  <c r="X44" i="18"/>
  <c r="U145" i="1"/>
  <c r="V145" i="1"/>
  <c r="U52" i="1"/>
  <c r="V52" i="1"/>
  <c r="U101" i="1"/>
  <c r="V101" i="1"/>
  <c r="V91" i="1"/>
  <c r="U91" i="1"/>
  <c r="V79" i="1"/>
  <c r="U79" i="1"/>
  <c r="U117" i="1"/>
  <c r="V117" i="1"/>
  <c r="U62" i="1"/>
  <c r="V62" i="1"/>
  <c r="X156" i="18"/>
  <c r="Y156" i="18"/>
  <c r="X80" i="18"/>
  <c r="Y80" i="18"/>
  <c r="AA80" i="18" s="1"/>
  <c r="Y111" i="18"/>
  <c r="AA111" i="18" s="1"/>
  <c r="X111" i="18"/>
  <c r="X183" i="18"/>
  <c r="Y183" i="18"/>
  <c r="AA183" i="18" s="1"/>
  <c r="X100" i="18"/>
  <c r="Y100" i="18"/>
  <c r="AA100" i="18" s="1"/>
  <c r="X72" i="18"/>
  <c r="Y72" i="18"/>
  <c r="AA72" i="18" s="1"/>
  <c r="Y21" i="18"/>
  <c r="AA21" i="18" s="1"/>
  <c r="X21" i="18"/>
  <c r="U129" i="1"/>
  <c r="V129" i="1"/>
  <c r="U70" i="1"/>
  <c r="V70" i="1"/>
  <c r="Y110" i="18"/>
  <c r="AA110" i="18" s="1"/>
  <c r="X110" i="18"/>
  <c r="X177" i="18"/>
  <c r="Y177" i="18"/>
  <c r="AA177" i="18" s="1"/>
  <c r="X153" i="18"/>
  <c r="Y153" i="18"/>
  <c r="AA153" i="18" s="1"/>
  <c r="Y17" i="18"/>
  <c r="AA17" i="18" s="1"/>
  <c r="X17" i="18"/>
  <c r="X41" i="18"/>
  <c r="Y41" i="18"/>
  <c r="AA41" i="18" s="1"/>
  <c r="U148" i="1"/>
  <c r="V148" i="1"/>
  <c r="V163" i="1"/>
  <c r="U163" i="1"/>
  <c r="U93" i="1"/>
  <c r="V93" i="1"/>
  <c r="V186" i="1"/>
  <c r="U186" i="1"/>
  <c r="U171" i="1"/>
  <c r="V171" i="1"/>
  <c r="V167" i="1"/>
  <c r="Y34" i="18"/>
  <c r="AA34" i="18" s="1"/>
  <c r="X34" i="18"/>
  <c r="U29" i="1"/>
  <c r="V29" i="1"/>
  <c r="V95" i="1"/>
  <c r="U95" i="1"/>
  <c r="U165" i="1"/>
  <c r="V165" i="1"/>
  <c r="Y105" i="18"/>
  <c r="AA105" i="18" s="1"/>
  <c r="X105" i="18"/>
  <c r="Y28" i="18"/>
  <c r="AA28" i="18" s="1"/>
  <c r="X28" i="18"/>
  <c r="X171" i="18"/>
  <c r="Y171" i="18"/>
  <c r="AA171" i="18" s="1"/>
  <c r="V9" i="1"/>
  <c r="U9" i="1"/>
  <c r="U84" i="1"/>
  <c r="V84" i="1"/>
  <c r="Y58" i="18"/>
  <c r="AA58" i="18" s="1"/>
  <c r="X58" i="18"/>
  <c r="Y126" i="18"/>
  <c r="AA126" i="18" s="1"/>
  <c r="X126" i="18"/>
  <c r="U134" i="1"/>
  <c r="V134" i="1"/>
  <c r="V10" i="1"/>
  <c r="U10" i="1"/>
  <c r="Y144" i="18"/>
  <c r="AA144" i="18" s="1"/>
  <c r="X144" i="18"/>
  <c r="U176" i="1"/>
  <c r="V176" i="1"/>
  <c r="U50" i="1"/>
  <c r="V50" i="1"/>
  <c r="U56" i="1"/>
  <c r="V56" i="1"/>
  <c r="X169" i="18"/>
  <c r="Y169" i="18"/>
  <c r="AA169" i="18" s="1"/>
  <c r="X139" i="18"/>
  <c r="Y139" i="18"/>
  <c r="AA139" i="18" s="1"/>
  <c r="X92" i="18"/>
  <c r="Y92" i="18"/>
  <c r="AA92" i="18" s="1"/>
  <c r="U34" i="1"/>
  <c r="V34" i="1"/>
  <c r="U105" i="1"/>
  <c r="V105" i="1"/>
  <c r="U72" i="1"/>
  <c r="X87" i="18"/>
  <c r="Y87" i="18"/>
  <c r="AA87" i="18" s="1"/>
  <c r="Y29" i="18"/>
  <c r="AA29" i="18" s="1"/>
  <c r="X29" i="18"/>
  <c r="Y54" i="18"/>
  <c r="AA54" i="18" s="1"/>
  <c r="X54" i="18"/>
  <c r="Y146" i="18"/>
  <c r="AA146" i="18" s="1"/>
  <c r="X146" i="18"/>
  <c r="U76" i="1"/>
  <c r="V76" i="1"/>
  <c r="X113" i="18"/>
  <c r="Y113" i="18"/>
  <c r="V40" i="1"/>
  <c r="U40" i="1"/>
  <c r="Y9" i="18"/>
  <c r="AA9" i="18" s="1"/>
  <c r="X9" i="18"/>
  <c r="U102" i="1"/>
  <c r="V102" i="1"/>
  <c r="V159" i="1"/>
  <c r="U159" i="1"/>
  <c r="X145" i="18"/>
  <c r="Y145" i="18"/>
  <c r="AA145" i="18" s="1"/>
  <c r="Y52" i="18"/>
  <c r="AA52" i="18" s="1"/>
  <c r="X52" i="18"/>
  <c r="X101" i="18"/>
  <c r="Y101" i="18"/>
  <c r="AA101" i="18" s="1"/>
  <c r="U135" i="1"/>
  <c r="V135" i="1"/>
  <c r="X91" i="18"/>
  <c r="Y91" i="18"/>
  <c r="Y134" i="18"/>
  <c r="AA134" i="18" s="1"/>
  <c r="X134" i="18"/>
  <c r="X10" i="18"/>
  <c r="Y10" i="18"/>
  <c r="AA10" i="18" s="1"/>
  <c r="X79" i="18"/>
  <c r="Y79" i="18"/>
  <c r="AA79" i="18" s="1"/>
  <c r="X117" i="18"/>
  <c r="Y117" i="18"/>
  <c r="AA117" i="18" s="1"/>
  <c r="U144" i="1"/>
  <c r="V144" i="1"/>
  <c r="X62" i="18"/>
  <c r="Y62" i="18"/>
  <c r="AA62" i="18" s="1"/>
  <c r="Y27" i="18"/>
  <c r="AA27" i="18" s="1"/>
  <c r="X27" i="18"/>
  <c r="U49" i="1"/>
  <c r="V49" i="1"/>
  <c r="V74" i="1"/>
  <c r="U74" i="1"/>
  <c r="X161" i="18"/>
  <c r="Y161" i="18"/>
  <c r="AA161" i="18" s="1"/>
  <c r="X129" i="18"/>
  <c r="Y129" i="18"/>
  <c r="AA129" i="18" s="1"/>
  <c r="Y70" i="18"/>
  <c r="AA70" i="18" s="1"/>
  <c r="X70" i="18"/>
  <c r="V140" i="1"/>
  <c r="U140" i="1"/>
  <c r="Y148" i="18"/>
  <c r="AA148" i="18" s="1"/>
  <c r="X148" i="18"/>
  <c r="X176" i="18"/>
  <c r="Y176" i="18"/>
  <c r="AA176" i="18" s="1"/>
  <c r="Y50" i="18"/>
  <c r="AA50" i="18" s="1"/>
  <c r="X50" i="18"/>
  <c r="X191" i="18"/>
  <c r="Y191" i="18"/>
  <c r="AA191" i="18" s="1"/>
  <c r="X163" i="18"/>
  <c r="Y163" i="18"/>
  <c r="AA163" i="18" s="1"/>
  <c r="Y19" i="18"/>
  <c r="X19" i="18"/>
  <c r="Y15" i="18"/>
  <c r="AA15" i="18" s="1"/>
  <c r="X15" i="18"/>
  <c r="Y93" i="18"/>
  <c r="AA93" i="18" s="1"/>
  <c r="X93" i="18"/>
  <c r="Y186" i="18"/>
  <c r="AA186" i="18" s="1"/>
  <c r="X186" i="18"/>
  <c r="Y56" i="18"/>
  <c r="AA56" i="18" s="1"/>
  <c r="X56" i="18"/>
  <c r="V136" i="1"/>
  <c r="U136" i="1"/>
  <c r="U94" i="1"/>
  <c r="V94" i="1"/>
  <c r="X24" i="18"/>
  <c r="Y24" i="18"/>
  <c r="AA24" i="18" s="1"/>
  <c r="U58" i="1"/>
  <c r="V58" i="1"/>
  <c r="Y137" i="18"/>
  <c r="AA137" i="18" s="1"/>
  <c r="X137" i="18"/>
  <c r="V28" i="1"/>
  <c r="U123" i="1"/>
  <c r="V123" i="1"/>
  <c r="U192" i="1"/>
  <c r="V192" i="1"/>
  <c r="U133" i="1"/>
  <c r="V133" i="1"/>
  <c r="Y95" i="18"/>
  <c r="X95" i="18"/>
  <c r="X165" i="18"/>
  <c r="Y165" i="18"/>
  <c r="AA165" i="18" s="1"/>
  <c r="U13" i="1"/>
  <c r="V13" i="1"/>
  <c r="V12" i="1"/>
  <c r="U12" i="1"/>
  <c r="X40" i="18"/>
  <c r="Y40" i="18"/>
  <c r="AA40" i="18" s="1"/>
  <c r="U22" i="1"/>
  <c r="V22" i="1"/>
  <c r="X60" i="18"/>
  <c r="Y60" i="18"/>
  <c r="AA60" i="18" s="1"/>
  <c r="X84" i="18"/>
  <c r="Y84" i="18"/>
  <c r="AA84" i="18" s="1"/>
  <c r="X102" i="18"/>
  <c r="Y102" i="18"/>
  <c r="AA102" i="18" s="1"/>
  <c r="V127" i="1"/>
  <c r="U127" i="1"/>
  <c r="U184" i="1"/>
  <c r="V184" i="1"/>
  <c r="U8" i="1"/>
  <c r="V8" i="1"/>
  <c r="U160" i="1"/>
  <c r="V160" i="1"/>
  <c r="V7" i="1"/>
  <c r="U7" i="1"/>
  <c r="V104" i="1"/>
  <c r="U104" i="1"/>
  <c r="U6" i="1"/>
  <c r="V6" i="1"/>
  <c r="Y140" i="18"/>
  <c r="AA140" i="18" s="1"/>
  <c r="X140" i="18"/>
  <c r="X136" i="18"/>
  <c r="Y136" i="18"/>
  <c r="AA136" i="18" s="1"/>
  <c r="Y89" i="18"/>
  <c r="AA89" i="18" s="1"/>
  <c r="X89" i="18"/>
  <c r="Y94" i="18"/>
  <c r="AA94" i="18" s="1"/>
  <c r="X94" i="18"/>
  <c r="V178" i="1"/>
  <c r="U178" i="1"/>
  <c r="U151" i="1"/>
  <c r="V151" i="1"/>
  <c r="Y192" i="18"/>
  <c r="AA192" i="18" s="1"/>
  <c r="X192" i="18"/>
  <c r="Y68" i="18"/>
  <c r="AA68" i="18" s="1"/>
  <c r="X68" i="18"/>
  <c r="X159" i="18"/>
  <c r="Y159" i="18"/>
  <c r="AA159" i="18" s="1"/>
  <c r="Y135" i="18"/>
  <c r="AA135" i="18" s="1"/>
  <c r="X135" i="18"/>
  <c r="V75" i="1"/>
  <c r="U75" i="1"/>
  <c r="U81" i="1"/>
  <c r="V81" i="1"/>
  <c r="X49" i="18"/>
  <c r="Y49" i="18"/>
  <c r="AA49" i="18" s="1"/>
  <c r="Y74" i="18"/>
  <c r="AA74" i="18" s="1"/>
  <c r="X74" i="18"/>
  <c r="X38" i="18"/>
  <c r="Y38" i="18"/>
  <c r="AA38" i="18" s="1"/>
  <c r="U45" i="1"/>
  <c r="V45" i="1"/>
  <c r="Y104" i="18"/>
  <c r="AA104" i="18" s="1"/>
  <c r="X104" i="18"/>
  <c r="Y6" i="18"/>
  <c r="AA6" i="18" s="1"/>
  <c r="X6" i="18"/>
  <c r="Y11" i="18"/>
  <c r="AA11" i="18" s="1"/>
  <c r="X11" i="18"/>
  <c r="V63" i="1"/>
  <c r="U63" i="1"/>
  <c r="U157" i="1"/>
  <c r="V157" i="1"/>
  <c r="U66" i="1"/>
  <c r="V66" i="1"/>
  <c r="V180" i="1"/>
  <c r="U180" i="1"/>
  <c r="U51" i="1"/>
  <c r="V51" i="1"/>
  <c r="V36" i="1"/>
  <c r="U36" i="1"/>
  <c r="X184" i="18"/>
  <c r="Y184" i="18"/>
  <c r="AA184" i="18" s="1"/>
  <c r="V31" i="1"/>
  <c r="U31" i="1"/>
  <c r="U57" i="1"/>
  <c r="V57" i="1"/>
  <c r="Y160" i="18"/>
  <c r="AA160" i="18" s="1"/>
  <c r="X160" i="18"/>
  <c r="Y188" i="18"/>
  <c r="AA188" i="18" s="1"/>
  <c r="X188" i="18"/>
  <c r="Y7" i="18"/>
  <c r="AA7" i="18" s="1"/>
  <c r="X7" i="18"/>
  <c r="X123" i="18"/>
  <c r="Y123" i="18"/>
  <c r="AA123" i="18" s="1"/>
  <c r="Y23" i="18"/>
  <c r="AA23" i="18" s="1"/>
  <c r="X23" i="18"/>
  <c r="U130" i="1"/>
  <c r="V130" i="1"/>
  <c r="X133" i="18"/>
  <c r="Y133" i="18"/>
  <c r="AA133" i="18" s="1"/>
  <c r="Y13" i="18"/>
  <c r="AA13" i="18" s="1"/>
  <c r="X13" i="18"/>
  <c r="X12" i="18"/>
  <c r="Y12" i="18"/>
  <c r="AA12" i="18" s="1"/>
  <c r="X22" i="18"/>
  <c r="Y22" i="18"/>
  <c r="AA22" i="18" s="1"/>
  <c r="U115" i="1"/>
  <c r="V115" i="1"/>
  <c r="Y127" i="18"/>
  <c r="AA127" i="18" s="1"/>
  <c r="X127" i="18"/>
  <c r="U88" i="1"/>
  <c r="V88" i="1"/>
  <c r="U18" i="1"/>
  <c r="V18" i="1"/>
  <c r="U14" i="1"/>
  <c r="V14" i="1"/>
  <c r="Y47" i="18"/>
  <c r="X47" i="18"/>
  <c r="Y178" i="18"/>
  <c r="AA178" i="18" s="1"/>
  <c r="X178" i="18"/>
  <c r="X151" i="18"/>
  <c r="Y151" i="18"/>
  <c r="AA151" i="18" s="1"/>
  <c r="Y76" i="18"/>
  <c r="AA76" i="18" s="1"/>
  <c r="X76" i="18"/>
  <c r="V42" i="1"/>
  <c r="U42" i="1"/>
  <c r="U155" i="1"/>
  <c r="V155" i="1"/>
  <c r="U109" i="1"/>
  <c r="V109" i="1"/>
  <c r="X8" i="18"/>
  <c r="Y8" i="18"/>
  <c r="V185" i="1"/>
  <c r="U185" i="1"/>
  <c r="V82" i="1"/>
  <c r="V169" i="1"/>
  <c r="Y130" i="18"/>
  <c r="AA130" i="18" s="1"/>
  <c r="X130" i="18"/>
  <c r="Y36" i="18"/>
  <c r="AA36" i="18" s="1"/>
  <c r="X36" i="18"/>
  <c r="V24" i="1"/>
  <c r="U24" i="1"/>
  <c r="Y42" i="18"/>
  <c r="AA42" i="18" s="1"/>
  <c r="X42" i="18"/>
  <c r="Y155" i="18"/>
  <c r="AA155" i="18" s="1"/>
  <c r="X155" i="18"/>
  <c r="Y31" i="18"/>
  <c r="AA31" i="18" s="1"/>
  <c r="X31" i="18"/>
  <c r="X57" i="18"/>
  <c r="Y57" i="18"/>
  <c r="AA57" i="18" s="1"/>
  <c r="X109" i="18"/>
  <c r="Y109" i="18"/>
  <c r="AA109" i="18" s="1"/>
  <c r="Y98" i="18"/>
  <c r="AA98" i="18" s="1"/>
  <c r="X98" i="18"/>
  <c r="X88" i="18"/>
  <c r="Y88" i="18"/>
  <c r="AA88" i="18" s="1"/>
  <c r="X82" i="18"/>
  <c r="Y82" i="18"/>
  <c r="AA82" i="18" s="1"/>
  <c r="X75" i="18"/>
  <c r="Y75" i="18"/>
  <c r="AA75" i="18" s="1"/>
  <c r="Y81" i="18"/>
  <c r="AA81" i="18" s="1"/>
  <c r="X81" i="18"/>
  <c r="X167" i="18"/>
  <c r="Y167" i="18"/>
  <c r="AA167" i="18" s="1"/>
  <c r="V156" i="1"/>
  <c r="U156" i="1"/>
  <c r="V111" i="1"/>
  <c r="U111" i="1"/>
  <c r="U183" i="1"/>
  <c r="V183" i="1"/>
  <c r="V100" i="1"/>
  <c r="U100" i="1"/>
  <c r="X185" i="18"/>
  <c r="Y185" i="18"/>
  <c r="AA185" i="18" s="1"/>
  <c r="X20" i="18"/>
  <c r="Y20" i="18"/>
  <c r="AA20" i="18" s="1"/>
  <c r="X45" i="18"/>
  <c r="Y45" i="18"/>
  <c r="AA45" i="18" s="1"/>
  <c r="U110" i="1"/>
  <c r="V110" i="1"/>
  <c r="U177" i="1"/>
  <c r="V177" i="1"/>
  <c r="U153" i="1"/>
  <c r="V153" i="1"/>
  <c r="U41" i="1"/>
  <c r="V41" i="1"/>
  <c r="X128" i="18"/>
  <c r="Y128" i="18"/>
  <c r="AA128" i="18" s="1"/>
  <c r="X63" i="18"/>
  <c r="Y63" i="18"/>
  <c r="AA63" i="18" s="1"/>
  <c r="X157" i="18"/>
  <c r="Y157" i="18"/>
  <c r="AA157" i="18" s="1"/>
  <c r="Y64" i="18"/>
  <c r="AA64" i="18" s="1"/>
  <c r="X64" i="18"/>
  <c r="X18" i="18"/>
  <c r="Y18" i="18"/>
  <c r="AA18" i="18" s="1"/>
  <c r="Y66" i="18"/>
  <c r="AA66" i="18" s="1"/>
  <c r="X66" i="18"/>
  <c r="X180" i="18"/>
  <c r="Y180" i="18"/>
  <c r="Y35" i="18"/>
  <c r="AA35" i="18" s="1"/>
  <c r="X35" i="18"/>
  <c r="Y30" i="18"/>
  <c r="AA30" i="18" s="1"/>
  <c r="X30" i="18"/>
  <c r="X83" i="18"/>
  <c r="Y83" i="18"/>
  <c r="AA83" i="18" s="1"/>
  <c r="X51" i="18"/>
  <c r="Y51" i="18"/>
  <c r="AA51" i="18" s="1"/>
  <c r="X2" i="23" l="1"/>
  <c r="X2" i="22"/>
  <c r="X4" i="23"/>
  <c r="X4" i="22"/>
  <c r="AA4" i="18"/>
  <c r="I140" i="1"/>
  <c r="J140" i="1" s="1"/>
  <c r="F17" i="6" l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N166" i="1" s="1"/>
  <c r="K165" i="1"/>
  <c r="K164" i="1"/>
  <c r="K163" i="1"/>
  <c r="K162" i="1"/>
  <c r="K161" i="1"/>
  <c r="K160" i="1"/>
  <c r="K159" i="1"/>
  <c r="K158" i="1"/>
  <c r="K157" i="1"/>
  <c r="K156" i="1"/>
  <c r="K155" i="1"/>
  <c r="K154" i="1"/>
  <c r="N154" i="1" s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N136" i="1" s="1"/>
  <c r="K135" i="1"/>
  <c r="K134" i="1"/>
  <c r="K133" i="1"/>
  <c r="N133" i="1" s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N101" i="1" s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N88" i="1" s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N70" i="1" s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N52" i="1" s="1"/>
  <c r="K51" i="1"/>
  <c r="K50" i="1"/>
  <c r="N50" i="1" s="1"/>
  <c r="K49" i="1"/>
  <c r="K48" i="1"/>
  <c r="K47" i="1"/>
  <c r="K46" i="1"/>
  <c r="K45" i="1"/>
  <c r="K44" i="1"/>
  <c r="N44" i="1" s="1"/>
  <c r="K43" i="1"/>
  <c r="K42" i="1"/>
  <c r="K41" i="1"/>
  <c r="K40" i="1"/>
  <c r="K39" i="1"/>
  <c r="K38" i="1"/>
  <c r="K37" i="1"/>
  <c r="K36" i="1"/>
  <c r="K35" i="1"/>
  <c r="K34" i="1"/>
  <c r="K33" i="1"/>
  <c r="K32" i="1"/>
  <c r="N32" i="1" s="1"/>
  <c r="K31" i="1"/>
  <c r="K30" i="1"/>
  <c r="K29" i="1"/>
  <c r="K28" i="1"/>
  <c r="K27" i="1"/>
  <c r="K26" i="1"/>
  <c r="K25" i="1"/>
  <c r="N25" i="1" s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N6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38" i="1"/>
  <c r="J138" i="1" s="1"/>
  <c r="I137" i="1"/>
  <c r="J137" i="1" s="1"/>
  <c r="I136" i="1"/>
  <c r="J136" i="1" s="1"/>
  <c r="I135" i="1"/>
  <c r="J135" i="1" s="1"/>
  <c r="I134" i="1"/>
  <c r="J134" i="1" s="1"/>
  <c r="J133" i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G6" i="1"/>
  <c r="W164" i="1" l="1"/>
  <c r="X164" i="1" s="1"/>
  <c r="W114" i="1"/>
  <c r="X114" i="1" s="1"/>
  <c r="W122" i="1"/>
  <c r="X122" i="1" s="1"/>
  <c r="W130" i="1"/>
  <c r="X130" i="1" s="1"/>
  <c r="W138" i="1"/>
  <c r="X138" i="1" s="1"/>
  <c r="W8" i="1"/>
  <c r="X8" i="1" s="1"/>
  <c r="W16" i="1"/>
  <c r="X16" i="1" s="1"/>
  <c r="W24" i="1"/>
  <c r="X24" i="1" s="1"/>
  <c r="W32" i="1"/>
  <c r="X32" i="1" s="1"/>
  <c r="W40" i="1"/>
  <c r="X40" i="1" s="1"/>
  <c r="W48" i="1"/>
  <c r="X48" i="1" s="1"/>
  <c r="W56" i="1"/>
  <c r="X56" i="1" s="1"/>
  <c r="W64" i="1"/>
  <c r="X64" i="1" s="1"/>
  <c r="W72" i="1"/>
  <c r="X72" i="1" s="1"/>
  <c r="W80" i="1"/>
  <c r="X80" i="1" s="1"/>
  <c r="W88" i="1"/>
  <c r="X88" i="1" s="1"/>
  <c r="W106" i="1"/>
  <c r="X106" i="1" s="1"/>
  <c r="W98" i="1"/>
  <c r="X98" i="1" s="1"/>
  <c r="W10" i="1"/>
  <c r="X10" i="1" s="1"/>
  <c r="W18" i="1"/>
  <c r="X18" i="1" s="1"/>
  <c r="W26" i="1"/>
  <c r="X26" i="1" s="1"/>
  <c r="W34" i="1"/>
  <c r="X34" i="1" s="1"/>
  <c r="W42" i="1"/>
  <c r="X42" i="1" s="1"/>
  <c r="W50" i="1"/>
  <c r="X50" i="1" s="1"/>
  <c r="W58" i="1"/>
  <c r="X58" i="1" s="1"/>
  <c r="W66" i="1"/>
  <c r="X66" i="1" s="1"/>
  <c r="W74" i="1"/>
  <c r="X74" i="1" s="1"/>
  <c r="W82" i="1"/>
  <c r="X82" i="1" s="1"/>
  <c r="W90" i="1"/>
  <c r="X90" i="1" s="1"/>
  <c r="W108" i="1"/>
  <c r="X108" i="1" s="1"/>
  <c r="W116" i="1"/>
  <c r="X116" i="1" s="1"/>
  <c r="W124" i="1"/>
  <c r="X124" i="1" s="1"/>
  <c r="W132" i="1"/>
  <c r="X132" i="1" s="1"/>
  <c r="W11" i="1"/>
  <c r="X11" i="1" s="1"/>
  <c r="W27" i="1"/>
  <c r="X27" i="1" s="1"/>
  <c r="W35" i="1"/>
  <c r="X35" i="1" s="1"/>
  <c r="W43" i="1"/>
  <c r="X43" i="1" s="1"/>
  <c r="W51" i="1"/>
  <c r="X51" i="1" s="1"/>
  <c r="W59" i="1"/>
  <c r="X59" i="1" s="1"/>
  <c r="W67" i="1"/>
  <c r="X67" i="1" s="1"/>
  <c r="W75" i="1"/>
  <c r="X75" i="1" s="1"/>
  <c r="W83" i="1"/>
  <c r="X83" i="1" s="1"/>
  <c r="W91" i="1"/>
  <c r="X91" i="1" s="1"/>
  <c r="W19" i="1"/>
  <c r="X19" i="1" s="1"/>
  <c r="W101" i="1"/>
  <c r="X101" i="1" s="1"/>
  <c r="W109" i="1"/>
  <c r="X109" i="1" s="1"/>
  <c r="W117" i="1"/>
  <c r="X117" i="1" s="1"/>
  <c r="W125" i="1"/>
  <c r="X125" i="1" s="1"/>
  <c r="W133" i="1"/>
  <c r="X133" i="1" s="1"/>
  <c r="W7" i="1"/>
  <c r="X7" i="1" s="1"/>
  <c r="W63" i="1"/>
  <c r="X63" i="1" s="1"/>
  <c r="W152" i="1"/>
  <c r="X152" i="1" s="1"/>
  <c r="W176" i="1"/>
  <c r="X176" i="1" s="1"/>
  <c r="W14" i="1"/>
  <c r="X14" i="1" s="1"/>
  <c r="W22" i="1"/>
  <c r="X22" i="1" s="1"/>
  <c r="W30" i="1"/>
  <c r="X30" i="1" s="1"/>
  <c r="W38" i="1"/>
  <c r="X38" i="1" s="1"/>
  <c r="W46" i="1"/>
  <c r="X46" i="1" s="1"/>
  <c r="W54" i="1"/>
  <c r="X54" i="1" s="1"/>
  <c r="W62" i="1"/>
  <c r="X62" i="1" s="1"/>
  <c r="W70" i="1"/>
  <c r="X70" i="1" s="1"/>
  <c r="W78" i="1"/>
  <c r="X78" i="1" s="1"/>
  <c r="W86" i="1"/>
  <c r="X86" i="1" s="1"/>
  <c r="W94" i="1"/>
  <c r="X94" i="1" s="1"/>
  <c r="W103" i="1"/>
  <c r="X103" i="1" s="1"/>
  <c r="W111" i="1"/>
  <c r="X111" i="1" s="1"/>
  <c r="W119" i="1"/>
  <c r="X119" i="1" s="1"/>
  <c r="W127" i="1"/>
  <c r="X127" i="1" s="1"/>
  <c r="W135" i="1"/>
  <c r="X135" i="1" s="1"/>
  <c r="W143" i="1"/>
  <c r="X143" i="1" s="1"/>
  <c r="W151" i="1"/>
  <c r="X151" i="1" s="1"/>
  <c r="W159" i="1"/>
  <c r="X159" i="1" s="1"/>
  <c r="W167" i="1"/>
  <c r="X167" i="1" s="1"/>
  <c r="W175" i="1"/>
  <c r="X175" i="1" s="1"/>
  <c r="W183" i="1"/>
  <c r="X183" i="1" s="1"/>
  <c r="W191" i="1"/>
  <c r="X191" i="1" s="1"/>
  <c r="W95" i="1"/>
  <c r="X95" i="1" s="1"/>
  <c r="W184" i="1"/>
  <c r="X184" i="1" s="1"/>
  <c r="W96" i="1"/>
  <c r="X96" i="1" s="1"/>
  <c r="W105" i="1"/>
  <c r="X105" i="1" s="1"/>
  <c r="W113" i="1"/>
  <c r="X113" i="1" s="1"/>
  <c r="W121" i="1"/>
  <c r="X121" i="1" s="1"/>
  <c r="W129" i="1"/>
  <c r="X129" i="1" s="1"/>
  <c r="W137" i="1"/>
  <c r="X137" i="1" s="1"/>
  <c r="W145" i="1"/>
  <c r="X145" i="1" s="1"/>
  <c r="W153" i="1"/>
  <c r="X153" i="1" s="1"/>
  <c r="W161" i="1"/>
  <c r="X161" i="1" s="1"/>
  <c r="W169" i="1"/>
  <c r="X169" i="1" s="1"/>
  <c r="W177" i="1"/>
  <c r="X177" i="1" s="1"/>
  <c r="W185" i="1"/>
  <c r="X185" i="1" s="1"/>
  <c r="W193" i="1"/>
  <c r="X193" i="1" s="1"/>
  <c r="W23" i="1"/>
  <c r="X23" i="1" s="1"/>
  <c r="W31" i="1"/>
  <c r="X31" i="1" s="1"/>
  <c r="W71" i="1"/>
  <c r="X71" i="1" s="1"/>
  <c r="W192" i="1"/>
  <c r="X192" i="1" s="1"/>
  <c r="W9" i="1"/>
  <c r="X9" i="1" s="1"/>
  <c r="W25" i="1"/>
  <c r="X25" i="1" s="1"/>
  <c r="W33" i="1"/>
  <c r="X33" i="1" s="1"/>
  <c r="W41" i="1"/>
  <c r="X41" i="1" s="1"/>
  <c r="W49" i="1"/>
  <c r="X49" i="1" s="1"/>
  <c r="W57" i="1"/>
  <c r="X57" i="1" s="1"/>
  <c r="W65" i="1"/>
  <c r="X65" i="1" s="1"/>
  <c r="W73" i="1"/>
  <c r="X73" i="1" s="1"/>
  <c r="W81" i="1"/>
  <c r="X81" i="1" s="1"/>
  <c r="W89" i="1"/>
  <c r="X89" i="1" s="1"/>
  <c r="W97" i="1"/>
  <c r="X97" i="1" s="1"/>
  <c r="W146" i="1"/>
  <c r="X146" i="1" s="1"/>
  <c r="W154" i="1"/>
  <c r="X154" i="1" s="1"/>
  <c r="W162" i="1"/>
  <c r="X162" i="1" s="1"/>
  <c r="W170" i="1"/>
  <c r="X170" i="1" s="1"/>
  <c r="W178" i="1"/>
  <c r="X178" i="1" s="1"/>
  <c r="W186" i="1"/>
  <c r="X186" i="1" s="1"/>
  <c r="W15" i="1"/>
  <c r="X15" i="1" s="1"/>
  <c r="W79" i="1"/>
  <c r="X79" i="1" s="1"/>
  <c r="W144" i="1"/>
  <c r="X144" i="1" s="1"/>
  <c r="W17" i="1"/>
  <c r="X17" i="1" s="1"/>
  <c r="W107" i="1"/>
  <c r="X107" i="1" s="1"/>
  <c r="W115" i="1"/>
  <c r="X115" i="1" s="1"/>
  <c r="W123" i="1"/>
  <c r="X123" i="1" s="1"/>
  <c r="W131" i="1"/>
  <c r="X131" i="1" s="1"/>
  <c r="W139" i="1"/>
  <c r="X139" i="1" s="1"/>
  <c r="W147" i="1"/>
  <c r="X147" i="1" s="1"/>
  <c r="W155" i="1"/>
  <c r="X155" i="1" s="1"/>
  <c r="W163" i="1"/>
  <c r="X163" i="1" s="1"/>
  <c r="W171" i="1"/>
  <c r="X171" i="1" s="1"/>
  <c r="W179" i="1"/>
  <c r="X179" i="1" s="1"/>
  <c r="W187" i="1"/>
  <c r="X187" i="1" s="1"/>
  <c r="W112" i="1"/>
  <c r="X112" i="1" s="1"/>
  <c r="W128" i="1"/>
  <c r="X128" i="1" s="1"/>
  <c r="W168" i="1"/>
  <c r="X168" i="1" s="1"/>
  <c r="W99" i="1"/>
  <c r="X99" i="1" s="1"/>
  <c r="W140" i="1"/>
  <c r="X140" i="1" s="1"/>
  <c r="W148" i="1"/>
  <c r="X148" i="1" s="1"/>
  <c r="W156" i="1"/>
  <c r="X156" i="1" s="1"/>
  <c r="W172" i="1"/>
  <c r="X172" i="1" s="1"/>
  <c r="W180" i="1"/>
  <c r="X180" i="1" s="1"/>
  <c r="W188" i="1"/>
  <c r="X188" i="1" s="1"/>
  <c r="W47" i="1"/>
  <c r="X47" i="1" s="1"/>
  <c r="W104" i="1"/>
  <c r="X104" i="1" s="1"/>
  <c r="W120" i="1"/>
  <c r="X120" i="1" s="1"/>
  <c r="W160" i="1"/>
  <c r="X160" i="1" s="1"/>
  <c r="W12" i="1"/>
  <c r="X12" i="1" s="1"/>
  <c r="W20" i="1"/>
  <c r="X20" i="1" s="1"/>
  <c r="W28" i="1"/>
  <c r="X28" i="1" s="1"/>
  <c r="W36" i="1"/>
  <c r="X36" i="1" s="1"/>
  <c r="W44" i="1"/>
  <c r="X44" i="1" s="1"/>
  <c r="W52" i="1"/>
  <c r="X52" i="1" s="1"/>
  <c r="W60" i="1"/>
  <c r="X60" i="1" s="1"/>
  <c r="W68" i="1"/>
  <c r="X68" i="1" s="1"/>
  <c r="W76" i="1"/>
  <c r="X76" i="1" s="1"/>
  <c r="W84" i="1"/>
  <c r="X84" i="1" s="1"/>
  <c r="W92" i="1"/>
  <c r="X92" i="1" s="1"/>
  <c r="W141" i="1"/>
  <c r="X141" i="1" s="1"/>
  <c r="W149" i="1"/>
  <c r="X149" i="1" s="1"/>
  <c r="W157" i="1"/>
  <c r="X157" i="1" s="1"/>
  <c r="W165" i="1"/>
  <c r="X165" i="1" s="1"/>
  <c r="W173" i="1"/>
  <c r="X173" i="1" s="1"/>
  <c r="W181" i="1"/>
  <c r="X181" i="1" s="1"/>
  <c r="W189" i="1"/>
  <c r="X189" i="1" s="1"/>
  <c r="W39" i="1"/>
  <c r="X39" i="1" s="1"/>
  <c r="W55" i="1"/>
  <c r="X55" i="1" s="1"/>
  <c r="W87" i="1"/>
  <c r="X87" i="1" s="1"/>
  <c r="W136" i="1"/>
  <c r="X136" i="1" s="1"/>
  <c r="W13" i="1"/>
  <c r="X13" i="1" s="1"/>
  <c r="W21" i="1"/>
  <c r="X21" i="1" s="1"/>
  <c r="W29" i="1"/>
  <c r="X29" i="1" s="1"/>
  <c r="W37" i="1"/>
  <c r="X37" i="1" s="1"/>
  <c r="W45" i="1"/>
  <c r="X45" i="1" s="1"/>
  <c r="W53" i="1"/>
  <c r="X53" i="1" s="1"/>
  <c r="W61" i="1"/>
  <c r="X61" i="1" s="1"/>
  <c r="W69" i="1"/>
  <c r="X69" i="1" s="1"/>
  <c r="W77" i="1"/>
  <c r="X77" i="1" s="1"/>
  <c r="W85" i="1"/>
  <c r="X85" i="1" s="1"/>
  <c r="W93" i="1"/>
  <c r="X93" i="1" s="1"/>
  <c r="W102" i="1"/>
  <c r="X102" i="1" s="1"/>
  <c r="W110" i="1"/>
  <c r="X110" i="1" s="1"/>
  <c r="W118" i="1"/>
  <c r="X118" i="1" s="1"/>
  <c r="W126" i="1"/>
  <c r="X126" i="1" s="1"/>
  <c r="W134" i="1"/>
  <c r="X134" i="1" s="1"/>
  <c r="W142" i="1"/>
  <c r="X142" i="1" s="1"/>
  <c r="W150" i="1"/>
  <c r="X150" i="1" s="1"/>
  <c r="W158" i="1"/>
  <c r="X158" i="1" s="1"/>
  <c r="W166" i="1"/>
  <c r="X166" i="1" s="1"/>
  <c r="W174" i="1"/>
  <c r="X174" i="1" s="1"/>
  <c r="W182" i="1"/>
  <c r="X182" i="1" s="1"/>
  <c r="W190" i="1"/>
  <c r="X190" i="1" s="1"/>
  <c r="W100" i="1"/>
  <c r="X100" i="1" s="1"/>
  <c r="J6" i="1"/>
  <c r="M6" i="1"/>
  <c r="W6" i="1"/>
  <c r="X6" i="1" s="1"/>
  <c r="H6" i="1"/>
  <c r="X1" i="1" l="1"/>
  <c r="X2" i="1" l="1"/>
  <c r="X4" i="1"/>
</calcChain>
</file>

<file path=xl/sharedStrings.xml><?xml version="1.0" encoding="utf-8"?>
<sst xmlns="http://schemas.openxmlformats.org/spreadsheetml/2006/main" count="6927" uniqueCount="356">
  <si>
    <t>Regional</t>
  </si>
  <si>
    <t>Valor Comision Efectividad</t>
  </si>
  <si>
    <t>Categoria Efec</t>
  </si>
  <si>
    <t>$ Liquidar</t>
  </si>
  <si>
    <t>Observaciones</t>
  </si>
  <si>
    <t>Total general</t>
  </si>
  <si>
    <t>RUTA</t>
  </si>
  <si>
    <t>Valor Comision</t>
  </si>
  <si>
    <t>Valor a Pagar</t>
  </si>
  <si>
    <t>COORDINADOR</t>
  </si>
  <si>
    <t>VALOR COMISION</t>
  </si>
  <si>
    <t>CTR_1</t>
  </si>
  <si>
    <t>CTR_10</t>
  </si>
  <si>
    <t>CTR_11</t>
  </si>
  <si>
    <t>CTR_12</t>
  </si>
  <si>
    <t>CTR_13</t>
  </si>
  <si>
    <t>CTR_14</t>
  </si>
  <si>
    <t>CTR_15</t>
  </si>
  <si>
    <t>CTR_16</t>
  </si>
  <si>
    <t>CTR_2</t>
  </si>
  <si>
    <t>CTR_3</t>
  </si>
  <si>
    <t>CTR_4</t>
  </si>
  <si>
    <t>CTR_5</t>
  </si>
  <si>
    <t>CTR_6</t>
  </si>
  <si>
    <t>CTR_7</t>
  </si>
  <si>
    <t>CTR_8</t>
  </si>
  <si>
    <t>CTR_9</t>
  </si>
  <si>
    <t>SOR_1</t>
  </si>
  <si>
    <t>SOR_10</t>
  </si>
  <si>
    <t>SOR_11</t>
  </si>
  <si>
    <t>SOR_12</t>
  </si>
  <si>
    <t>SOR_13</t>
  </si>
  <si>
    <t>SOR_14</t>
  </si>
  <si>
    <t>SOR_15</t>
  </si>
  <si>
    <t>SOR_16</t>
  </si>
  <si>
    <t>SOR_2</t>
  </si>
  <si>
    <t>SOR_3</t>
  </si>
  <si>
    <t>SOR_4</t>
  </si>
  <si>
    <t>SOR_5</t>
  </si>
  <si>
    <t>SOR_6</t>
  </si>
  <si>
    <t>SOR_7</t>
  </si>
  <si>
    <t>SOR_8</t>
  </si>
  <si>
    <t>SOR_9</t>
  </si>
  <si>
    <t>NOC_1</t>
  </si>
  <si>
    <t>NOC_10</t>
  </si>
  <si>
    <t>NOC_11</t>
  </si>
  <si>
    <t>NOC_12</t>
  </si>
  <si>
    <t>NOC_13</t>
  </si>
  <si>
    <t>NOC_14</t>
  </si>
  <si>
    <t>NOC_15</t>
  </si>
  <si>
    <t>NOC_16</t>
  </si>
  <si>
    <t>NOC_2</t>
  </si>
  <si>
    <t>NOC_3</t>
  </si>
  <si>
    <t>NOC_4</t>
  </si>
  <si>
    <t>NOC_5</t>
  </si>
  <si>
    <t>NOC_6</t>
  </si>
  <si>
    <t>NOC_7</t>
  </si>
  <si>
    <t>NOC_8</t>
  </si>
  <si>
    <t>NOC_9</t>
  </si>
  <si>
    <t>CALDAS_1</t>
  </si>
  <si>
    <t>ENVIGADO_1</t>
  </si>
  <si>
    <t>ENVIGADO_2</t>
  </si>
  <si>
    <t>ENVIGADO_3</t>
  </si>
  <si>
    <t>ITAGUI_1</t>
  </si>
  <si>
    <t>MEDELLIN_1</t>
  </si>
  <si>
    <t>MEDELLIN_13</t>
  </si>
  <si>
    <t>MEDELLIN_14</t>
  </si>
  <si>
    <t>MEDELLIN_3</t>
  </si>
  <si>
    <t>MEDELLIN_6</t>
  </si>
  <si>
    <t>MEDELLIN_7</t>
  </si>
  <si>
    <t>RIONEGRO_1</t>
  </si>
  <si>
    <t>RIONEGRO_2</t>
  </si>
  <si>
    <t>SABANETA_1</t>
  </si>
  <si>
    <t>BARRANQUILLA_1</t>
  </si>
  <si>
    <t>BARRANQUILLA_2</t>
  </si>
  <si>
    <t>BARRANQUILLA_3</t>
  </si>
  <si>
    <t>BARRANQUILLA_4</t>
  </si>
  <si>
    <t>BARRANQUILLA_5</t>
  </si>
  <si>
    <t>CARTAGENA_1</t>
  </si>
  <si>
    <t>CARTAGENA_2</t>
  </si>
  <si>
    <t>CARTAGENA_3</t>
  </si>
  <si>
    <t>SANTA MARTA_1</t>
  </si>
  <si>
    <t>SANTA MARTA_2</t>
  </si>
  <si>
    <t>SOLEDAD_1</t>
  </si>
  <si>
    <t>VIJ_1</t>
  </si>
  <si>
    <t>VIJ_10</t>
  </si>
  <si>
    <t>VIJ_11</t>
  </si>
  <si>
    <t>VIJ_12</t>
  </si>
  <si>
    <t>VIJ_13</t>
  </si>
  <si>
    <t>VIJ_14</t>
  </si>
  <si>
    <t>VIJ_15</t>
  </si>
  <si>
    <t>VIJ_16</t>
  </si>
  <si>
    <t>VIJ_17</t>
  </si>
  <si>
    <t>VIJ_2</t>
  </si>
  <si>
    <t>VIJ_3</t>
  </si>
  <si>
    <t>VIJ_4</t>
  </si>
  <si>
    <t>VIJ_5</t>
  </si>
  <si>
    <t>VIJ_6</t>
  </si>
  <si>
    <t>VIJ_7</t>
  </si>
  <si>
    <t>VIJ_8</t>
  </si>
  <si>
    <t>VIJ_9</t>
  </si>
  <si>
    <t>ARMENIA_1</t>
  </si>
  <si>
    <t>ARMENIA_2</t>
  </si>
  <si>
    <t>CARTAGO_1</t>
  </si>
  <si>
    <t>DOSQUEBRADAS_1</t>
  </si>
  <si>
    <t>DOSQUEBRADAS_2</t>
  </si>
  <si>
    <t>MANIZALES_1</t>
  </si>
  <si>
    <t>MANIZALES_2</t>
  </si>
  <si>
    <t>MANIZALES_3</t>
  </si>
  <si>
    <t>PEREIRA_1</t>
  </si>
  <si>
    <t>PEREIRA_2</t>
  </si>
  <si>
    <t>BUGA_1</t>
  </si>
  <si>
    <t>CALI_1</t>
  </si>
  <si>
    <t>CALI_14</t>
  </si>
  <si>
    <t>CALI_3</t>
  </si>
  <si>
    <t>CALI_5</t>
  </si>
  <si>
    <t>CALI_6</t>
  </si>
  <si>
    <t>CALI_7</t>
  </si>
  <si>
    <t>CALI_9</t>
  </si>
  <si>
    <t>PALMIRA_1</t>
  </si>
  <si>
    <t>PALMIRA_2</t>
  </si>
  <si>
    <t>PASTO_1</t>
  </si>
  <si>
    <t>TULUA_1</t>
  </si>
  <si>
    <t>YUMBO_1</t>
  </si>
  <si>
    <t>SOC_1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</si>
  <si>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</si>
  <si>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</si>
  <si>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</si>
  <si>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</si>
  <si>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</si>
  <si>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</si>
  <si>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</si>
  <si>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</si>
  <si>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</si>
  <si>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</si>
  <si>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</si>
  <si>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</si>
  <si>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</si>
  <si>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</si>
  <si>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</si>
  <si>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</si>
  <si>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</si>
  <si>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BARRANCABERMEJA_1</t>
  </si>
  <si>
    <t>BARRANCABERMEJA_2</t>
  </si>
  <si>
    <t>BUCARAMANGA_1</t>
  </si>
  <si>
    <t>BUCARAMANGA_2</t>
  </si>
  <si>
    <t>BUCARAMANGA_3</t>
  </si>
  <si>
    <t>BUCARAMANGA_4</t>
  </si>
  <si>
    <t>BUCARAMANGA_5</t>
  </si>
  <si>
    <t>BUCARAMANGA_6</t>
  </si>
  <si>
    <t>BUCARAMANGA_7</t>
  </si>
  <si>
    <t>BUCARAMANGA_8</t>
  </si>
  <si>
    <t>BUCARAMANGA_9</t>
  </si>
  <si>
    <t>CUCUTA_1</t>
  </si>
  <si>
    <t>CUCUTA_2</t>
  </si>
  <si>
    <t>CUCUTA_3</t>
  </si>
  <si>
    <t>CUCUTA_4</t>
  </si>
  <si>
    <t>GIRÓN_1</t>
  </si>
  <si>
    <t>GIRÓN_2</t>
  </si>
  <si>
    <t>CALI_10</t>
  </si>
  <si>
    <t>CALI_11</t>
  </si>
  <si>
    <t>CALI_12</t>
  </si>
  <si>
    <t>CALI_13</t>
  </si>
  <si>
    <t>CALI_15</t>
  </si>
  <si>
    <t>CALI_16</t>
  </si>
  <si>
    <t>CALI_17</t>
  </si>
  <si>
    <t>CALI_18</t>
  </si>
  <si>
    <t>CALI_19</t>
  </si>
  <si>
    <t>CALI_2</t>
  </si>
  <si>
    <t>CALI_4</t>
  </si>
  <si>
    <t>CALI_8</t>
  </si>
  <si>
    <t>POPAYAN_1</t>
  </si>
  <si>
    <t>BELLO_1</t>
  </si>
  <si>
    <t>BELLO_2</t>
  </si>
  <si>
    <t>GIRARDOTA_1</t>
  </si>
  <si>
    <t>MEDELLIN_10</t>
  </si>
  <si>
    <t>MEDELLIN_11</t>
  </si>
  <si>
    <t>MEDELLIN_12</t>
  </si>
  <si>
    <t>MEDELLIN_2</t>
  </si>
  <si>
    <t>MEDELLIN_4</t>
  </si>
  <si>
    <t>MEDELLIN_5</t>
  </si>
  <si>
    <t>MEDELLIN_8</t>
  </si>
  <si>
    <t>MEDELLIN_9</t>
  </si>
  <si>
    <t>NTE_1</t>
  </si>
  <si>
    <t>NTE_10</t>
  </si>
  <si>
    <t>NTE_11</t>
  </si>
  <si>
    <t>NTE_12</t>
  </si>
  <si>
    <t>NTE_13</t>
  </si>
  <si>
    <t>NTE_14</t>
  </si>
  <si>
    <t>NTE_15</t>
  </si>
  <si>
    <t>NTE_16</t>
  </si>
  <si>
    <t>NTE_2</t>
  </si>
  <si>
    <t>NTE_3</t>
  </si>
  <si>
    <t>NTE_4</t>
  </si>
  <si>
    <t>NTE_5</t>
  </si>
  <si>
    <t>NTE_6</t>
  </si>
  <si>
    <t>NTE_7</t>
  </si>
  <si>
    <t>NTE_8</t>
  </si>
  <si>
    <t>NTE_9</t>
  </si>
  <si>
    <t>ADRIANA MARCELA DIAZ RICO</t>
  </si>
  <si>
    <t>ANA OMAIRA VELOZA MORALES</t>
  </si>
  <si>
    <t>ANDREA HERRERA RAIPE</t>
  </si>
  <si>
    <t>ASTRID KARINA MEJÍA BLANDÓN</t>
  </si>
  <si>
    <t>AUGUSTO EDUARDO PEREZ ZAGARRA</t>
  </si>
  <si>
    <t>EDWIN JESSID GONZALEZ BARRANTES</t>
  </si>
  <si>
    <t>IRLET ANDREA CAMPUZANO</t>
  </si>
  <si>
    <t>LAURA CATALINA ROSERO JURADO</t>
  </si>
  <si>
    <t>LAURA ESTEPHANIA PIÑEROS MONTAÑA</t>
  </si>
  <si>
    <t>LEIDY NICOLE VANESSA SÁNCHEZ ZAMBRANO</t>
  </si>
  <si>
    <t>MARIAN JULIE ARIAS GARCÍA</t>
  </si>
  <si>
    <t>SANTIAGO GAVIRIA HERNANDEZ</t>
  </si>
  <si>
    <t>WILLIAM LAGUNA MIRANDA</t>
  </si>
  <si>
    <t>Supervisor</t>
  </si>
  <si>
    <t>Lider</t>
  </si>
  <si>
    <t>LIDER</t>
  </si>
  <si>
    <t>% CAPTURA</t>
  </si>
  <si>
    <t>OBJ COBERTURA</t>
  </si>
  <si>
    <t>COBERTURA</t>
  </si>
  <si>
    <t>% COBERTURA</t>
  </si>
  <si>
    <t>OBJ VISITAS</t>
  </si>
  <si>
    <t>VISITAS</t>
  </si>
  <si>
    <t>% VISITAS</t>
  </si>
  <si>
    <t>CAPTURA DE INFORMACION</t>
  </si>
  <si>
    <t>% Cumpl. Captura</t>
  </si>
  <si>
    <t>% Cumplimiento Cobertura</t>
  </si>
  <si>
    <t>Valor Comision Cobertura</t>
  </si>
  <si>
    <t>Valor total A Pagar Real</t>
  </si>
  <si>
    <t>Promedio de % Cumpl. Captura</t>
  </si>
  <si>
    <t>Promedio de % Cumplimiento Cobertura</t>
  </si>
  <si>
    <t>SUPERVISORES</t>
  </si>
  <si>
    <t>LIDERES</t>
  </si>
  <si>
    <t>SUPERVISOR</t>
  </si>
  <si>
    <t>Comentario</t>
  </si>
  <si>
    <t>REGIONAL BOGOTA</t>
  </si>
  <si>
    <t>REGIONAL ANTIOQUIA</t>
  </si>
  <si>
    <t>REGIONAL ATLANTICO</t>
  </si>
  <si>
    <t>REGIONAL COSTA PERIFERIA</t>
  </si>
  <si>
    <t>REGIONAL PERIFERIA</t>
  </si>
  <si>
    <t>REGIONAL EJE</t>
  </si>
  <si>
    <t>REGIONAL PACIFICO</t>
  </si>
  <si>
    <t>REGIONAL ESTE</t>
  </si>
  <si>
    <t>ANYI MAYERLIE ORJUELA</t>
  </si>
  <si>
    <t>HECTOR MEDINA ROZO</t>
  </si>
  <si>
    <t>MONICA GIRALDO HERNANDEZ</t>
  </si>
  <si>
    <t>Corresponde Comision</t>
  </si>
  <si>
    <t>CARGO</t>
  </si>
  <si>
    <t>SI</t>
  </si>
  <si>
    <t>DEVOLUCIONES &amp; FECHAS CORTAS</t>
  </si>
  <si>
    <t>Etiquetas de fila</t>
  </si>
  <si>
    <t>TIENDA PERFECTA</t>
  </si>
  <si>
    <t>VENTAS</t>
  </si>
  <si>
    <t>LLAVE</t>
  </si>
  <si>
    <t>Categoria Efec 95%</t>
  </si>
  <si>
    <t>FECHAS CORTAS %</t>
  </si>
  <si>
    <t>Agotados %</t>
  </si>
  <si>
    <t>Participación %</t>
  </si>
  <si>
    <t>ACTIVIDADES %</t>
  </si>
  <si>
    <t>DEVOLUCIONES %</t>
  </si>
  <si>
    <t>Posición</t>
  </si>
  <si>
    <t>Líder</t>
  </si>
  <si>
    <t>Cobertura %</t>
  </si>
  <si>
    <t>Extra Ruta</t>
  </si>
  <si>
    <t>Frecuencia %</t>
  </si>
  <si>
    <t>Precios %</t>
  </si>
  <si>
    <t>Inventarios %</t>
  </si>
  <si>
    <t>Valor Comision TP</t>
  </si>
  <si>
    <t>Categoria Efec &gt;80%</t>
  </si>
  <si>
    <t>VENTA</t>
  </si>
  <si>
    <t>% Cumplimiento TP</t>
  </si>
  <si>
    <t>Valor Comision Ventas</t>
  </si>
  <si>
    <t>% Cumplimiento Ventas</t>
  </si>
  <si>
    <t>FECHAS CORTAS</t>
  </si>
  <si>
    <t>DEVOLUCIONES</t>
  </si>
  <si>
    <t>pdv devoluciones</t>
  </si>
  <si>
    <t>% Objetivo devoluciones</t>
  </si>
  <si>
    <t>FC &amp; DEV</t>
  </si>
  <si>
    <t>Valor Comision FC y Dev</t>
  </si>
  <si>
    <t>PLANES COMERCIALES</t>
  </si>
  <si>
    <t>Suma de Ventas.CuotaPesos</t>
  </si>
  <si>
    <t xml:space="preserve">% </t>
  </si>
  <si>
    <t>% Cumplimiento FC &amp; DV</t>
  </si>
  <si>
    <t>Promedio de % Cumplimiento TP</t>
  </si>
  <si>
    <t>Promedio de % Cumplimiento Ventas</t>
  </si>
  <si>
    <t>Promedio de % Cumplimiento FC &amp; DV</t>
  </si>
  <si>
    <t xml:space="preserve"> % Cumplimiento TP</t>
  </si>
  <si>
    <t xml:space="preserve"> % Cumplimiento Ventas</t>
  </si>
  <si>
    <t xml:space="preserve"> % Cumplimiento FC &amp; DV</t>
  </si>
  <si>
    <t>Categoria Efec 80%</t>
  </si>
  <si>
    <t>VALOR COMISION TP</t>
  </si>
  <si>
    <t>% CUMPL. TP</t>
  </si>
  <si>
    <t>VALOR COMISION X FC DV</t>
  </si>
  <si>
    <t>% FC &amp; DV</t>
  </si>
  <si>
    <t>VALOR COMISION VENTAS</t>
  </si>
  <si>
    <t>% VENTAS</t>
  </si>
  <si>
    <t>LLAVE 1 CAPTURA</t>
  </si>
  <si>
    <t>LLAVE 2 COBERTURA</t>
  </si>
  <si>
    <t>Cumple Llaves</t>
  </si>
  <si>
    <t>Categoria Efec 70%</t>
  </si>
  <si>
    <t>LLAVE DEL 95%</t>
  </si>
  <si>
    <t>LLAVE DEL 80%</t>
  </si>
  <si>
    <t>LLAVE DEL 70%</t>
  </si>
  <si>
    <t>JAZMIN OSSA</t>
  </si>
  <si>
    <t>GIL MARTINEZ JENNIFER STEFANNIE</t>
  </si>
  <si>
    <t>MELISA MARTINEZ</t>
  </si>
  <si>
    <t>ID del Colaborador</t>
  </si>
  <si>
    <t>Nombre del Colaborador</t>
  </si>
  <si>
    <t>JUAN PABLO GIL ALMANZA</t>
  </si>
  <si>
    <t>EDWIN GONZALEZ</t>
  </si>
  <si>
    <t>SUSANA SILVA MENDOZA</t>
  </si>
  <si>
    <t>MELISSA MARTINEZ</t>
  </si>
  <si>
    <t>JENNIFER STEFANNIE GIL MARTINEZ</t>
  </si>
  <si>
    <t>LAURA ROSERO</t>
  </si>
  <si>
    <t>PDV Programados</t>
  </si>
  <si>
    <t>PDV Visitados</t>
  </si>
  <si>
    <t>Visitas Programadas</t>
  </si>
  <si>
    <t>Visitas Realizadas</t>
  </si>
  <si>
    <t>Captura de Módulos %</t>
  </si>
  <si>
    <t>Planes Comerciales %</t>
  </si>
  <si>
    <t>Devoluciones %</t>
  </si>
  <si>
    <t>Fechas Cortas %</t>
  </si>
  <si>
    <t>Runcal 2.0 %</t>
  </si>
  <si>
    <t>Actividades %</t>
  </si>
  <si>
    <t>Recolección de Cestillos %</t>
  </si>
  <si>
    <t>Objetivo de Planes</t>
  </si>
  <si>
    <t>Implementaciones Cumplidas</t>
  </si>
  <si>
    <t>Cumplimiento de Planes %</t>
  </si>
  <si>
    <t>Cumplimiento Integral %</t>
  </si>
  <si>
    <t>Tipo de Atención</t>
  </si>
  <si>
    <t>Lineamientos Exhibición Cremas %</t>
  </si>
  <si>
    <t>Concurso Mensual Julio Suero Mundial %</t>
  </si>
  <si>
    <t>Concurso Flash Napoleón Avena %</t>
  </si>
  <si>
    <t>Concurso Cremas Madres %</t>
  </si>
  <si>
    <t>Concurso Espacios Leches Deslactosada Junio %</t>
  </si>
  <si>
    <t>Concurso Flash Suero Mundialista %</t>
  </si>
  <si>
    <t>Exclusivo</t>
  </si>
  <si>
    <t>Equipo ganador</t>
  </si>
  <si>
    <t xml:space="preserve">SUSANA SILVA MENDOZA      </t>
  </si>
  <si>
    <t xml:space="preserve">JUAN PABLO GIL ALMANZA    </t>
  </si>
  <si>
    <t>PIÑEROS MONTAÑA LAURA ESTEPHANIA</t>
  </si>
  <si>
    <t>MEJÍA BLANDÓN ASTRID KARINA</t>
  </si>
  <si>
    <t>PEREZ ZAGARRA AUGUSTO EDUARDO</t>
  </si>
  <si>
    <t>GONZALEZ BARRANTES EDWIN JESSID</t>
  </si>
  <si>
    <t>CAMPUZANO IRLET ANDREA</t>
  </si>
  <si>
    <t>ROSERO JURADO LAURA CATALINA</t>
  </si>
  <si>
    <t>SÁNCHEZ ZAMBRANO LEIDY NICOLE VANESSA</t>
  </si>
  <si>
    <t>ARIAS GARCÍA MARIAN JULIE</t>
  </si>
  <si>
    <t>OSSA TABARES JAZMIN BERNARDA</t>
  </si>
  <si>
    <t>MES</t>
  </si>
  <si>
    <t>JULIO</t>
  </si>
  <si>
    <t>NO</t>
  </si>
  <si>
    <t>NOMBRE</t>
  </si>
  <si>
    <t>FECHAS CORTAS Y DEVOLUCIONES</t>
  </si>
  <si>
    <t>TOTAL LIQUIDAR</t>
  </si>
  <si>
    <t>PROM. LLAVE</t>
  </si>
  <si>
    <t>Cumple</t>
  </si>
  <si>
    <t>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</si>
</sst>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entury Gothic"/>
    </font>
    <font>
      <sz val="11"/>
      <color theme="0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D5A4D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/>
    </xf>
    <xf numFmtId="44" fontId="0" fillId="0" borderId="1" xfId="1" quotePrefix="1" applyFont="1" applyFill="1" applyBorder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0" fontId="7" fillId="11" borderId="8" xfId="0" applyFont="1" applyFill="1" applyBorder="1"/>
    <xf numFmtId="0" fontId="7" fillId="11" borderId="9" xfId="0" applyFont="1" applyFill="1" applyBorder="1"/>
    <xf numFmtId="0" fontId="7" fillId="11" borderId="9" xfId="0" applyFont="1" applyFill="1" applyBorder="1" applyAlignment="1">
      <alignment horizontal="center"/>
    </xf>
    <xf numFmtId="0" fontId="8" fillId="12" borderId="10" xfId="0" applyFont="1" applyFill="1" applyBorder="1"/>
    <xf numFmtId="0" fontId="9" fillId="10" borderId="11" xfId="0" applyFont="1" applyFill="1" applyBorder="1"/>
    <xf numFmtId="9" fontId="9" fillId="0" borderId="12" xfId="0" applyNumberFormat="1" applyFont="1" applyBorder="1" applyAlignment="1">
      <alignment horizontal="center"/>
    </xf>
    <xf numFmtId="0" fontId="10" fillId="0" borderId="13" xfId="0" applyFont="1" applyBorder="1"/>
    <xf numFmtId="9" fontId="10" fillId="0" borderId="13" xfId="0" applyNumberFormat="1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0" fontId="6" fillId="14" borderId="0" xfId="0" applyFont="1" applyFill="1"/>
    <xf numFmtId="0" fontId="0" fillId="0" borderId="0" xfId="0" pivotButton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 vertical="center"/>
    </xf>
    <xf numFmtId="10" fontId="9" fillId="0" borderId="12" xfId="0" applyNumberFormat="1" applyFont="1" applyBorder="1" applyAlignment="1">
      <alignment horizontal="center"/>
    </xf>
    <xf numFmtId="10" fontId="10" fillId="0" borderId="1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15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9" fontId="11" fillId="15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5" fillId="7" borderId="0" xfId="1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3" fillId="14" borderId="0" xfId="0" applyFont="1" applyFill="1"/>
    <xf numFmtId="0" fontId="3" fillId="16" borderId="0" xfId="0" applyFont="1" applyFill="1"/>
    <xf numFmtId="9" fontId="0" fillId="0" borderId="0" xfId="2" applyFont="1"/>
    <xf numFmtId="0" fontId="3" fillId="18" borderId="0" xfId="0" applyFont="1" applyFill="1"/>
    <xf numFmtId="0" fontId="2" fillId="0" borderId="0" xfId="0" applyFont="1"/>
    <xf numFmtId="0" fontId="12" fillId="14" borderId="0" xfId="0" applyFont="1" applyFill="1"/>
    <xf numFmtId="0" fontId="3" fillId="17" borderId="1" xfId="0" applyFont="1" applyFill="1" applyBorder="1" applyAlignment="1">
      <alignment horizontal="center" vertical="center" wrapText="1"/>
    </xf>
    <xf numFmtId="10" fontId="2" fillId="0" borderId="0" xfId="2" applyNumberFormat="1" applyFont="1" applyAlignment="1">
      <alignment horizontal="center"/>
    </xf>
    <xf numFmtId="0" fontId="3" fillId="16" borderId="0" xfId="0" applyFont="1" applyFill="1" applyAlignment="1">
      <alignment horizontal="center"/>
    </xf>
    <xf numFmtId="0" fontId="2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0" fillId="0" borderId="14" xfId="0" applyBorder="1"/>
    <xf numFmtId="9" fontId="0" fillId="0" borderId="14" xfId="2" applyFont="1" applyBorder="1" applyAlignment="1">
      <alignment horizontal="left"/>
    </xf>
    <xf numFmtId="0" fontId="2" fillId="0" borderId="14" xfId="0" applyFont="1" applyBorder="1"/>
    <xf numFmtId="164" fontId="0" fillId="0" borderId="14" xfId="1" applyNumberFormat="1" applyFont="1" applyBorder="1"/>
    <xf numFmtId="9" fontId="0" fillId="0" borderId="14" xfId="2" applyFont="1" applyBorder="1"/>
    <xf numFmtId="164" fontId="13" fillId="0" borderId="14" xfId="1" applyNumberFormat="1" applyFont="1" applyBorder="1"/>
    <xf numFmtId="0" fontId="13" fillId="0" borderId="14" xfId="0" applyFont="1" applyBorder="1"/>
    <xf numFmtId="164" fontId="17" fillId="0" borderId="14" xfId="1" applyNumberFormat="1" applyFont="1" applyBorder="1"/>
    <xf numFmtId="9" fontId="17" fillId="0" borderId="14" xfId="2" applyFont="1" applyBorder="1"/>
    <xf numFmtId="0" fontId="18" fillId="0" borderId="14" xfId="0" applyFont="1" applyBorder="1" applyAlignment="1">
      <alignment horizontal="center"/>
    </xf>
    <xf numFmtId="164" fontId="19" fillId="0" borderId="14" xfId="1" applyNumberFormat="1" applyFont="1" applyBorder="1"/>
    <xf numFmtId="9" fontId="19" fillId="0" borderId="14" xfId="2" applyFont="1" applyBorder="1"/>
    <xf numFmtId="164" fontId="16" fillId="0" borderId="14" xfId="1" applyNumberFormat="1" applyFont="1" applyBorder="1"/>
    <xf numFmtId="9" fontId="16" fillId="0" borderId="14" xfId="2" applyFont="1" applyBorder="1"/>
    <xf numFmtId="9" fontId="0" fillId="0" borderId="0" xfId="2" applyFont="1" applyBorder="1" applyAlignment="1">
      <alignment horizontal="left"/>
    </xf>
    <xf numFmtId="0" fontId="17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52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D5A4DC"/>
      <color rgb="FFA86E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Lorena Montenegro Acuña" refreshedDate="46261.571928819445" createdVersion="8" refreshedVersion="8" minRefreshableVersion="3" recordCount="188" xr:uid="{A61E5D4F-2280-4CF6-8699-0591067AF453}">
  <cacheSource type="worksheet">
    <worksheetSource ref="B5:Y193" sheet="Liq. Mercaderista 1ra Llave 95%"/>
  </cacheSource>
  <cacheFields count="24">
    <cacheField name="Regional" numFmtId="0">
      <sharedItems/>
    </cacheField>
    <cacheField name="RUTA" numFmtId="0">
      <sharedItems/>
    </cacheField>
    <cacheField name="Lider" numFmtId="0">
      <sharedItems count="5">
        <s v="ANYI MAYERLIE ORJUELA"/>
        <s v="HECTOR MEDINA ROZO"/>
        <s v="MONICA GIRALDO HERNANDEZ"/>
        <s v="VACANTE" u="1"/>
        <s v="MONICA" u="1"/>
      </sharedItems>
    </cacheField>
    <cacheField name="Supervisor" numFmtId="0">
      <sharedItems count="27">
        <s v="SUSANA SILVA MENDOZA      "/>
        <s v="GIL MARTINEZ JENNIFER STEFANNIE"/>
        <s v="JUAN PABLO GIL ALMANZA    "/>
        <s v="MELISA MARTINEZ"/>
        <s v="PIÑEROS MONTAÑA LAURA ESTEPHANIA"/>
        <s v="MEJÍA BLANDÓN ASTRID KARINA"/>
        <s v="PEREZ ZAGARRA AUGUSTO EDUARDO"/>
        <s v="GONZALEZ BARRANTES EDWIN JESSID"/>
        <s v="CAMPUZANO IRLET ANDREA"/>
        <s v="ROSERO JURADO LAURA CATALINA"/>
        <s v="SÁNCHEZ ZAMBRANO LEIDY NICOLE VANESSA"/>
        <s v="ARIAS GARCÍA MARIAN JULIE"/>
        <s v="OSSA TABARES JAZMIN BERNARDA"/>
        <s v="ADRIANA MARCELA DIAZ RICO" u="1"/>
        <s v="ANA OMAIRA VELOZA MORALES" u="1"/>
        <s v="ASTRID KARINA MEJÍA BLANDÓN" u="1"/>
        <s v="AUGUSTO EDUARDO PEREZ ZAGARRA" u="1"/>
        <s v="EDWIN JESSID GONZALEZ BARRANTES" u="1"/>
        <s v="IRLET ANDREA CAMPUZANO" u="1"/>
        <s v="LAURA CATALINA ROSERO JURADO" u="1"/>
        <s v="LAURA ESTEPHANIA PIÑEROS MONTAÑA" u="1"/>
        <s v="LEIDY NICOLE VANESSA SÁNCHEZ ZAMBRANO" u="1"/>
        <s v="MARIAN JULIE ARIAS GARCÍA" u="1"/>
        <s v="JAZMIN OSSA" u="1"/>
        <s v="ANDREA HERRERA RAIPE" u="1"/>
        <s v="WILLIAM LAGUNA MIRANDA" u="1"/>
        <s v="SANTIAGO GAVIRIA HERNANDEZ" u="1"/>
      </sharedItems>
    </cacheField>
    <cacheField name="Valor Comision" numFmtId="164">
      <sharedItems containsSemiMixedTypes="0" containsString="0" containsNumber="1" containsInteger="1" minValue="250000" maxValue="250000"/>
    </cacheField>
    <cacheField name="% Cumpl. Captura" numFmtId="9">
      <sharedItems containsSemiMixedTypes="0" containsString="0" containsNumber="1" minValue="0.27650909090909087" maxValue="0.92803636363636377"/>
    </cacheField>
    <cacheField name="Categoria Efec 95%" numFmtId="0">
      <sharedItems/>
    </cacheField>
    <cacheField name="% Cumplimiento Cobertura" numFmtId="9">
      <sharedItems containsSemiMixedTypes="0" containsString="0" containsNumber="1" minValue="0.44444444444444442" maxValue="1"/>
    </cacheField>
    <cacheField name="Categoria Efec 95%2" numFmtId="0">
      <sharedItems/>
    </cacheField>
    <cacheField name="Valor Comision TP" numFmtId="44">
      <sharedItems containsSemiMixedTypes="0" containsString="0" containsNumber="1" containsInteger="1" minValue="150000" maxValue="150000"/>
    </cacheField>
    <cacheField name="% Cumplimiento TP" numFmtId="9">
      <sharedItems containsSemiMixedTypes="0" containsString="0" containsNumber="1" minValue="5.4266666666666664E-2" maxValue="0.95853333333333335"/>
    </cacheField>
    <cacheField name="Categoria Efec &gt;80%" numFmtId="0">
      <sharedItems/>
    </cacheField>
    <cacheField name="$ Liquidar" numFmtId="44">
      <sharedItems containsSemiMixedTypes="0" containsString="0" containsNumber="1" containsInteger="1" minValue="0" maxValue="135000"/>
    </cacheField>
    <cacheField name="Valor Comision Ventas" numFmtId="44">
      <sharedItems containsSemiMixedTypes="0" containsString="0" containsNumber="1" containsInteger="1" minValue="50000" maxValue="50000"/>
    </cacheField>
    <cacheField name="% Cumplimiento Ventas" numFmtId="9">
      <sharedItems containsSemiMixedTypes="0" containsString="0" containsNumber="1" minValue="0.95" maxValue="0.95"/>
    </cacheField>
    <cacheField name="Categoria Efec" numFmtId="44">
      <sharedItems/>
    </cacheField>
    <cacheField name="$ Liquidar2" numFmtId="44">
      <sharedItems containsSemiMixedTypes="0" containsString="0" containsNumber="1" containsInteger="1" minValue="47500" maxValue="47500"/>
    </cacheField>
    <cacheField name="Valor Comision FC y Dev" numFmtId="44">
      <sharedItems containsSemiMixedTypes="0" containsString="0" containsNumber="1" containsInteger="1" minValue="50000" maxValue="50000"/>
    </cacheField>
    <cacheField name="% Cumplimiento FC &amp; DV" numFmtId="9">
      <sharedItems containsSemiMixedTypes="0" containsString="0" containsNumber="1" minValue="0.375" maxValue="1"/>
    </cacheField>
    <cacheField name="Categoria Efec2" numFmtId="0">
      <sharedItems/>
    </cacheField>
    <cacheField name="$ Liquidar3" numFmtId="164">
      <sharedItems containsSemiMixedTypes="0" containsString="0" containsNumber="1" containsInteger="1" minValue="0" maxValue="50000"/>
    </cacheField>
    <cacheField name="Corresponde Comision" numFmtId="44">
      <sharedItems/>
    </cacheField>
    <cacheField name="Valor total A Pagar Real" numFmtId="44">
      <sharedItems containsSemiMixedTypes="0" containsString="0" containsNumber="1" containsInteger="1" minValue="0" maxValue="0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REGIONAL BOGOTA"/>
    <s v="CTR_1"/>
    <x v="0"/>
    <x v="0"/>
    <n v="250000"/>
    <n v="0.8841"/>
    <s v="No Cumple"/>
    <n v="1"/>
    <s v="Cumple"/>
    <n v="150000"/>
    <n v="0.86933333333333318"/>
    <s v="Cumple"/>
    <n v="120000"/>
    <n v="50000"/>
    <n v="0.95"/>
    <s v="Cumple"/>
    <n v="47500"/>
    <n v="50000"/>
    <n v="0.48899999999999999"/>
    <s v="No Cumple"/>
    <n v="0"/>
    <s v="NO"/>
    <n v="0"/>
    <m/>
  </r>
  <r>
    <s v="REGIONAL BOGOTA"/>
    <s v="CTR_10"/>
    <x v="0"/>
    <x v="0"/>
    <n v="250000"/>
    <n v="0.75190000000000012"/>
    <s v="No Cumple"/>
    <n v="1"/>
    <s v="Cumple"/>
    <n v="150000"/>
    <n v="0.40476666666666666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CTR_11"/>
    <x v="0"/>
    <x v="0"/>
    <n v="250000"/>
    <n v="0.7582181818181819"/>
    <s v="No Cumple"/>
    <n v="0.44444444444444442"/>
    <s v="No Cumple"/>
    <n v="150000"/>
    <n v="0.39656666666666668"/>
    <s v="No Cumple"/>
    <n v="0"/>
    <n v="50000"/>
    <n v="0.95"/>
    <s v="Cumple"/>
    <n v="47500"/>
    <n v="50000"/>
    <n v="0.48935000000000001"/>
    <s v="No Cumple"/>
    <n v="0"/>
    <s v="NO"/>
    <n v="0"/>
    <m/>
  </r>
  <r>
    <s v="REGIONAL BOGOTA"/>
    <s v="CTR_12"/>
    <x v="0"/>
    <x v="0"/>
    <n v="250000"/>
    <n v="0.70937272727272738"/>
    <s v="No Cumple"/>
    <n v="0.82608695652173914"/>
    <s v="No Cumple"/>
    <n v="150000"/>
    <n v="0.35353333333333331"/>
    <s v="No Cumple"/>
    <n v="0"/>
    <n v="50000"/>
    <n v="0.95"/>
    <s v="Cumple"/>
    <n v="47500"/>
    <n v="50000"/>
    <n v="0.46970000000000001"/>
    <s v="No Cumple"/>
    <n v="0"/>
    <s v="NO"/>
    <n v="0"/>
    <m/>
  </r>
  <r>
    <s v="REGIONAL BOGOTA"/>
    <s v="CTR_13"/>
    <x v="0"/>
    <x v="0"/>
    <n v="250000"/>
    <n v="0.75084545454545448"/>
    <s v="No Cumple"/>
    <n v="1"/>
    <s v="Cumple"/>
    <n v="150000"/>
    <n v="0.53333333333333333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CTR_14"/>
    <x v="0"/>
    <x v="0"/>
    <n v="250000"/>
    <n v="0.4869"/>
    <s v="No Cumple"/>
    <n v="1"/>
    <s v="Cumple"/>
    <n v="150000"/>
    <n v="0.30066666666666669"/>
    <s v="No Cumple"/>
    <n v="0"/>
    <n v="50000"/>
    <n v="0.95"/>
    <s v="Cumple"/>
    <n v="47500"/>
    <n v="50000"/>
    <n v="0.38984999999999997"/>
    <s v="No Cumple"/>
    <n v="0"/>
    <s v="NO"/>
    <n v="0"/>
    <m/>
  </r>
  <r>
    <s v="REGIONAL BOGOTA"/>
    <s v="CTR_15"/>
    <x v="0"/>
    <x v="0"/>
    <n v="250000"/>
    <n v="0.78221818181818181"/>
    <s v="No Cumple"/>
    <n v="1"/>
    <s v="Cumple"/>
    <n v="150000"/>
    <n v="0.56656666666666666"/>
    <s v="No Cumple"/>
    <n v="0"/>
    <n v="50000"/>
    <n v="0.95"/>
    <s v="Cumple"/>
    <n v="47500"/>
    <n v="50000"/>
    <n v="0.4945"/>
    <s v="No Cumple"/>
    <n v="0"/>
    <s v="NO"/>
    <n v="0"/>
    <m/>
  </r>
  <r>
    <s v="REGIONAL BOGOTA"/>
    <s v="CTR_16"/>
    <x v="0"/>
    <x v="0"/>
    <n v="250000"/>
    <n v="0.75439999999999996"/>
    <s v="No Cumple"/>
    <n v="0.9285714285714286"/>
    <s v="No Cumple"/>
    <n v="150000"/>
    <n v="0.36899999999999999"/>
    <s v="No Cumple"/>
    <n v="0"/>
    <n v="50000"/>
    <n v="0.95"/>
    <s v="Cumple"/>
    <n v="47500"/>
    <n v="50000"/>
    <n v="0.94030000000000002"/>
    <s v="No Cumple"/>
    <n v="0"/>
    <s v="NO"/>
    <n v="0"/>
    <m/>
  </r>
  <r>
    <s v="REGIONAL BOGOTA"/>
    <s v="CTR_2"/>
    <x v="1"/>
    <x v="1"/>
    <n v="250000"/>
    <n v="0.73967272727272726"/>
    <s v="No Cumple"/>
    <n v="0.5"/>
    <s v="No Cumple"/>
    <n v="150000"/>
    <n v="0.66163333333333341"/>
    <s v="No Cumple"/>
    <n v="0"/>
    <n v="50000"/>
    <n v="0.95"/>
    <s v="Cumple"/>
    <n v="47500"/>
    <n v="50000"/>
    <n v="0.40910000000000002"/>
    <s v="No Cumple"/>
    <n v="0"/>
    <s v="NO"/>
    <n v="0"/>
    <m/>
  </r>
  <r>
    <s v="REGIONAL BOGOTA"/>
    <s v="CTR_3"/>
    <x v="1"/>
    <x v="1"/>
    <n v="250000"/>
    <n v="0.27650909090909087"/>
    <s v="No Cumple"/>
    <n v="1"/>
    <s v="Cumple"/>
    <n v="150000"/>
    <n v="0.11109999999999999"/>
    <s v="No Cumple"/>
    <n v="0"/>
    <n v="50000"/>
    <n v="0.95"/>
    <s v="Cumple"/>
    <n v="47500"/>
    <n v="50000"/>
    <n v="0.375"/>
    <s v="No Cumple"/>
    <n v="0"/>
    <s v="NO"/>
    <n v="0"/>
    <m/>
  </r>
  <r>
    <s v="REGIONAL BOGOTA"/>
    <s v="CTR_4"/>
    <x v="0"/>
    <x v="0"/>
    <n v="250000"/>
    <n v="0.76430909090909083"/>
    <s v="No Cumple"/>
    <n v="1"/>
    <s v="Cumple"/>
    <n v="150000"/>
    <n v="0.66666666666666663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CTR_5"/>
    <x v="0"/>
    <x v="0"/>
    <n v="250000"/>
    <n v="0.73865454545454545"/>
    <s v="No Cumple"/>
    <n v="1"/>
    <s v="Cumple"/>
    <n v="150000"/>
    <n v="0.30556666666666665"/>
    <s v="No Cumple"/>
    <n v="0"/>
    <n v="50000"/>
    <n v="0.95"/>
    <s v="Cumple"/>
    <n v="47500"/>
    <n v="50000"/>
    <n v="0.91669999999999996"/>
    <s v="No Cumple"/>
    <n v="0"/>
    <s v="NO"/>
    <n v="0"/>
    <m/>
  </r>
  <r>
    <s v="REGIONAL BOGOTA"/>
    <s v="CTR_6"/>
    <x v="0"/>
    <x v="0"/>
    <n v="250000"/>
    <n v="0.76424545454545456"/>
    <s v="No Cumple"/>
    <n v="1"/>
    <s v="Cumple"/>
    <n v="150000"/>
    <n v="0.43973333333333336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CTR_7"/>
    <x v="0"/>
    <x v="0"/>
    <n v="250000"/>
    <n v="0.77872727272727282"/>
    <s v="No Cumple"/>
    <n v="0.66666666666666663"/>
    <s v="No Cumple"/>
    <n v="150000"/>
    <n v="0.66510000000000002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CTR_8"/>
    <x v="0"/>
    <x v="0"/>
    <n v="250000"/>
    <n v="0.74007272727272733"/>
    <s v="No Cumple"/>
    <n v="0.83333333333333337"/>
    <s v="No Cumple"/>
    <n v="150000"/>
    <n v="0.33333333333333331"/>
    <s v="No Cumple"/>
    <n v="0"/>
    <n v="50000"/>
    <n v="0.95"/>
    <s v="Cumple"/>
    <n v="47500"/>
    <n v="50000"/>
    <n v="0.49220000000000003"/>
    <s v="No Cumple"/>
    <n v="0"/>
    <s v="NO"/>
    <n v="0"/>
    <m/>
  </r>
  <r>
    <s v="REGIONAL BOGOTA"/>
    <s v="CTR_9"/>
    <x v="0"/>
    <x v="0"/>
    <n v="250000"/>
    <n v="0.75609090909090915"/>
    <s v="No Cumple"/>
    <n v="1"/>
    <s v="Cumple"/>
    <n v="150000"/>
    <n v="0.38210000000000005"/>
    <s v="No Cumple"/>
    <n v="0"/>
    <n v="50000"/>
    <n v="0.95"/>
    <s v="Cumple"/>
    <n v="47500"/>
    <n v="50000"/>
    <n v="0.48780000000000001"/>
    <s v="No Cumple"/>
    <n v="0"/>
    <s v="NO"/>
    <n v="0"/>
    <m/>
  </r>
  <r>
    <s v="REGIONAL BOGOTA"/>
    <s v="SOR_1"/>
    <x v="0"/>
    <x v="2"/>
    <n v="250000"/>
    <n v="0.8050272727272727"/>
    <s v="No Cumple"/>
    <n v="1"/>
    <s v="Cumple"/>
    <n v="150000"/>
    <n v="0.61946666666666672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10"/>
    <x v="0"/>
    <x v="2"/>
    <n v="250000"/>
    <n v="0.76277272727272727"/>
    <s v="No Cumple"/>
    <n v="1"/>
    <s v="Cumple"/>
    <n v="150000"/>
    <n v="0.48530000000000001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11"/>
    <x v="0"/>
    <x v="2"/>
    <n v="250000"/>
    <n v="0.83382727272727275"/>
    <s v="No Cumple"/>
    <n v="1"/>
    <s v="Cumple"/>
    <n v="150000"/>
    <n v="0.4371666666666667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12"/>
    <x v="0"/>
    <x v="2"/>
    <n v="250000"/>
    <n v="0.84884545454545457"/>
    <s v="No Cumple"/>
    <n v="1"/>
    <s v="Cumple"/>
    <n v="150000"/>
    <n v="0.84649999999999992"/>
    <s v="Cumple"/>
    <n v="120000"/>
    <n v="50000"/>
    <n v="0.95"/>
    <s v="Cumple"/>
    <n v="47500"/>
    <n v="50000"/>
    <n v="0.5"/>
    <s v="No Cumple"/>
    <n v="0"/>
    <s v="NO"/>
    <n v="0"/>
    <m/>
  </r>
  <r>
    <s v="REGIONAL BOGOTA"/>
    <s v="SOR_13"/>
    <x v="0"/>
    <x v="2"/>
    <n v="250000"/>
    <n v="0.7612363636363636"/>
    <s v="No Cumple"/>
    <n v="1"/>
    <s v="Cumple"/>
    <n v="150000"/>
    <n v="0.63419999999999999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14"/>
    <x v="0"/>
    <x v="2"/>
    <n v="250000"/>
    <n v="0.75548181818181814"/>
    <s v="No Cumple"/>
    <n v="1"/>
    <s v="Cumple"/>
    <n v="150000"/>
    <n v="0.55913333333333337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15"/>
    <x v="0"/>
    <x v="2"/>
    <n v="250000"/>
    <n v="0.85924545454545442"/>
    <s v="No Cumple"/>
    <n v="1"/>
    <s v="Cumple"/>
    <n v="150000"/>
    <n v="0.72873333333333334"/>
    <s v="No Cumple"/>
    <n v="0"/>
    <n v="50000"/>
    <n v="0.95"/>
    <s v="Cumple"/>
    <n v="47500"/>
    <n v="50000"/>
    <n v="0.99560000000000004"/>
    <s v="No Cumple"/>
    <n v="0"/>
    <s v="NO"/>
    <n v="0"/>
    <m/>
  </r>
  <r>
    <s v="REGIONAL BOGOTA"/>
    <s v="SOR_16"/>
    <x v="0"/>
    <x v="2"/>
    <n v="250000"/>
    <n v="0.8066363636363636"/>
    <s v="No Cumple"/>
    <n v="1"/>
    <s v="Cumple"/>
    <n v="150000"/>
    <n v="0.69840000000000002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2"/>
    <x v="0"/>
    <x v="2"/>
    <n v="250000"/>
    <n v="0.8267181818181818"/>
    <s v="No Cumple"/>
    <n v="1"/>
    <s v="Cumple"/>
    <n v="150000"/>
    <n v="0.67359999999999998"/>
    <s v="No Cumple"/>
    <n v="0"/>
    <n v="50000"/>
    <n v="0.95"/>
    <s v="Cumple"/>
    <n v="47500"/>
    <n v="50000"/>
    <n v="0.99219999999999997"/>
    <s v="No Cumple"/>
    <n v="0"/>
    <s v="NO"/>
    <n v="0"/>
    <m/>
  </r>
  <r>
    <s v="REGIONAL BOGOTA"/>
    <s v="SOR_3"/>
    <x v="0"/>
    <x v="2"/>
    <n v="250000"/>
    <n v="0.85950909090909089"/>
    <s v="No Cumple"/>
    <n v="1"/>
    <s v="Cumple"/>
    <n v="150000"/>
    <n v="0.78860000000000008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4"/>
    <x v="0"/>
    <x v="2"/>
    <n v="250000"/>
    <n v="0.92803636363636377"/>
    <s v="No Cumple"/>
    <n v="1"/>
    <s v="Cumple"/>
    <n v="150000"/>
    <n v="0.94543333333333335"/>
    <s v="Cumple"/>
    <n v="135000"/>
    <n v="50000"/>
    <n v="0.95"/>
    <s v="Cumple"/>
    <n v="47500"/>
    <n v="50000"/>
    <n v="1"/>
    <s v="Cumple"/>
    <n v="50000"/>
    <s v="NO"/>
    <n v="0"/>
    <m/>
  </r>
  <r>
    <s v="REGIONAL BOGOTA"/>
    <s v="SOR_5"/>
    <x v="0"/>
    <x v="2"/>
    <n v="250000"/>
    <n v="0.83635454545454557"/>
    <s v="No Cumple"/>
    <n v="0.8"/>
    <s v="No Cumple"/>
    <n v="150000"/>
    <n v="0.57199999999999995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6"/>
    <x v="0"/>
    <x v="2"/>
    <n v="250000"/>
    <n v="0.84659090909090906"/>
    <s v="No Cumple"/>
    <n v="1"/>
    <s v="Cumple"/>
    <n v="150000"/>
    <n v="0.77083333333333337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7"/>
    <x v="0"/>
    <x v="2"/>
    <n v="250000"/>
    <n v="0.80819090909090907"/>
    <s v="No Cumple"/>
    <n v="1"/>
    <s v="Cumple"/>
    <n v="150000"/>
    <n v="0.49963333333333332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R_8"/>
    <x v="0"/>
    <x v="2"/>
    <n v="250000"/>
    <n v="0.85299999999999987"/>
    <s v="No Cumple"/>
    <n v="1"/>
    <s v="Cumple"/>
    <n v="150000"/>
    <n v="0.80320000000000003"/>
    <s v="Cumple"/>
    <n v="0"/>
    <n v="50000"/>
    <n v="0.95"/>
    <s v="Cumple"/>
    <n v="47500"/>
    <n v="50000"/>
    <n v="1"/>
    <s v="Cumple"/>
    <n v="50000"/>
    <s v="NO"/>
    <n v="0"/>
    <m/>
  </r>
  <r>
    <s v="REGIONAL BOGOTA"/>
    <s v="SOR_9"/>
    <x v="0"/>
    <x v="2"/>
    <n v="250000"/>
    <n v="0.81572727272727275"/>
    <s v="No Cumple"/>
    <n v="1"/>
    <s v="Cumple"/>
    <n v="150000"/>
    <n v="0.54003333333333325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NOC_1"/>
    <x v="1"/>
    <x v="3"/>
    <n v="250000"/>
    <n v="0.7536272727272727"/>
    <s v="No Cumple"/>
    <n v="1"/>
    <s v="Cumple"/>
    <n v="150000"/>
    <n v="0.57143333333333335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NOC_10"/>
    <x v="1"/>
    <x v="3"/>
    <n v="250000"/>
    <n v="0.78246363636363625"/>
    <s v="No Cumple"/>
    <n v="0.93333333333333335"/>
    <s v="No Cumple"/>
    <n v="150000"/>
    <n v="0.72526666666666662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OC_11"/>
    <x v="1"/>
    <x v="3"/>
    <n v="250000"/>
    <n v="0.37843636363636352"/>
    <s v="No Cumple"/>
    <n v="1"/>
    <s v="Cumple"/>
    <n v="150000"/>
    <n v="5.4266666666666664E-2"/>
    <s v="No Cumple"/>
    <n v="0"/>
    <n v="50000"/>
    <n v="0.95"/>
    <s v="Cumple"/>
    <n v="47500"/>
    <n v="50000"/>
    <n v="0.49419999999999997"/>
    <s v="No Cumple"/>
    <n v="0"/>
    <s v="NO"/>
    <n v="0"/>
    <m/>
  </r>
  <r>
    <s v="REGIONAL BOGOTA"/>
    <s v="NOC_12"/>
    <x v="1"/>
    <x v="3"/>
    <n v="250000"/>
    <n v="0.7530363636363635"/>
    <s v="No Cumple"/>
    <n v="0.95238095238095233"/>
    <s v="Cumple"/>
    <n v="150000"/>
    <n v="0.49006666666666665"/>
    <s v="No Cumple"/>
    <n v="0"/>
    <n v="50000"/>
    <n v="0.95"/>
    <s v="Cumple"/>
    <n v="47500"/>
    <n v="50000"/>
    <n v="0.49559999999999998"/>
    <s v="No Cumple"/>
    <n v="0"/>
    <s v="NO"/>
    <n v="0"/>
    <m/>
  </r>
  <r>
    <s v="REGIONAL BOGOTA"/>
    <s v="NOC_13"/>
    <x v="1"/>
    <x v="3"/>
    <n v="250000"/>
    <n v="0.78945454545454541"/>
    <s v="No Cumple"/>
    <n v="1"/>
    <s v="Cumple"/>
    <n v="150000"/>
    <n v="0.47879999999999995"/>
    <s v="No Cumple"/>
    <n v="0"/>
    <n v="50000"/>
    <n v="0.95"/>
    <s v="Cumple"/>
    <n v="47500"/>
    <n v="50000"/>
    <n v="0.49559999999999998"/>
    <s v="No Cumple"/>
    <n v="0"/>
    <s v="NO"/>
    <n v="0"/>
    <m/>
  </r>
  <r>
    <s v="REGIONAL BOGOTA"/>
    <s v="NOC_14"/>
    <x v="1"/>
    <x v="3"/>
    <n v="250000"/>
    <n v="0.75649999999999984"/>
    <s v="No Cumple"/>
    <n v="1"/>
    <s v="Cumple"/>
    <n v="150000"/>
    <n v="0.66666666666666663"/>
    <s v="No Cumple"/>
    <n v="0"/>
    <n v="50000"/>
    <n v="0.95"/>
    <s v="Cumple"/>
    <n v="47500"/>
    <n v="50000"/>
    <n v="0.96430000000000005"/>
    <s v="No Cumple"/>
    <n v="0"/>
    <s v="NO"/>
    <n v="0"/>
    <m/>
  </r>
  <r>
    <s v="REGIONAL BOGOTA"/>
    <s v="NOC_15"/>
    <x v="0"/>
    <x v="4"/>
    <n v="250000"/>
    <n v="0.89160909090909091"/>
    <s v="No Cumple"/>
    <n v="1"/>
    <s v="Cumple"/>
    <n v="150000"/>
    <n v="0.85896666666666677"/>
    <s v="Cumple"/>
    <n v="120000"/>
    <n v="50000"/>
    <n v="0.95"/>
    <s v="Cumple"/>
    <n v="47500"/>
    <n v="50000"/>
    <n v="0.5"/>
    <s v="No Cumple"/>
    <n v="0"/>
    <s v="NO"/>
    <n v="0"/>
    <m/>
  </r>
  <r>
    <s v="REGIONAL BOGOTA"/>
    <s v="NOC_16"/>
    <x v="1"/>
    <x v="3"/>
    <n v="250000"/>
    <n v="0.79950909090909095"/>
    <s v="No Cumple"/>
    <n v="1"/>
    <s v="Cumple"/>
    <n v="150000"/>
    <n v="0.51119999999999999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OC_2"/>
    <x v="1"/>
    <x v="3"/>
    <n v="250000"/>
    <n v="0.7218181818181818"/>
    <s v="No Cumple"/>
    <n v="1"/>
    <s v="Cumple"/>
    <n v="150000"/>
    <n v="0.32666666666666666"/>
    <s v="No Cumple"/>
    <n v="0"/>
    <n v="50000"/>
    <n v="0.95"/>
    <s v="Cumple"/>
    <n v="47500"/>
    <n v="50000"/>
    <n v="0.48"/>
    <s v="No Cumple"/>
    <n v="0"/>
    <s v="NO"/>
    <n v="0"/>
    <m/>
  </r>
  <r>
    <s v="REGIONAL BOGOTA"/>
    <s v="NOC_3"/>
    <x v="1"/>
    <x v="3"/>
    <n v="250000"/>
    <n v="0.3695"/>
    <s v="No Cumple"/>
    <n v="1"/>
    <s v="Cumple"/>
    <n v="150000"/>
    <n v="0.10453333333333333"/>
    <s v="No Cumple"/>
    <n v="0"/>
    <n v="50000"/>
    <n v="0.95"/>
    <s v="Cumple"/>
    <n v="47500"/>
    <n v="50000"/>
    <n v="0.9839"/>
    <s v="No Cumple"/>
    <n v="0"/>
    <s v="NO"/>
    <n v="0"/>
    <m/>
  </r>
  <r>
    <s v="REGIONAL BOGOTA"/>
    <s v="NOC_4"/>
    <x v="1"/>
    <x v="3"/>
    <n v="250000"/>
    <n v="0.77899090909090918"/>
    <s v="No Cumple"/>
    <n v="1"/>
    <s v="Cumple"/>
    <n v="150000"/>
    <n v="0.60586666666666666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OC_5"/>
    <x v="1"/>
    <x v="3"/>
    <n v="250000"/>
    <n v="0.74939999999999996"/>
    <s v="No Cumple"/>
    <n v="1"/>
    <s v="Cumple"/>
    <n v="150000"/>
    <n v="0.37559999999999999"/>
    <s v="No Cumple"/>
    <n v="0"/>
    <n v="50000"/>
    <n v="0.95"/>
    <s v="Cumple"/>
    <n v="47500"/>
    <n v="50000"/>
    <n v="0.97299999999999998"/>
    <s v="No Cumple"/>
    <n v="0"/>
    <s v="NO"/>
    <n v="0"/>
    <m/>
  </r>
  <r>
    <s v="REGIONAL BOGOTA"/>
    <s v="NOC_6"/>
    <x v="1"/>
    <x v="3"/>
    <n v="250000"/>
    <n v="0.83699090909090923"/>
    <s v="No Cumple"/>
    <n v="1"/>
    <s v="Cumple"/>
    <n v="150000"/>
    <n v="0.83046666666666669"/>
    <s v="Cumple"/>
    <n v="120000"/>
    <n v="50000"/>
    <n v="0.95"/>
    <s v="Cumple"/>
    <n v="47500"/>
    <n v="50000"/>
    <n v="0.5"/>
    <s v="No Cumple"/>
    <n v="0"/>
    <s v="NO"/>
    <n v="0"/>
    <m/>
  </r>
  <r>
    <s v="REGIONAL BOGOTA"/>
    <s v="NOC_7"/>
    <x v="1"/>
    <x v="3"/>
    <n v="250000"/>
    <n v="0.75"/>
    <s v="No Cumple"/>
    <n v="1"/>
    <s v="Cumple"/>
    <n v="150000"/>
    <n v="0.34089999999999998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OC_8"/>
    <x v="1"/>
    <x v="3"/>
    <n v="250000"/>
    <n v="0.91754545454545455"/>
    <s v="No Cumple"/>
    <n v="1"/>
    <s v="Cumple"/>
    <n v="150000"/>
    <n v="0.87790000000000001"/>
    <s v="Cumple"/>
    <n v="120000"/>
    <n v="50000"/>
    <n v="0.95"/>
    <s v="Cumple"/>
    <n v="47500"/>
    <n v="50000"/>
    <n v="0.5"/>
    <s v="No Cumple"/>
    <n v="0"/>
    <s v="NO"/>
    <n v="0"/>
    <m/>
  </r>
  <r>
    <s v="REGIONAL BOGOTA"/>
    <s v="NOC_9"/>
    <x v="1"/>
    <x v="3"/>
    <n v="250000"/>
    <n v="0.76043636363636358"/>
    <s v="No Cumple"/>
    <n v="1"/>
    <s v="Cumple"/>
    <n v="150000"/>
    <n v="0.41436666666666661"/>
    <s v="No Cumple"/>
    <n v="0"/>
    <n v="50000"/>
    <n v="0.95"/>
    <s v="Cumple"/>
    <n v="47500"/>
    <n v="50000"/>
    <n v="0.49480000000000002"/>
    <s v="No Cumple"/>
    <n v="0"/>
    <s v="NO"/>
    <n v="0"/>
    <m/>
  </r>
  <r>
    <s v="REGIONAL ANTIOQUIA"/>
    <s v="CALDAS_1"/>
    <x v="2"/>
    <x v="5"/>
    <n v="250000"/>
    <n v="0.75942727272727273"/>
    <s v="No Cumple"/>
    <n v="1"/>
    <s v="Cumple"/>
    <n v="150000"/>
    <n v="0.52253333333333341"/>
    <s v="No Cumple"/>
    <n v="0"/>
    <n v="50000"/>
    <n v="0.95"/>
    <s v="Cumple"/>
    <n v="47500"/>
    <n v="50000"/>
    <n v="1"/>
    <s v="Cumple"/>
    <n v="50000"/>
    <s v="NO"/>
    <n v="0"/>
    <m/>
  </r>
  <r>
    <s v="REGIONAL ANTIOQUIA"/>
    <s v="ENVIGADO_1"/>
    <x v="2"/>
    <x v="5"/>
    <n v="250000"/>
    <n v="0.74545454545454559"/>
    <s v="No Cumple"/>
    <n v="1"/>
    <s v="Cumple"/>
    <n v="150000"/>
    <n v="0.51333333333333331"/>
    <s v="No Cumple"/>
    <n v="0"/>
    <n v="50000"/>
    <n v="0.95"/>
    <s v="Cumple"/>
    <n v="47500"/>
    <n v="50000"/>
    <n v="0.49"/>
    <s v="No Cumple"/>
    <n v="0"/>
    <s v="NO"/>
    <n v="0"/>
    <m/>
  </r>
  <r>
    <s v="REGIONAL ANTIOQUIA"/>
    <s v="ENVIGADO_2"/>
    <x v="2"/>
    <x v="5"/>
    <n v="250000"/>
    <n v="0.81584545454545454"/>
    <s v="No Cumple"/>
    <n v="1"/>
    <s v="Cumple"/>
    <n v="150000"/>
    <n v="0.57356666666666667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ENVIGADO_3"/>
    <x v="2"/>
    <x v="5"/>
    <n v="250000"/>
    <n v="0.85741818181818197"/>
    <s v="No Cumple"/>
    <n v="0.95"/>
    <s v="Cumple"/>
    <n v="150000"/>
    <n v="0.73606666666666676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ITAGUI_1"/>
    <x v="2"/>
    <x v="5"/>
    <n v="250000"/>
    <n v="0.81049090909090904"/>
    <s v="No Cumple"/>
    <n v="1"/>
    <s v="Cumple"/>
    <n v="150000"/>
    <n v="0.46286666666666659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MEDELLIN_1"/>
    <x v="2"/>
    <x v="5"/>
    <n v="250000"/>
    <n v="0.79825454545454544"/>
    <s v="No Cumple"/>
    <n v="1"/>
    <s v="Cumple"/>
    <n v="150000"/>
    <n v="0.36109999999999998"/>
    <s v="No Cumple"/>
    <n v="0"/>
    <n v="50000"/>
    <n v="0.95"/>
    <s v="Cumple"/>
    <n v="47500"/>
    <n v="50000"/>
    <n v="1"/>
    <s v="Cumple"/>
    <n v="50000"/>
    <s v="NO"/>
    <n v="0"/>
    <m/>
  </r>
  <r>
    <s v="REGIONAL ANTIOQUIA"/>
    <s v="MEDELLIN_13"/>
    <x v="2"/>
    <x v="5"/>
    <n v="250000"/>
    <n v="0.76489090909090907"/>
    <s v="No Cumple"/>
    <n v="0.92307692307692313"/>
    <s v="No Cumple"/>
    <n v="150000"/>
    <n v="0.50383333333333336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MEDELLIN_14"/>
    <x v="2"/>
    <x v="5"/>
    <n v="250000"/>
    <n v="0.79330909090909085"/>
    <s v="No Cumple"/>
    <n v="1"/>
    <s v="Cumple"/>
    <n v="150000"/>
    <n v="0.6166666666666667"/>
    <s v="No Cumple"/>
    <n v="0"/>
    <n v="50000"/>
    <n v="0.95"/>
    <s v="Cumple"/>
    <n v="47500"/>
    <n v="50000"/>
    <n v="1"/>
    <s v="Cumple"/>
    <n v="50000"/>
    <s v="NO"/>
    <n v="0"/>
    <m/>
  </r>
  <r>
    <s v="REGIONAL ANTIOQUIA"/>
    <s v="MEDELLIN_3"/>
    <x v="2"/>
    <x v="5"/>
    <n v="250000"/>
    <n v="0.79930909090909086"/>
    <s v="No Cumple"/>
    <n v="1"/>
    <s v="Cumple"/>
    <n v="150000"/>
    <n v="0.68553333333333333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MEDELLIN_6"/>
    <x v="2"/>
    <x v="5"/>
    <n v="250000"/>
    <n v="0.79154545454545444"/>
    <s v="No Cumple"/>
    <n v="0.82352941176470584"/>
    <s v="No Cumple"/>
    <n v="150000"/>
    <n v="0.45789999999999997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MEDELLIN_7"/>
    <x v="2"/>
    <x v="5"/>
    <n v="250000"/>
    <n v="0.78886363636363643"/>
    <s v="No Cumple"/>
    <n v="1"/>
    <s v="Cumple"/>
    <n v="150000"/>
    <n v="0.57169999999999999"/>
    <s v="No Cumple"/>
    <n v="0"/>
    <n v="50000"/>
    <n v="0.95"/>
    <s v="Cumple"/>
    <n v="47500"/>
    <n v="50000"/>
    <n v="0.99195"/>
    <s v="No Cumple"/>
    <n v="0"/>
    <s v="NO"/>
    <n v="0"/>
    <m/>
  </r>
  <r>
    <s v="REGIONAL ANTIOQUIA"/>
    <s v="RIONEGRO_1"/>
    <x v="2"/>
    <x v="5"/>
    <n v="250000"/>
    <n v="0.75610909090909084"/>
    <s v="No Cumple"/>
    <n v="1"/>
    <s v="Cumple"/>
    <n v="150000"/>
    <n v="0.36493333333333333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RIONEGRO_2"/>
    <x v="2"/>
    <x v="5"/>
    <n v="250000"/>
    <n v="0.84487272727272711"/>
    <s v="No Cumple"/>
    <n v="0.92307692307692313"/>
    <s v="No Cumple"/>
    <n v="150000"/>
    <n v="0.79596666666666671"/>
    <s v="No Cumple"/>
    <n v="0"/>
    <n v="50000"/>
    <n v="0.95"/>
    <s v="Cumple"/>
    <n v="47500"/>
    <n v="50000"/>
    <n v="0.49454999999999999"/>
    <s v="No Cumple"/>
    <n v="0"/>
    <s v="NO"/>
    <n v="0"/>
    <m/>
  </r>
  <r>
    <s v="REGIONAL ANTIOQUIA"/>
    <s v="SABANETA_1"/>
    <x v="2"/>
    <x v="5"/>
    <n v="250000"/>
    <n v="0.80184545454545464"/>
    <s v="No Cumple"/>
    <n v="1"/>
    <s v="Cumple"/>
    <n v="150000"/>
    <n v="0.70413333333333339"/>
    <s v="No Cumple"/>
    <n v="0"/>
    <n v="50000"/>
    <n v="0.95"/>
    <s v="Cumple"/>
    <n v="47500"/>
    <n v="50000"/>
    <n v="0.5"/>
    <s v="No Cumple"/>
    <n v="0"/>
    <s v="NO"/>
    <n v="0"/>
    <m/>
  </r>
  <r>
    <s v="REGIONAL ATLANTICO"/>
    <s v="BARRANQUILLA_1"/>
    <x v="2"/>
    <x v="6"/>
    <n v="250000"/>
    <n v="0.81913636363636355"/>
    <s v="No Cumple"/>
    <n v="0.90476190476190477"/>
    <s v="No Cumple"/>
    <n v="150000"/>
    <n v="0.53403333333333336"/>
    <s v="No Cumple"/>
    <n v="0"/>
    <n v="50000"/>
    <n v="0.95"/>
    <s v="Cumple"/>
    <n v="47500"/>
    <n v="50000"/>
    <n v="0.5"/>
    <s v="No Cumple"/>
    <n v="0"/>
    <s v="NO"/>
    <n v="0"/>
    <m/>
  </r>
  <r>
    <s v="REGIONAL ATLANTICO"/>
    <s v="BARRANQUILLA_2"/>
    <x v="2"/>
    <x v="6"/>
    <n v="250000"/>
    <n v="0.81587272727272719"/>
    <s v="No Cumple"/>
    <n v="0.95454545454545459"/>
    <s v="Cumple"/>
    <n v="150000"/>
    <n v="0.5984666666666667"/>
    <s v="No Cumple"/>
    <n v="0"/>
    <n v="50000"/>
    <n v="0.95"/>
    <s v="Cumple"/>
    <n v="47500"/>
    <n v="50000"/>
    <n v="0.5"/>
    <s v="No Cumple"/>
    <n v="0"/>
    <s v="NO"/>
    <n v="0"/>
    <m/>
  </r>
  <r>
    <s v="REGIONAL ATLANTICO"/>
    <s v="BARRANQUILLA_3"/>
    <x v="2"/>
    <x v="6"/>
    <n v="250000"/>
    <n v="0.88816363636363638"/>
    <s v="No Cumple"/>
    <n v="0.9642857142857143"/>
    <s v="Cumple"/>
    <n v="150000"/>
    <n v="0.91533333333333333"/>
    <s v="Cumple"/>
    <n v="135000"/>
    <n v="50000"/>
    <n v="0.95"/>
    <s v="Cumple"/>
    <n v="47500"/>
    <n v="50000"/>
    <n v="0.5"/>
    <s v="No Cumple"/>
    <n v="0"/>
    <s v="NO"/>
    <n v="0"/>
    <m/>
  </r>
  <r>
    <s v="REGIONAL ATLANTICO"/>
    <s v="BARRANQUILLA_4"/>
    <x v="2"/>
    <x v="6"/>
    <n v="250000"/>
    <n v="0.80165454545454551"/>
    <s v="No Cumple"/>
    <n v="1"/>
    <s v="Cumple"/>
    <n v="150000"/>
    <n v="0.61340000000000006"/>
    <s v="No Cumple"/>
    <n v="0"/>
    <n v="50000"/>
    <n v="0.95"/>
    <s v="Cumple"/>
    <n v="47500"/>
    <n v="50000"/>
    <n v="0.5"/>
    <s v="No Cumple"/>
    <n v="0"/>
    <s v="NO"/>
    <n v="0"/>
    <m/>
  </r>
  <r>
    <s v="REGIONAL ATLANTICO"/>
    <s v="BARRANQUILLA_5"/>
    <x v="2"/>
    <x v="6"/>
    <n v="250000"/>
    <n v="0.76715454545454553"/>
    <s v="No Cumple"/>
    <n v="0.88888888888888884"/>
    <s v="No Cumple"/>
    <n v="150000"/>
    <n v="0.44443333333333329"/>
    <s v="No Cumple"/>
    <n v="0"/>
    <n v="50000"/>
    <n v="0.95"/>
    <s v="Cumple"/>
    <n v="47500"/>
    <n v="50000"/>
    <n v="1"/>
    <s v="Cumple"/>
    <n v="50000"/>
    <s v="NO"/>
    <n v="0"/>
    <m/>
  </r>
  <r>
    <s v="REGIONAL COSTA PERIFERIA"/>
    <s v="CARTAGENA_1"/>
    <x v="2"/>
    <x v="6"/>
    <n v="250000"/>
    <n v="0.85227272727272729"/>
    <s v="No Cumple"/>
    <n v="1"/>
    <s v="Cumple"/>
    <n v="150000"/>
    <n v="0.50556666666666672"/>
    <s v="No Cumple"/>
    <n v="0"/>
    <n v="50000"/>
    <n v="0.95"/>
    <s v="Cumple"/>
    <n v="47500"/>
    <n v="50000"/>
    <n v="0.5"/>
    <s v="No Cumple"/>
    <n v="0"/>
    <s v="NO"/>
    <n v="0"/>
    <m/>
  </r>
  <r>
    <s v="REGIONAL COSTA PERIFERIA"/>
    <s v="CARTAGENA_2"/>
    <x v="2"/>
    <x v="6"/>
    <n v="250000"/>
    <n v="0.87129090909090923"/>
    <s v="No Cumple"/>
    <n v="0.96296296296296291"/>
    <s v="Cumple"/>
    <n v="150000"/>
    <n v="0.58183333333333331"/>
    <s v="No Cumple"/>
    <n v="0"/>
    <n v="50000"/>
    <n v="0.95"/>
    <s v="Cumple"/>
    <n v="47500"/>
    <n v="50000"/>
    <n v="0.5"/>
    <s v="No Cumple"/>
    <n v="0"/>
    <s v="NO"/>
    <n v="0"/>
    <m/>
  </r>
  <r>
    <s v="REGIONAL COSTA PERIFERIA"/>
    <s v="CARTAGENA_3"/>
    <x v="2"/>
    <x v="6"/>
    <n v="250000"/>
    <n v="0.77189090909090907"/>
    <s v="No Cumple"/>
    <n v="0.96"/>
    <s v="Cumple"/>
    <n v="150000"/>
    <n v="0.44980000000000003"/>
    <s v="No Cumple"/>
    <n v="0"/>
    <n v="50000"/>
    <n v="0.95"/>
    <s v="Cumple"/>
    <n v="47500"/>
    <n v="50000"/>
    <n v="0.5"/>
    <s v="No Cumple"/>
    <n v="0"/>
    <s v="NO"/>
    <n v="0"/>
    <m/>
  </r>
  <r>
    <s v="REGIONAL COSTA PERIFERIA"/>
    <s v="SANTA MARTA_1"/>
    <x v="2"/>
    <x v="6"/>
    <n v="250000"/>
    <n v="0.79692727272727271"/>
    <s v="No Cumple"/>
    <n v="1"/>
    <s v="Cumple"/>
    <n v="150000"/>
    <n v="0.5949333333333332"/>
    <s v="No Cumple"/>
    <n v="0"/>
    <n v="50000"/>
    <n v="0.95"/>
    <s v="Cumple"/>
    <n v="47500"/>
    <n v="50000"/>
    <n v="0.49469999999999997"/>
    <s v="No Cumple"/>
    <n v="0"/>
    <s v="NO"/>
    <n v="0"/>
    <m/>
  </r>
  <r>
    <s v="REGIONAL COSTA PERIFERIA"/>
    <s v="SANTA MARTA_2"/>
    <x v="2"/>
    <x v="6"/>
    <n v="250000"/>
    <n v="0.76105454545454554"/>
    <s v="No Cumple"/>
    <n v="1"/>
    <s v="Cumple"/>
    <n v="150000"/>
    <n v="0.51383333333333336"/>
    <s v="No Cumple"/>
    <n v="0"/>
    <n v="50000"/>
    <n v="0.95"/>
    <s v="Cumple"/>
    <n v="47500"/>
    <n v="50000"/>
    <n v="0.5"/>
    <s v="No Cumple"/>
    <n v="0"/>
    <s v="NO"/>
    <n v="0"/>
    <m/>
  </r>
  <r>
    <s v="REGIONAL ATLANTICO"/>
    <s v="SOLEDAD_1"/>
    <x v="2"/>
    <x v="6"/>
    <n v="250000"/>
    <n v="0.79361818181818211"/>
    <s v="No Cumple"/>
    <n v="1"/>
    <s v="Cumple"/>
    <n v="150000"/>
    <n v="0.41783333333333333"/>
    <s v="No Cumple"/>
    <n v="0"/>
    <n v="50000"/>
    <n v="0.95"/>
    <s v="Cumple"/>
    <n v="47500"/>
    <n v="50000"/>
    <n v="0.99324999999999997"/>
    <s v="No Cumple"/>
    <n v="0"/>
    <s v="NO"/>
    <n v="0"/>
    <m/>
  </r>
  <r>
    <s v="REGIONAL PERIFERIA"/>
    <s v="VIJ_1"/>
    <x v="1"/>
    <x v="7"/>
    <n v="250000"/>
    <n v="0.82598181818181826"/>
    <s v="No Cumple"/>
    <n v="0.875"/>
    <s v="No Cumple"/>
    <n v="150000"/>
    <n v="0.63683333333333336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10"/>
    <x v="1"/>
    <x v="7"/>
    <n v="250000"/>
    <n v="0.76119999999999988"/>
    <s v="No Cumple"/>
    <n v="0.77777777777777779"/>
    <s v="No Cumple"/>
    <n v="150000"/>
    <n v="0.36109999999999998"/>
    <s v="No Cumple"/>
    <n v="0"/>
    <n v="50000"/>
    <n v="0.95"/>
    <s v="Cumple"/>
    <n v="47500"/>
    <n v="50000"/>
    <n v="0.99255000000000004"/>
    <s v="No Cumple"/>
    <n v="0"/>
    <s v="NO"/>
    <n v="0"/>
    <m/>
  </r>
  <r>
    <s v="REGIONAL PERIFERIA"/>
    <s v="VIJ_11"/>
    <x v="1"/>
    <x v="7"/>
    <n v="250000"/>
    <n v="0.82840000000000014"/>
    <s v="No Cumple"/>
    <n v="1"/>
    <s v="Cumple"/>
    <n v="150000"/>
    <n v="0.76429999999999998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12"/>
    <x v="1"/>
    <x v="7"/>
    <n v="250000"/>
    <n v="0.74914545454545456"/>
    <s v="No Cumple"/>
    <n v="0.91666666666666663"/>
    <s v="No Cumple"/>
    <n v="150000"/>
    <n v="0.39433333333333337"/>
    <s v="No Cumple"/>
    <n v="0"/>
    <n v="50000"/>
    <n v="0.95"/>
    <s v="Cumple"/>
    <n v="47500"/>
    <n v="50000"/>
    <n v="0.96199999999999997"/>
    <s v="No Cumple"/>
    <n v="0"/>
    <s v="NO"/>
    <n v="0"/>
    <m/>
  </r>
  <r>
    <s v="REGIONAL PERIFERIA"/>
    <s v="VIJ_13"/>
    <x v="1"/>
    <x v="7"/>
    <n v="250000"/>
    <n v="0.78275454545454548"/>
    <s v="No Cumple"/>
    <n v="0.875"/>
    <s v="No Cumple"/>
    <n v="150000"/>
    <n v="0.40563333333333335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14"/>
    <x v="1"/>
    <x v="7"/>
    <n v="250000"/>
    <n v="0.72260000000000002"/>
    <s v="No Cumple"/>
    <n v="0.8"/>
    <s v="No Cumple"/>
    <n v="150000"/>
    <n v="0.3276"/>
    <s v="No Cumple"/>
    <n v="0"/>
    <n v="50000"/>
    <n v="0.95"/>
    <s v="Cumple"/>
    <n v="47500"/>
    <n v="50000"/>
    <n v="0.98280000000000001"/>
    <s v="No Cumple"/>
    <n v="0"/>
    <s v="NO"/>
    <n v="0"/>
    <m/>
  </r>
  <r>
    <s v="REGIONAL PERIFERIA"/>
    <s v="VIJ_15"/>
    <x v="1"/>
    <x v="7"/>
    <n v="250000"/>
    <n v="0.74503636363636361"/>
    <s v="No Cumple"/>
    <n v="0.94117647058823528"/>
    <s v="No Cumple"/>
    <n v="150000"/>
    <n v="0.33333333333333331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16"/>
    <x v="1"/>
    <x v="7"/>
    <n v="250000"/>
    <n v="0.79571818181818188"/>
    <s v="No Cumple"/>
    <n v="0.94117647058823528"/>
    <s v="No Cumple"/>
    <n v="150000"/>
    <n v="0.42996666666666666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17"/>
    <x v="1"/>
    <x v="7"/>
    <n v="250000"/>
    <n v="0.82714545454545452"/>
    <s v="No Cumple"/>
    <n v="0.84615384615384615"/>
    <s v="No Cumple"/>
    <n v="150000"/>
    <n v="0.42756666666666665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2"/>
    <x v="1"/>
    <x v="7"/>
    <n v="250000"/>
    <n v="0.86898181818181797"/>
    <s v="No Cumple"/>
    <n v="1"/>
    <s v="Cumple"/>
    <n v="150000"/>
    <n v="0.85293333333333321"/>
    <s v="Cumple"/>
    <n v="120000"/>
    <n v="50000"/>
    <n v="0.95"/>
    <s v="Cumple"/>
    <n v="47500"/>
    <n v="50000"/>
    <n v="1"/>
    <s v="Cumple"/>
    <n v="50000"/>
    <s v="NO"/>
    <n v="0"/>
    <m/>
  </r>
  <r>
    <s v="REGIONAL PERIFERIA"/>
    <s v="VIJ_3"/>
    <x v="1"/>
    <x v="7"/>
    <n v="250000"/>
    <n v="0.74595454545454554"/>
    <s v="No Cumple"/>
    <n v="1"/>
    <s v="Cumple"/>
    <n v="150000"/>
    <n v="0.37683333333333335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4"/>
    <x v="1"/>
    <x v="7"/>
    <n v="250000"/>
    <n v="0.67727272727272714"/>
    <s v="No Cumple"/>
    <n v="1"/>
    <s v="Cumple"/>
    <n v="150000"/>
    <n v="0.31109999999999999"/>
    <s v="No Cumple"/>
    <n v="0"/>
    <n v="50000"/>
    <n v="0.95"/>
    <s v="Cumple"/>
    <n v="47500"/>
    <n v="50000"/>
    <n v="0.97499999999999998"/>
    <s v="No Cumple"/>
    <n v="0"/>
    <s v="NO"/>
    <n v="0"/>
    <m/>
  </r>
  <r>
    <s v="REGIONAL PERIFERIA"/>
    <s v="VIJ_5"/>
    <x v="1"/>
    <x v="7"/>
    <n v="250000"/>
    <n v="0.38425454545454546"/>
    <s v="No Cumple"/>
    <n v="0.88235294117647056"/>
    <s v="No Cumple"/>
    <n v="150000"/>
    <n v="0.17169999999999999"/>
    <s v="No Cumple"/>
    <n v="0"/>
    <n v="50000"/>
    <n v="0.95"/>
    <s v="Cumple"/>
    <n v="47500"/>
    <n v="50000"/>
    <n v="0.94664999999999999"/>
    <s v="No Cumple"/>
    <n v="0"/>
    <s v="NO"/>
    <n v="0"/>
    <m/>
  </r>
  <r>
    <s v="REGIONAL PERIFERIA"/>
    <s v="VIJ_6"/>
    <x v="1"/>
    <x v="7"/>
    <n v="250000"/>
    <n v="0.82099999999999984"/>
    <s v="No Cumple"/>
    <n v="1"/>
    <s v="Cumple"/>
    <n v="150000"/>
    <n v="0.68066666666666664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7"/>
    <x v="1"/>
    <x v="7"/>
    <n v="250000"/>
    <n v="0.76918181818181819"/>
    <s v="No Cumple"/>
    <n v="1"/>
    <s v="Cumple"/>
    <n v="150000"/>
    <n v="0.59393333333333331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8"/>
    <x v="1"/>
    <x v="7"/>
    <n v="250000"/>
    <n v="0.79091818181818185"/>
    <s v="No Cumple"/>
    <n v="0.9"/>
    <s v="No Cumple"/>
    <n v="150000"/>
    <n v="0.33333333333333331"/>
    <s v="No Cumple"/>
    <n v="0"/>
    <n v="50000"/>
    <n v="0.95"/>
    <s v="Cumple"/>
    <n v="47500"/>
    <n v="50000"/>
    <n v="1"/>
    <s v="Cumple"/>
    <n v="50000"/>
    <s v="NO"/>
    <n v="0"/>
    <m/>
  </r>
  <r>
    <s v="REGIONAL PERIFERIA"/>
    <s v="VIJ_9"/>
    <x v="1"/>
    <x v="7"/>
    <n v="250000"/>
    <n v="0.54912727272727269"/>
    <s v="No Cumple"/>
    <n v="1"/>
    <s v="Cumple"/>
    <n v="150000"/>
    <n v="0.32163333333333333"/>
    <s v="No Cumple"/>
    <n v="0"/>
    <n v="50000"/>
    <n v="0.95"/>
    <s v="Cumple"/>
    <n v="47500"/>
    <n v="50000"/>
    <n v="0.80200000000000005"/>
    <s v="No Cumple"/>
    <n v="0"/>
    <s v="NO"/>
    <n v="0"/>
    <m/>
  </r>
  <r>
    <s v="REGIONAL EJE"/>
    <s v="ARMENIA_1"/>
    <x v="2"/>
    <x v="8"/>
    <n v="250000"/>
    <n v="0.79049090909090902"/>
    <s v="No Cumple"/>
    <n v="0.9"/>
    <s v="No Cumple"/>
    <n v="150000"/>
    <n v="0.71229999999999993"/>
    <s v="No Cumple"/>
    <n v="0"/>
    <n v="50000"/>
    <n v="0.95"/>
    <s v="Cumple"/>
    <n v="47500"/>
    <n v="50000"/>
    <n v="0.5"/>
    <s v="No Cumple"/>
    <n v="0"/>
    <s v="NO"/>
    <n v="0"/>
    <m/>
  </r>
  <r>
    <s v="REGIONAL EJE"/>
    <s v="ARMENIA_2"/>
    <x v="2"/>
    <x v="8"/>
    <n v="250000"/>
    <n v="0.80227272727272725"/>
    <s v="No Cumple"/>
    <n v="0.9"/>
    <s v="No Cumple"/>
    <n v="150000"/>
    <n v="0.71583333333333332"/>
    <s v="No Cumple"/>
    <n v="0"/>
    <n v="50000"/>
    <n v="0.95"/>
    <s v="Cumple"/>
    <n v="47500"/>
    <n v="50000"/>
    <n v="0.5"/>
    <s v="No Cumple"/>
    <n v="0"/>
    <s v="NO"/>
    <n v="0"/>
    <m/>
  </r>
  <r>
    <s v="REGIONAL EJE"/>
    <s v="CARTAGO_1"/>
    <x v="2"/>
    <x v="8"/>
    <n v="250000"/>
    <n v="0.77805454545454533"/>
    <s v="No Cumple"/>
    <n v="0.94736842105263153"/>
    <s v="No Cumple"/>
    <n v="150000"/>
    <n v="0.70289999999999997"/>
    <s v="No Cumple"/>
    <n v="0"/>
    <n v="50000"/>
    <n v="0.95"/>
    <s v="Cumple"/>
    <n v="47500"/>
    <n v="50000"/>
    <n v="0.5"/>
    <s v="No Cumple"/>
    <n v="0"/>
    <s v="NO"/>
    <n v="0"/>
    <m/>
  </r>
  <r>
    <s v="REGIONAL EJE"/>
    <s v="DOSQUEBRADAS_1"/>
    <x v="2"/>
    <x v="8"/>
    <n v="250000"/>
    <n v="0.53720909090909086"/>
    <s v="No Cumple"/>
    <n v="1"/>
    <s v="Cumple"/>
    <n v="150000"/>
    <n v="0.57576666666666665"/>
    <s v="No Cumple"/>
    <n v="0"/>
    <n v="50000"/>
    <n v="0.95"/>
    <s v="Cumple"/>
    <n v="47500"/>
    <n v="50000"/>
    <n v="0.72729999999999995"/>
    <s v="No Cumple"/>
    <n v="0"/>
    <s v="NO"/>
    <n v="0"/>
    <m/>
  </r>
  <r>
    <s v="REGIONAL EJE"/>
    <s v="DOSQUEBRADAS_2"/>
    <x v="2"/>
    <x v="8"/>
    <n v="250000"/>
    <n v="0.78260909090909081"/>
    <s v="No Cumple"/>
    <n v="0.88235294117647056"/>
    <s v="No Cumple"/>
    <n v="150000"/>
    <n v="0.51633333333333331"/>
    <s v="No Cumple"/>
    <n v="0"/>
    <n v="50000"/>
    <n v="0.95"/>
    <s v="Cumple"/>
    <n v="47500"/>
    <n v="50000"/>
    <n v="0.5"/>
    <s v="No Cumple"/>
    <n v="0"/>
    <s v="NO"/>
    <n v="0"/>
    <m/>
  </r>
  <r>
    <s v="REGIONAL EJE"/>
    <s v="MANIZALES_1"/>
    <x v="2"/>
    <x v="8"/>
    <n v="250000"/>
    <n v="0.8538"/>
    <s v="No Cumple"/>
    <n v="0.94736842105263153"/>
    <s v="No Cumple"/>
    <n v="150000"/>
    <n v="0.84723333333333339"/>
    <s v="Cumple"/>
    <n v="120000"/>
    <n v="50000"/>
    <n v="0.95"/>
    <s v="Cumple"/>
    <n v="47500"/>
    <n v="50000"/>
    <n v="0.5"/>
    <s v="No Cumple"/>
    <n v="0"/>
    <s v="NO"/>
    <n v="0"/>
    <m/>
  </r>
  <r>
    <s v="REGIONAL EJE"/>
    <s v="MANIZALES_2"/>
    <x v="2"/>
    <x v="8"/>
    <n v="250000"/>
    <n v="0.7662363636363636"/>
    <s v="No Cumple"/>
    <n v="0.94444444444444442"/>
    <s v="No Cumple"/>
    <n v="150000"/>
    <n v="0.60383333333333333"/>
    <s v="No Cumple"/>
    <n v="0"/>
    <n v="50000"/>
    <n v="0.95"/>
    <s v="Cumple"/>
    <n v="47500"/>
    <n v="50000"/>
    <n v="0.5"/>
    <s v="No Cumple"/>
    <n v="0"/>
    <s v="NO"/>
    <n v="0"/>
    <m/>
  </r>
  <r>
    <s v="REGIONAL EJE"/>
    <s v="MANIZALES_3"/>
    <x v="2"/>
    <x v="8"/>
    <n v="250000"/>
    <n v="0.79444545454545434"/>
    <s v="No Cumple"/>
    <n v="0.88235294117647056"/>
    <s v="No Cumple"/>
    <n v="150000"/>
    <n v="0.61863333333333337"/>
    <s v="No Cumple"/>
    <n v="0"/>
    <n v="50000"/>
    <n v="0.95"/>
    <s v="Cumple"/>
    <n v="47500"/>
    <n v="50000"/>
    <n v="0.99099999999999999"/>
    <s v="No Cumple"/>
    <n v="0"/>
    <s v="NO"/>
    <n v="0"/>
    <m/>
  </r>
  <r>
    <s v="REGIONAL EJE"/>
    <s v="PEREIRA_1"/>
    <x v="2"/>
    <x v="8"/>
    <n v="250000"/>
    <n v="0.75879090909090907"/>
    <s v="No Cumple"/>
    <n v="1"/>
    <s v="Cumple"/>
    <n v="150000"/>
    <n v="0.62816666666666665"/>
    <s v="No Cumple"/>
    <n v="0"/>
    <n v="50000"/>
    <n v="0.95"/>
    <s v="Cumple"/>
    <n v="47500"/>
    <n v="50000"/>
    <n v="0.5"/>
    <s v="No Cumple"/>
    <n v="0"/>
    <s v="NO"/>
    <n v="0"/>
    <m/>
  </r>
  <r>
    <s v="REGIONAL EJE"/>
    <s v="PEREIRA_2"/>
    <x v="2"/>
    <x v="8"/>
    <n v="250000"/>
    <n v="0.76104545454545469"/>
    <s v="No Cumple"/>
    <n v="1"/>
    <s v="Cumple"/>
    <n v="150000"/>
    <n v="0.59576666666666667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BUGA_1"/>
    <x v="2"/>
    <x v="9"/>
    <n v="250000"/>
    <n v="0.78153636363636358"/>
    <s v="No Cumple"/>
    <n v="0.92307692307692313"/>
    <s v="No Cumple"/>
    <n v="150000"/>
    <n v="0.38013333333333338"/>
    <s v="No Cumple"/>
    <n v="0"/>
    <n v="50000"/>
    <n v="0.95"/>
    <s v="Cumple"/>
    <n v="47500"/>
    <n v="50000"/>
    <n v="0.98250000000000004"/>
    <s v="No Cumple"/>
    <n v="0"/>
    <s v="NO"/>
    <n v="0"/>
    <m/>
  </r>
  <r>
    <s v="REGIONAL PACIFICO"/>
    <s v="CALI_1"/>
    <x v="2"/>
    <x v="9"/>
    <n v="250000"/>
    <n v="0.73636363636363633"/>
    <s v="No Cumple"/>
    <n v="0.66666666666666663"/>
    <s v="No Cumple"/>
    <n v="150000"/>
    <n v="0.36109999999999998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14"/>
    <x v="2"/>
    <x v="9"/>
    <n v="250000"/>
    <n v="0.8077545454545455"/>
    <s v="No Cumple"/>
    <n v="1"/>
    <s v="Cumple"/>
    <n v="150000"/>
    <n v="0.35520000000000002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CALI_3"/>
    <x v="2"/>
    <x v="9"/>
    <n v="250000"/>
    <n v="0.77181818181818196"/>
    <s v="No Cumple"/>
    <n v="1"/>
    <s v="Cumple"/>
    <n v="150000"/>
    <n v="0.4129666666666667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5"/>
    <x v="2"/>
    <x v="9"/>
    <n v="250000"/>
    <n v="0.75952727272727261"/>
    <s v="No Cumple"/>
    <n v="1"/>
    <s v="Cumple"/>
    <n v="150000"/>
    <n v="0.36210000000000003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CALI_6"/>
    <x v="2"/>
    <x v="9"/>
    <n v="250000"/>
    <n v="0.74268181818181811"/>
    <s v="No Cumple"/>
    <n v="1"/>
    <s v="Cumple"/>
    <n v="150000"/>
    <n v="0.48333333333333334"/>
    <s v="No Cumple"/>
    <n v="0"/>
    <n v="50000"/>
    <n v="0.95"/>
    <s v="Cumple"/>
    <n v="47500"/>
    <n v="50000"/>
    <n v="0.48304999999999998"/>
    <s v="No Cumple"/>
    <n v="0"/>
    <s v="NO"/>
    <n v="0"/>
    <m/>
  </r>
  <r>
    <s v="REGIONAL PACIFICO"/>
    <s v="CALI_7"/>
    <x v="2"/>
    <x v="9"/>
    <n v="250000"/>
    <n v="0.76329999999999998"/>
    <s v="No Cumple"/>
    <n v="0.8"/>
    <s v="No Cumple"/>
    <n v="150000"/>
    <n v="0.33333333333333331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9"/>
    <x v="2"/>
    <x v="9"/>
    <n v="250000"/>
    <n v="0.48588181818181814"/>
    <s v="No Cumple"/>
    <n v="0.6"/>
    <s v="No Cumple"/>
    <n v="150000"/>
    <n v="0.47746666666666665"/>
    <s v="No Cumple"/>
    <n v="0"/>
    <n v="50000"/>
    <n v="0.95"/>
    <s v="Cumple"/>
    <n v="47500"/>
    <n v="50000"/>
    <n v="0.58620000000000005"/>
    <s v="No Cumple"/>
    <n v="0"/>
    <s v="NO"/>
    <n v="0"/>
    <m/>
  </r>
  <r>
    <s v="REGIONAL PACIFICO"/>
    <s v="PALMIRA_1"/>
    <x v="2"/>
    <x v="9"/>
    <n v="250000"/>
    <n v="0.73012727272727274"/>
    <s v="No Cumple"/>
    <n v="1"/>
    <s v="Cumple"/>
    <n v="150000"/>
    <n v="0.3404666666666667"/>
    <s v="No Cumple"/>
    <n v="0"/>
    <n v="50000"/>
    <n v="0.95"/>
    <s v="Cumple"/>
    <n v="47500"/>
    <n v="50000"/>
    <n v="0.98440000000000005"/>
    <s v="No Cumple"/>
    <n v="0"/>
    <s v="NO"/>
    <n v="0"/>
    <m/>
  </r>
  <r>
    <s v="REGIONAL PACIFICO"/>
    <s v="PALMIRA_2"/>
    <x v="2"/>
    <x v="9"/>
    <n v="250000"/>
    <n v="0.76107272727272735"/>
    <s v="No Cumple"/>
    <n v="0.88888888888888884"/>
    <s v="No Cumple"/>
    <n v="150000"/>
    <n v="0.52253333333333341"/>
    <s v="No Cumple"/>
    <n v="0"/>
    <n v="50000"/>
    <n v="0.95"/>
    <s v="Cumple"/>
    <n v="47500"/>
    <n v="50000"/>
    <n v="0.97670000000000001"/>
    <s v="No Cumple"/>
    <n v="0"/>
    <s v="NO"/>
    <n v="0"/>
    <m/>
  </r>
  <r>
    <s v="REGIONAL PACIFICO"/>
    <s v="PASTO_1"/>
    <x v="2"/>
    <x v="9"/>
    <n v="250000"/>
    <n v="0.81439090909090905"/>
    <s v="No Cumple"/>
    <n v="0.83333333333333337"/>
    <s v="No Cumple"/>
    <n v="150000"/>
    <n v="0.41310000000000002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TULUA_1"/>
    <x v="2"/>
    <x v="9"/>
    <n v="250000"/>
    <n v="0.81191818181818176"/>
    <s v="No Cumple"/>
    <n v="1"/>
    <s v="Cumple"/>
    <n v="150000"/>
    <n v="0.46429999999999999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YUMBO_1"/>
    <x v="2"/>
    <x v="9"/>
    <n v="250000"/>
    <n v="0.75828181818181806"/>
    <s v="No Cumple"/>
    <n v="1"/>
    <s v="Cumple"/>
    <n v="150000"/>
    <n v="0.3358666666666667"/>
    <s v="No Cumple"/>
    <n v="0"/>
    <n v="50000"/>
    <n v="0.95"/>
    <s v="Cumple"/>
    <n v="47500"/>
    <n v="50000"/>
    <n v="0.97729999999999995"/>
    <s v="No Cumple"/>
    <n v="0"/>
    <s v="NO"/>
    <n v="0"/>
    <m/>
  </r>
  <r>
    <s v="REGIONAL BOGOTA"/>
    <s v="SOC_1"/>
    <x v="0"/>
    <x v="4"/>
    <n v="250000"/>
    <n v="0.77711818181818171"/>
    <s v="No Cumple"/>
    <n v="1"/>
    <s v="Cumple"/>
    <n v="150000"/>
    <n v="0.59856666666666669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SOC_10"/>
    <x v="0"/>
    <x v="4"/>
    <n v="250000"/>
    <n v="0.82110909090909101"/>
    <s v="No Cumple"/>
    <n v="1"/>
    <s v="Cumple"/>
    <n v="150000"/>
    <n v="0.7161333333333334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SOC_11"/>
    <x v="0"/>
    <x v="4"/>
    <n v="250000"/>
    <n v="0.7461363636363636"/>
    <s v="No Cumple"/>
    <n v="1"/>
    <s v="Cumple"/>
    <n v="150000"/>
    <n v="0.68493333333333328"/>
    <s v="No Cumple"/>
    <n v="0"/>
    <n v="50000"/>
    <n v="0.95"/>
    <s v="Cumple"/>
    <n v="47500"/>
    <n v="50000"/>
    <n v="0.93504999999999994"/>
    <s v="No Cumple"/>
    <n v="0"/>
    <s v="NO"/>
    <n v="0"/>
    <m/>
  </r>
  <r>
    <s v="REGIONAL BOGOTA"/>
    <s v="SOC_12"/>
    <x v="0"/>
    <x v="4"/>
    <n v="250000"/>
    <n v="0.80471818181818189"/>
    <s v="No Cumple"/>
    <n v="1"/>
    <s v="Cumple"/>
    <n v="150000"/>
    <n v="0.35803333333333337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13"/>
    <x v="0"/>
    <x v="4"/>
    <n v="250000"/>
    <n v="0.8561727272727272"/>
    <s v="No Cumple"/>
    <n v="1"/>
    <s v="Cumple"/>
    <n v="150000"/>
    <n v="0.65063333333333329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14"/>
    <x v="0"/>
    <x v="4"/>
    <n v="250000"/>
    <n v="0.75589090909090906"/>
    <s v="No Cumple"/>
    <n v="1"/>
    <s v="Cumple"/>
    <n v="150000"/>
    <n v="0.49806666666666666"/>
    <s v="No Cumple"/>
    <n v="0"/>
    <n v="50000"/>
    <n v="0.95"/>
    <s v="Cumple"/>
    <n v="47500"/>
    <n v="50000"/>
    <n v="0.98609999999999998"/>
    <s v="No Cumple"/>
    <n v="0"/>
    <s v="NO"/>
    <n v="0"/>
    <m/>
  </r>
  <r>
    <s v="REGIONAL BOGOTA"/>
    <s v="SOC_15"/>
    <x v="0"/>
    <x v="4"/>
    <n v="250000"/>
    <n v="0.75394545454545459"/>
    <s v="No Cumple"/>
    <n v="1"/>
    <s v="Cumple"/>
    <n v="150000"/>
    <n v="0.63406666666666667"/>
    <s v="No Cumple"/>
    <n v="0"/>
    <n v="50000"/>
    <n v="0.95"/>
    <s v="Cumple"/>
    <n v="47500"/>
    <n v="50000"/>
    <n v="0.99334999999999996"/>
    <s v="No Cumple"/>
    <n v="0"/>
    <s v="NO"/>
    <n v="0"/>
    <m/>
  </r>
  <r>
    <s v="REGIONAL BOGOTA"/>
    <s v="SOC_16"/>
    <x v="0"/>
    <x v="4"/>
    <n v="250000"/>
    <n v="0.77742727272727274"/>
    <s v="No Cumple"/>
    <n v="1"/>
    <s v="Cumple"/>
    <n v="150000"/>
    <n v="0.46743333333333331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17"/>
    <x v="0"/>
    <x v="4"/>
    <n v="250000"/>
    <n v="0.77994545454545472"/>
    <s v="No Cumple"/>
    <n v="1"/>
    <s v="Cumple"/>
    <n v="150000"/>
    <n v="0.57589999999999997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18"/>
    <x v="0"/>
    <x v="4"/>
    <n v="250000"/>
    <n v="0.80043636363636361"/>
    <s v="No Cumple"/>
    <n v="1"/>
    <s v="Cumple"/>
    <n v="150000"/>
    <n v="0.53599999999999992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2"/>
    <x v="0"/>
    <x v="4"/>
    <n v="250000"/>
    <n v="0.762709090909091"/>
    <s v="No Cumple"/>
    <n v="1"/>
    <s v="Cumple"/>
    <n v="150000"/>
    <n v="0.51129999999999998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3"/>
    <x v="0"/>
    <x v="4"/>
    <n v="250000"/>
    <n v="0.76290909090909098"/>
    <s v="No Cumple"/>
    <n v="0.77777777777777779"/>
    <s v="No Cumple"/>
    <n v="150000"/>
    <n v="0.42280000000000006"/>
    <s v="No Cumple"/>
    <n v="0"/>
    <n v="50000"/>
    <n v="0.95"/>
    <s v="Cumple"/>
    <n v="47500"/>
    <n v="50000"/>
    <n v="0.99324999999999997"/>
    <s v="No Cumple"/>
    <n v="0"/>
    <s v="NO"/>
    <n v="0"/>
    <m/>
  </r>
  <r>
    <s v="REGIONAL BOGOTA"/>
    <s v="SOC_4"/>
    <x v="0"/>
    <x v="4"/>
    <n v="250000"/>
    <n v="0.85074545454545458"/>
    <s v="No Cumple"/>
    <n v="1"/>
    <s v="Cumple"/>
    <n v="150000"/>
    <n v="0.74256666666666671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5"/>
    <x v="0"/>
    <x v="4"/>
    <n v="250000"/>
    <n v="0.80537272727272724"/>
    <s v="No Cumple"/>
    <n v="1"/>
    <s v="Cumple"/>
    <n v="150000"/>
    <n v="0.58450000000000002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6"/>
    <x v="0"/>
    <x v="4"/>
    <n v="250000"/>
    <n v="0.91861818181818178"/>
    <s v="No Cumple"/>
    <n v="0.95"/>
    <s v="Cumple"/>
    <n v="150000"/>
    <n v="0.9345"/>
    <s v="Cumple"/>
    <n v="135000"/>
    <n v="50000"/>
    <n v="0.95"/>
    <s v="Cumple"/>
    <n v="47500"/>
    <n v="50000"/>
    <n v="1"/>
    <s v="Cumple"/>
    <n v="50000"/>
    <s v="NO"/>
    <n v="0"/>
    <m/>
  </r>
  <r>
    <s v="REGIONAL BOGOTA"/>
    <s v="SOC_7"/>
    <x v="0"/>
    <x v="4"/>
    <n v="250000"/>
    <n v="0.79864545454545455"/>
    <s v="No Cumple"/>
    <n v="0.95652173913043481"/>
    <s v="Cumple"/>
    <n v="150000"/>
    <n v="0.53230000000000011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SOC_8"/>
    <x v="0"/>
    <x v="4"/>
    <n v="250000"/>
    <n v="0.7474727272727274"/>
    <s v="No Cumple"/>
    <n v="0.9375"/>
    <s v="No Cumple"/>
    <n v="150000"/>
    <n v="0.50306666666666666"/>
    <s v="No Cumple"/>
    <n v="0"/>
    <n v="50000"/>
    <n v="0.95"/>
    <s v="Cumple"/>
    <n v="47500"/>
    <n v="50000"/>
    <n v="0.9899"/>
    <s v="No Cumple"/>
    <n v="0"/>
    <s v="NO"/>
    <n v="0"/>
    <m/>
  </r>
  <r>
    <s v="REGIONAL BOGOTA"/>
    <s v="SOC_9"/>
    <x v="0"/>
    <x v="4"/>
    <n v="250000"/>
    <n v="0.87151818181818186"/>
    <s v="No Cumple"/>
    <n v="1"/>
    <s v="Cumple"/>
    <n v="150000"/>
    <n v="0.95853333333333335"/>
    <s v="Cumple"/>
    <n v="0"/>
    <n v="50000"/>
    <n v="0.95"/>
    <s v="Cumple"/>
    <n v="47500"/>
    <n v="50000"/>
    <n v="1"/>
    <s v="Cumple"/>
    <n v="50000"/>
    <s v="NO"/>
    <n v="0"/>
    <m/>
  </r>
  <r>
    <s v="REGIONAL ESTE"/>
    <s v="BARRANCABERMEJA_1"/>
    <x v="2"/>
    <x v="10"/>
    <n v="250000"/>
    <n v="0.81480909090909104"/>
    <s v="No Cumple"/>
    <n v="1"/>
    <s v="Cumple"/>
    <n v="150000"/>
    <n v="0.53613333333333335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BARRANCABERMEJA_2"/>
    <x v="2"/>
    <x v="10"/>
    <n v="250000"/>
    <n v="0.75973636363636354"/>
    <s v="No Cumple"/>
    <n v="1"/>
    <s v="Cumple"/>
    <n v="150000"/>
    <n v="0.70236666666666669"/>
    <s v="No Cumple"/>
    <n v="0"/>
    <n v="50000"/>
    <n v="0.95"/>
    <s v="Cumple"/>
    <n v="47500"/>
    <n v="50000"/>
    <n v="1"/>
    <s v="Cumple"/>
    <n v="50000"/>
    <s v="NO"/>
    <n v="0"/>
    <m/>
  </r>
  <r>
    <s v="REGIONAL ESTE"/>
    <s v="BUCARAMANGA_1"/>
    <x v="2"/>
    <x v="10"/>
    <n v="250000"/>
    <n v="0.76018181818181818"/>
    <s v="No Cumple"/>
    <n v="1"/>
    <s v="Cumple"/>
    <n v="150000"/>
    <n v="0.58906666666666674"/>
    <s v="No Cumple"/>
    <n v="0"/>
    <n v="50000"/>
    <n v="0.95"/>
    <s v="Cumple"/>
    <n v="47500"/>
    <n v="50000"/>
    <n v="1"/>
    <s v="Cumple"/>
    <n v="50000"/>
    <s v="NO"/>
    <n v="0"/>
    <m/>
  </r>
  <r>
    <s v="REGIONAL ESTE"/>
    <s v="BUCARAMANGA_2"/>
    <x v="2"/>
    <x v="10"/>
    <n v="250000"/>
    <n v="0.78149999999999986"/>
    <s v="No Cumple"/>
    <n v="1"/>
    <s v="Cumple"/>
    <n v="150000"/>
    <n v="0.71519999999999995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BUCARAMANGA_3"/>
    <x v="2"/>
    <x v="10"/>
    <n v="250000"/>
    <n v="0.76564545454545463"/>
    <s v="No Cumple"/>
    <n v="1"/>
    <s v="Cumple"/>
    <n v="150000"/>
    <n v="0.40506666666666669"/>
    <s v="No Cumple"/>
    <n v="0"/>
    <n v="50000"/>
    <n v="0.95"/>
    <s v="Cumple"/>
    <n v="47500"/>
    <n v="50000"/>
    <n v="0.98440000000000005"/>
    <s v="No Cumple"/>
    <n v="0"/>
    <s v="NO"/>
    <n v="0"/>
    <m/>
  </r>
  <r>
    <s v="REGIONAL ESTE"/>
    <s v="BUCARAMANGA_4"/>
    <x v="2"/>
    <x v="10"/>
    <n v="250000"/>
    <n v="0.7487818181818181"/>
    <s v="No Cumple"/>
    <n v="1"/>
    <s v="Cumple"/>
    <n v="150000"/>
    <n v="0.39303333333333335"/>
    <s v="No Cumple"/>
    <n v="0"/>
    <n v="50000"/>
    <n v="0.95"/>
    <s v="Cumple"/>
    <n v="47500"/>
    <n v="50000"/>
    <n v="0.98680000000000001"/>
    <s v="No Cumple"/>
    <n v="0"/>
    <s v="NO"/>
    <n v="0"/>
    <m/>
  </r>
  <r>
    <s v="REGIONAL ESTE"/>
    <s v="BUCARAMANGA_5"/>
    <x v="2"/>
    <x v="10"/>
    <n v="250000"/>
    <n v="0.76468181818181824"/>
    <s v="No Cumple"/>
    <n v="0.93333333333333335"/>
    <s v="No Cumple"/>
    <n v="150000"/>
    <n v="0.69589999999999996"/>
    <s v="No Cumple"/>
    <n v="0"/>
    <n v="50000"/>
    <n v="0.95"/>
    <s v="Cumple"/>
    <n v="47500"/>
    <n v="50000"/>
    <n v="0.49409999999999998"/>
    <s v="No Cumple"/>
    <n v="0"/>
    <s v="NO"/>
    <n v="0"/>
    <m/>
  </r>
  <r>
    <s v="REGIONAL ESTE"/>
    <s v="BUCARAMANGA_6"/>
    <x v="2"/>
    <x v="10"/>
    <n v="250000"/>
    <n v="0.77224545454545457"/>
    <s v="No Cumple"/>
    <n v="1"/>
    <s v="Cumple"/>
    <n v="150000"/>
    <n v="0.66220000000000001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BUCARAMANGA_7"/>
    <x v="2"/>
    <x v="10"/>
    <n v="250000"/>
    <n v="0.77765454545454549"/>
    <s v="No Cumple"/>
    <n v="0.90909090909090906"/>
    <s v="No Cumple"/>
    <n v="150000"/>
    <n v="0.58106666666666673"/>
    <s v="No Cumple"/>
    <n v="0"/>
    <n v="50000"/>
    <n v="0.95"/>
    <s v="Cumple"/>
    <n v="47500"/>
    <n v="50000"/>
    <n v="1"/>
    <s v="Cumple"/>
    <n v="50000"/>
    <s v="NO"/>
    <n v="0"/>
    <m/>
  </r>
  <r>
    <s v="REGIONAL ESTE"/>
    <s v="BUCARAMANGA_8"/>
    <x v="2"/>
    <x v="10"/>
    <n v="250000"/>
    <n v="0.80039999999999989"/>
    <s v="No Cumple"/>
    <n v="1"/>
    <s v="Cumple"/>
    <n v="150000"/>
    <n v="0.71376666666666677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BUCARAMANGA_9"/>
    <x v="2"/>
    <x v="10"/>
    <n v="250000"/>
    <n v="0.85429999999999995"/>
    <s v="No Cumple"/>
    <n v="1"/>
    <s v="Cumple"/>
    <n v="150000"/>
    <n v="0.76056666666666661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CUCUTA_1"/>
    <x v="2"/>
    <x v="10"/>
    <n v="250000"/>
    <n v="0.77709090909090905"/>
    <s v="No Cumple"/>
    <n v="0.9375"/>
    <s v="No Cumple"/>
    <n v="150000"/>
    <n v="0.73396666666666677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CUCUTA_2"/>
    <x v="2"/>
    <x v="10"/>
    <n v="250000"/>
    <n v="0.81150000000000011"/>
    <s v="No Cumple"/>
    <n v="1"/>
    <s v="Cumple"/>
    <n v="150000"/>
    <n v="0.75490000000000002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CUCUTA_3"/>
    <x v="2"/>
    <x v="10"/>
    <n v="250000"/>
    <n v="0.81819090909090919"/>
    <s v="No Cumple"/>
    <n v="0.89473684210526316"/>
    <s v="No Cumple"/>
    <n v="150000"/>
    <n v="0.72226666666666661"/>
    <s v="No Cumple"/>
    <n v="0"/>
    <n v="50000"/>
    <n v="0.95"/>
    <s v="Cumple"/>
    <n v="47500"/>
    <n v="50000"/>
    <n v="1"/>
    <s v="Cumple"/>
    <n v="50000"/>
    <s v="NO"/>
    <n v="0"/>
    <m/>
  </r>
  <r>
    <s v="REGIONAL ESTE"/>
    <s v="CUCUTA_4"/>
    <x v="2"/>
    <x v="10"/>
    <n v="250000"/>
    <n v="0.77070000000000005"/>
    <s v="No Cumple"/>
    <n v="0.83333333333333337"/>
    <s v="No Cumple"/>
    <n v="150000"/>
    <n v="0.6303333333333333"/>
    <s v="No Cumple"/>
    <n v="0"/>
    <n v="50000"/>
    <n v="0.95"/>
    <s v="Cumple"/>
    <n v="47500"/>
    <n v="50000"/>
    <n v="0.5"/>
    <s v="No Cumple"/>
    <n v="0"/>
    <s v="NO"/>
    <n v="0"/>
    <m/>
  </r>
  <r>
    <s v="REGIONAL ESTE"/>
    <s v="GIRÓN_1"/>
    <x v="2"/>
    <x v="10"/>
    <n v="250000"/>
    <n v="0.776590909090909"/>
    <s v="No Cumple"/>
    <n v="1"/>
    <s v="Cumple"/>
    <n v="150000"/>
    <n v="0.67166666666666652"/>
    <s v="No Cumple"/>
    <n v="0"/>
    <n v="50000"/>
    <n v="0.95"/>
    <s v="Cumple"/>
    <n v="47500"/>
    <n v="50000"/>
    <n v="0.99399999999999999"/>
    <s v="No Cumple"/>
    <n v="0"/>
    <s v="NO"/>
    <n v="0"/>
    <m/>
  </r>
  <r>
    <s v="REGIONAL ESTE"/>
    <s v="GIRÓN_2"/>
    <x v="2"/>
    <x v="10"/>
    <n v="250000"/>
    <n v="0.77338181818181806"/>
    <s v="No Cumple"/>
    <n v="1"/>
    <s v="Cumple"/>
    <n v="150000"/>
    <n v="0.60483333333333333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10"/>
    <x v="2"/>
    <x v="11"/>
    <n v="250000"/>
    <n v="0.8475454545454546"/>
    <s v="No Cumple"/>
    <n v="1"/>
    <s v="Cumple"/>
    <n v="150000"/>
    <n v="0.82350000000000001"/>
    <s v="Cumple"/>
    <n v="120000"/>
    <n v="50000"/>
    <n v="0.95"/>
    <s v="Cumple"/>
    <n v="47500"/>
    <n v="50000"/>
    <n v="0.5"/>
    <s v="No Cumple"/>
    <n v="0"/>
    <s v="NO"/>
    <n v="0"/>
    <m/>
  </r>
  <r>
    <s v="REGIONAL PACIFICO"/>
    <s v="CALI_11"/>
    <x v="2"/>
    <x v="11"/>
    <n v="250000"/>
    <n v="0.83440909090909088"/>
    <s v="No Cumple"/>
    <n v="1"/>
    <s v="Cumple"/>
    <n v="150000"/>
    <n v="0.41899999999999998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CALI_12"/>
    <x v="2"/>
    <x v="11"/>
    <n v="250000"/>
    <n v="0.70810909090909102"/>
    <s v="No Cumple"/>
    <n v="0.58333333333333337"/>
    <s v="No Cumple"/>
    <n v="150000"/>
    <n v="0.29823333333333335"/>
    <s v="No Cumple"/>
    <n v="0"/>
    <n v="50000"/>
    <n v="0.95"/>
    <s v="Cumple"/>
    <n v="47500"/>
    <n v="50000"/>
    <n v="0.89470000000000005"/>
    <s v="No Cumple"/>
    <n v="0"/>
    <s v="NO"/>
    <n v="0"/>
    <m/>
  </r>
  <r>
    <s v="REGIONAL PACIFICO"/>
    <s v="CALI_13"/>
    <x v="2"/>
    <x v="11"/>
    <n v="250000"/>
    <n v="0.82828181818181823"/>
    <s v="No Cumple"/>
    <n v="1"/>
    <s v="Cumple"/>
    <n v="150000"/>
    <n v="0.59523333333333328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15"/>
    <x v="2"/>
    <x v="11"/>
    <n v="250000"/>
    <n v="0.82155454545454554"/>
    <s v="No Cumple"/>
    <n v="0.8571428571428571"/>
    <s v="No Cumple"/>
    <n v="150000"/>
    <n v="0.61730000000000007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CALI_16"/>
    <x v="2"/>
    <x v="11"/>
    <n v="250000"/>
    <n v="0.76262727272727271"/>
    <s v="No Cumple"/>
    <n v="1"/>
    <s v="Cumple"/>
    <n v="150000"/>
    <n v="0.52083333333333337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17"/>
    <x v="2"/>
    <x v="11"/>
    <n v="250000"/>
    <n v="0.75681818181818172"/>
    <s v="No Cumple"/>
    <n v="0.90909090909090906"/>
    <s v="No Cumple"/>
    <n v="150000"/>
    <n v="0.40860000000000002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18"/>
    <x v="2"/>
    <x v="11"/>
    <n v="250000"/>
    <n v="0.800009090909091"/>
    <s v="No Cumple"/>
    <n v="1"/>
    <s v="Cumple"/>
    <n v="150000"/>
    <n v="0.42553333333333332"/>
    <s v="No Cumple"/>
    <n v="0"/>
    <n v="50000"/>
    <n v="0.95"/>
    <s v="Cumple"/>
    <n v="47500"/>
    <n v="50000"/>
    <n v="1"/>
    <s v="Cumple"/>
    <n v="50000"/>
    <s v="NO"/>
    <n v="0"/>
    <m/>
  </r>
  <r>
    <s v="REGIONAL PACIFICO"/>
    <s v="CALI_19"/>
    <x v="2"/>
    <x v="11"/>
    <n v="250000"/>
    <n v="0.92803636363636377"/>
    <s v="No Cumple"/>
    <n v="1"/>
    <s v="Cumple"/>
    <n v="150000"/>
    <n v="0.74670000000000003"/>
    <s v="No Cumple"/>
    <n v="0"/>
    <n v="50000"/>
    <n v="0.95"/>
    <s v="Cumple"/>
    <n v="47500"/>
    <n v="50000"/>
    <n v="0.5"/>
    <s v="No Cumple"/>
    <n v="0"/>
    <s v="NO"/>
    <n v="0"/>
    <m/>
  </r>
  <r>
    <s v="REGIONAL PACIFICO"/>
    <s v="CALI_2"/>
    <x v="2"/>
    <x v="11"/>
    <n v="250000"/>
    <n v="0.78182727272727282"/>
    <s v="No Cumple"/>
    <n v="1"/>
    <s v="Cumple"/>
    <n v="150000"/>
    <n v="0.71110000000000007"/>
    <s v="No Cumple"/>
    <n v="0"/>
    <n v="50000"/>
    <n v="0.95"/>
    <s v="Cumple"/>
    <n v="47500"/>
    <n v="50000"/>
    <n v="0.98334999999999995"/>
    <s v="No Cumple"/>
    <n v="0"/>
    <s v="NO"/>
    <n v="0"/>
    <m/>
  </r>
  <r>
    <s v="REGIONAL PACIFICO"/>
    <s v="CALI_4"/>
    <x v="2"/>
    <x v="11"/>
    <n v="250000"/>
    <n v="0.73587272727272712"/>
    <s v="No Cumple"/>
    <n v="0.875"/>
    <s v="No Cumple"/>
    <n v="150000"/>
    <n v="0.5067666666666667"/>
    <s v="No Cumple"/>
    <n v="0"/>
    <n v="50000"/>
    <n v="0.95"/>
    <s v="Cumple"/>
    <n v="47500"/>
    <n v="50000"/>
    <n v="0.45284999999999997"/>
    <s v="No Cumple"/>
    <n v="0"/>
    <s v="NO"/>
    <n v="0"/>
    <m/>
  </r>
  <r>
    <s v="REGIONAL PACIFICO"/>
    <s v="CALI_8"/>
    <x v="2"/>
    <x v="11"/>
    <n v="250000"/>
    <n v="0.8316636363636366"/>
    <s v="No Cumple"/>
    <n v="1"/>
    <s v="Cumple"/>
    <n v="150000"/>
    <n v="0.68396666666666661"/>
    <s v="No Cumple"/>
    <n v="0"/>
    <n v="50000"/>
    <n v="0.95"/>
    <s v="Cumple"/>
    <n v="47500"/>
    <n v="50000"/>
    <n v="0.49075000000000002"/>
    <s v="No Cumple"/>
    <n v="0"/>
    <s v="NO"/>
    <n v="0"/>
    <m/>
  </r>
  <r>
    <s v="REGIONAL PACIFICO"/>
    <s v="POPAYAN_1"/>
    <x v="2"/>
    <x v="11"/>
    <n v="250000"/>
    <n v="0.86429090909090922"/>
    <s v="No Cumple"/>
    <n v="1"/>
    <s v="Cumple"/>
    <n v="150000"/>
    <n v="0.82303333333333339"/>
    <s v="Cumple"/>
    <n v="120000"/>
    <n v="50000"/>
    <n v="0.95"/>
    <s v="Cumple"/>
    <n v="47500"/>
    <n v="50000"/>
    <n v="0.5"/>
    <s v="No Cumple"/>
    <n v="0"/>
    <s v="NO"/>
    <n v="0"/>
    <m/>
  </r>
  <r>
    <s v="REGIONAL ANTIOQUIA"/>
    <s v="BELLO_1"/>
    <x v="2"/>
    <x v="12"/>
    <n v="250000"/>
    <n v="0.81072727272727263"/>
    <s v="No Cumple"/>
    <n v="1"/>
    <s v="Cumple"/>
    <n v="150000"/>
    <n v="0.66489999999999994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BELLO_2"/>
    <x v="2"/>
    <x v="12"/>
    <n v="250000"/>
    <n v="0.76818181818181808"/>
    <s v="No Cumple"/>
    <n v="1"/>
    <s v="Cumple"/>
    <n v="150000"/>
    <n v="0.69446666666666668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GIRARDOTA_1"/>
    <x v="2"/>
    <x v="12"/>
    <n v="250000"/>
    <n v="0.72473636363636362"/>
    <s v="No Cumple"/>
    <n v="1"/>
    <s v="Cumple"/>
    <n v="150000"/>
    <n v="0.46526666666666666"/>
    <s v="No Cumple"/>
    <n v="0"/>
    <n v="50000"/>
    <n v="0.95"/>
    <s v="Cumple"/>
    <n v="47500"/>
    <n v="50000"/>
    <n v="0.43459999999999999"/>
    <s v="No Cumple"/>
    <n v="0"/>
    <s v="NO"/>
    <n v="0"/>
    <m/>
  </r>
  <r>
    <s v="REGIONAL ANTIOQUIA"/>
    <s v="MEDELLIN_10"/>
    <x v="2"/>
    <x v="12"/>
    <n v="250000"/>
    <n v="0.80481818181818177"/>
    <s v="No Cumple"/>
    <n v="0.94117647058823528"/>
    <s v="No Cumple"/>
    <n v="150000"/>
    <n v="0.6830666666666666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MEDELLIN_11"/>
    <x v="2"/>
    <x v="12"/>
    <n v="250000"/>
    <n v="0.80733636363636374"/>
    <s v="No Cumple"/>
    <n v="0.95"/>
    <s v="Cumple"/>
    <n v="150000"/>
    <n v="0.46416666666666662"/>
    <s v="No Cumple"/>
    <n v="0"/>
    <n v="50000"/>
    <n v="0.95"/>
    <s v="Cumple"/>
    <n v="47500"/>
    <n v="50000"/>
    <n v="0.4965"/>
    <s v="No Cumple"/>
    <n v="0"/>
    <s v="NO"/>
    <n v="0"/>
    <m/>
  </r>
  <r>
    <s v="REGIONAL ANTIOQUIA"/>
    <s v="MEDELLIN_12"/>
    <x v="2"/>
    <x v="12"/>
    <n v="250000"/>
    <n v="0.78473636363636379"/>
    <s v="No Cumple"/>
    <n v="0.93333333333333335"/>
    <s v="No Cumple"/>
    <n v="150000"/>
    <n v="0.69136666666666668"/>
    <s v="No Cumple"/>
    <n v="0"/>
    <n v="50000"/>
    <n v="0.95"/>
    <s v="Cumple"/>
    <n v="47500"/>
    <n v="50000"/>
    <n v="0.5"/>
    <s v="No Cumple"/>
    <n v="0"/>
    <s v="NO"/>
    <n v="0"/>
    <m/>
  </r>
  <r>
    <s v="REGIONAL ANTIOQUIA"/>
    <s v="MEDELLIN_2"/>
    <x v="2"/>
    <x v="12"/>
    <n v="250000"/>
    <n v="0.7593545454545455"/>
    <s v="No Cumple"/>
    <n v="0.875"/>
    <s v="No Cumple"/>
    <n v="150000"/>
    <n v="0.46690000000000004"/>
    <s v="No Cumple"/>
    <n v="0"/>
    <n v="50000"/>
    <n v="0.95"/>
    <s v="Cumple"/>
    <n v="47500"/>
    <n v="50000"/>
    <n v="0.49264999999999998"/>
    <s v="No Cumple"/>
    <n v="0"/>
    <s v="NO"/>
    <n v="0"/>
    <m/>
  </r>
  <r>
    <s v="REGIONAL ANTIOQUIA"/>
    <s v="MEDELLIN_4"/>
    <x v="2"/>
    <x v="12"/>
    <n v="250000"/>
    <n v="0.8062454545454546"/>
    <s v="No Cumple"/>
    <n v="0.8571428571428571"/>
    <s v="No Cumple"/>
    <n v="150000"/>
    <n v="0.73043333333333338"/>
    <s v="No Cumple"/>
    <n v="0"/>
    <n v="50000"/>
    <n v="0.95"/>
    <s v="Cumple"/>
    <n v="47500"/>
    <n v="50000"/>
    <n v="0.49180000000000001"/>
    <s v="No Cumple"/>
    <n v="0"/>
    <s v="NO"/>
    <n v="0"/>
    <m/>
  </r>
  <r>
    <s v="REGIONAL ANTIOQUIA"/>
    <s v="MEDELLIN_5"/>
    <x v="2"/>
    <x v="12"/>
    <n v="250000"/>
    <n v="0.71885454545454541"/>
    <s v="No Cumple"/>
    <n v="0.8571428571428571"/>
    <s v="No Cumple"/>
    <n v="150000"/>
    <n v="0.74230000000000007"/>
    <s v="No Cumple"/>
    <n v="0"/>
    <n v="50000"/>
    <n v="0.95"/>
    <s v="Cumple"/>
    <n v="47500"/>
    <n v="50000"/>
    <n v="0.47220000000000001"/>
    <s v="No Cumple"/>
    <n v="0"/>
    <s v="NO"/>
    <n v="0"/>
    <m/>
  </r>
  <r>
    <s v="REGIONAL ANTIOQUIA"/>
    <s v="MEDELLIN_8"/>
    <x v="2"/>
    <x v="12"/>
    <n v="250000"/>
    <n v="0.76791818181818183"/>
    <s v="No Cumple"/>
    <n v="0.93333333333333335"/>
    <s v="No Cumple"/>
    <n v="150000"/>
    <n v="0.65973333333333339"/>
    <s v="No Cumple"/>
    <n v="0"/>
    <n v="50000"/>
    <n v="0.95"/>
    <s v="Cumple"/>
    <n v="47500"/>
    <n v="50000"/>
    <n v="0.49469999999999997"/>
    <s v="No Cumple"/>
    <n v="0"/>
    <s v="NO"/>
    <n v="0"/>
    <m/>
  </r>
  <r>
    <s v="REGIONAL ANTIOQUIA"/>
    <s v="MEDELLIN_9"/>
    <x v="2"/>
    <x v="12"/>
    <n v="250000"/>
    <n v="0.80380909090909103"/>
    <s v="No Cumple"/>
    <n v="0.8571428571428571"/>
    <s v="No Cumple"/>
    <n v="150000"/>
    <n v="0.54759999999999998"/>
    <s v="No Cumple"/>
    <n v="0"/>
    <n v="50000"/>
    <n v="0.95"/>
    <s v="Cumple"/>
    <n v="47500"/>
    <n v="50000"/>
    <n v="0.49585000000000001"/>
    <s v="No Cumple"/>
    <n v="0"/>
    <s v="NO"/>
    <n v="0"/>
    <m/>
  </r>
  <r>
    <s v="REGIONAL BOGOTA"/>
    <s v="NTE_1"/>
    <x v="1"/>
    <x v="1"/>
    <n v="250000"/>
    <n v="0.72020909090909091"/>
    <s v="No Cumple"/>
    <n v="1"/>
    <s v="Cumple"/>
    <n v="150000"/>
    <n v="0.32529999999999998"/>
    <s v="No Cumple"/>
    <n v="0"/>
    <n v="50000"/>
    <n v="0.95"/>
    <s v="Cumple"/>
    <n v="47500"/>
    <n v="50000"/>
    <n v="0.4889"/>
    <s v="No Cumple"/>
    <n v="0"/>
    <s v="NO"/>
    <n v="0"/>
    <m/>
  </r>
  <r>
    <s v="REGIONAL BOGOTA"/>
    <s v="NTE_10"/>
    <x v="1"/>
    <x v="1"/>
    <n v="250000"/>
    <n v="0.75001818181818181"/>
    <s v="No Cumple"/>
    <n v="0.66666666666666663"/>
    <s v="No Cumple"/>
    <n v="150000"/>
    <n v="0.3571333333333333"/>
    <s v="No Cumple"/>
    <n v="0"/>
    <n v="50000"/>
    <n v="0.95"/>
    <s v="Cumple"/>
    <n v="47500"/>
    <n v="50000"/>
    <n v="0.48959999999999998"/>
    <s v="No Cumple"/>
    <n v="0"/>
    <s v="NO"/>
    <n v="0"/>
    <m/>
  </r>
  <r>
    <s v="REGIONAL BOGOTA"/>
    <s v="NTE_11"/>
    <x v="1"/>
    <x v="1"/>
    <n v="250000"/>
    <n v="0.81818181818181823"/>
    <s v="No Cumple"/>
    <n v="0.5"/>
    <s v="No Cumple"/>
    <n v="150000"/>
    <n v="0.33333333333333331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NTE_12"/>
    <x v="1"/>
    <x v="1"/>
    <n v="250000"/>
    <n v="0.77272727272727271"/>
    <s v="No Cumple"/>
    <n v="0.88235294117647056"/>
    <s v="No Cumple"/>
    <n v="150000"/>
    <n v="0.46376666666666666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13"/>
    <x v="1"/>
    <x v="1"/>
    <n v="250000"/>
    <n v="0.78738181818181829"/>
    <s v="No Cumple"/>
    <n v="0.68181818181818177"/>
    <s v="No Cumple"/>
    <n v="150000"/>
    <n v="0.41799999999999998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14"/>
    <x v="1"/>
    <x v="1"/>
    <n v="250000"/>
    <n v="0.77271818181818186"/>
    <s v="No Cumple"/>
    <n v="1"/>
    <s v="Cumple"/>
    <n v="150000"/>
    <n v="0.59046666666666658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15"/>
    <x v="1"/>
    <x v="1"/>
    <n v="250000"/>
    <n v="0.75151818181818186"/>
    <s v="No Cumple"/>
    <n v="1"/>
    <s v="Cumple"/>
    <n v="150000"/>
    <n v="0.45833333333333331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NTE_16"/>
    <x v="1"/>
    <x v="1"/>
    <n v="250000"/>
    <n v="0.75196363636363628"/>
    <s v="No Cumple"/>
    <n v="0.84615384615384615"/>
    <s v="No Cumple"/>
    <n v="150000"/>
    <n v="0.33743333333333331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2"/>
    <x v="1"/>
    <x v="1"/>
    <n v="250000"/>
    <n v="0.65192727272727269"/>
    <s v="No Cumple"/>
    <n v="0.75"/>
    <s v="No Cumple"/>
    <n v="150000"/>
    <n v="0.32329999999999998"/>
    <s v="No Cumple"/>
    <n v="0"/>
    <n v="50000"/>
    <n v="0.95"/>
    <s v="Cumple"/>
    <n v="47500"/>
    <n v="50000"/>
    <n v="0.88570000000000004"/>
    <s v="No Cumple"/>
    <n v="0"/>
    <s v="NO"/>
    <n v="0"/>
    <m/>
  </r>
  <r>
    <s v="REGIONAL BOGOTA"/>
    <s v="NTE_3"/>
    <x v="1"/>
    <x v="1"/>
    <n v="250000"/>
    <n v="0.89951818181818188"/>
    <s v="No Cumple"/>
    <n v="1"/>
    <s v="Cumple"/>
    <n v="150000"/>
    <n v="0.57893333333333341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4"/>
    <x v="1"/>
    <x v="1"/>
    <n v="250000"/>
    <n v="0.79231818181818181"/>
    <s v="No Cumple"/>
    <n v="1"/>
    <s v="Cumple"/>
    <n v="150000"/>
    <n v="0.45870000000000005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5"/>
    <x v="1"/>
    <x v="1"/>
    <n v="250000"/>
    <n v="0.74380000000000013"/>
    <s v="No Cumple"/>
    <n v="0.76923076923076927"/>
    <s v="No Cumple"/>
    <n v="150000"/>
    <n v="0.33939999999999998"/>
    <s v="No Cumple"/>
    <n v="0"/>
    <n v="50000"/>
    <n v="0.95"/>
    <s v="Cumple"/>
    <n v="47500"/>
    <n v="50000"/>
    <n v="0.5"/>
    <s v="No Cumple"/>
    <n v="0"/>
    <s v="NO"/>
    <n v="0"/>
    <m/>
  </r>
  <r>
    <s v="REGIONAL BOGOTA"/>
    <s v="NTE_6"/>
    <x v="1"/>
    <x v="1"/>
    <n v="250000"/>
    <n v="0.61128181818181815"/>
    <s v="No Cumple"/>
    <n v="0.66666666666666663"/>
    <s v="No Cumple"/>
    <n v="150000"/>
    <n v="0.37586666666666663"/>
    <s v="No Cumple"/>
    <n v="0"/>
    <n v="50000"/>
    <n v="0.95"/>
    <s v="Cumple"/>
    <n v="47500"/>
    <n v="50000"/>
    <n v="0.91379999999999995"/>
    <s v="No Cumple"/>
    <n v="0"/>
    <s v="NO"/>
    <n v="0"/>
    <m/>
  </r>
  <r>
    <s v="REGIONAL BOGOTA"/>
    <s v="NTE_7"/>
    <x v="1"/>
    <x v="1"/>
    <n v="250000"/>
    <n v="0.78591818181818196"/>
    <s v="No Cumple"/>
    <n v="0.8"/>
    <s v="No Cumple"/>
    <n v="150000"/>
    <n v="0.58333333333333337"/>
    <s v="No Cumple"/>
    <n v="0"/>
    <n v="50000"/>
    <n v="0.95"/>
    <s v="Cumple"/>
    <n v="47500"/>
    <n v="50000"/>
    <n v="1"/>
    <s v="Cumple"/>
    <n v="50000"/>
    <s v="NO"/>
    <n v="0"/>
    <m/>
  </r>
  <r>
    <s v="REGIONAL BOGOTA"/>
    <s v="NTE_8"/>
    <x v="1"/>
    <x v="1"/>
    <n v="250000"/>
    <n v="0.69778181818181817"/>
    <s v="No Cumple"/>
    <n v="0.72727272727272729"/>
    <s v="No Cumple"/>
    <n v="150000"/>
    <n v="0.43009999999999998"/>
    <s v="No Cumple"/>
    <n v="0"/>
    <n v="50000"/>
    <n v="0.95"/>
    <s v="Cumple"/>
    <n v="47500"/>
    <n v="50000"/>
    <n v="0.45945000000000003"/>
    <s v="No Cumple"/>
    <n v="0"/>
    <s v="NO"/>
    <n v="0"/>
    <m/>
  </r>
  <r>
    <s v="REGIONAL BOGOTA"/>
    <s v="NTE_9"/>
    <x v="1"/>
    <x v="1"/>
    <n v="250000"/>
    <n v="0.78000000000000014"/>
    <s v="No Cumple"/>
    <n v="1"/>
    <s v="Cumple"/>
    <n v="150000"/>
    <n v="0.48666666666666664"/>
    <s v="No Cumple"/>
    <n v="0"/>
    <n v="50000"/>
    <n v="0.95"/>
    <s v="Cumple"/>
    <n v="47500"/>
    <n v="50000"/>
    <n v="0.49"/>
    <s v="No Cumple"/>
    <n v="0"/>
    <s v="NO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79E0B-702A-440B-867B-114BD74DF89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3:E17" firstHeaderRow="0" firstDataRow="1" firstDataCol="1"/>
  <pivotFields count="24">
    <pivotField showAll="0"/>
    <pivotField showAll="0"/>
    <pivotField showAll="0"/>
    <pivotField axis="axisRow" showAll="0">
      <items count="28">
        <item m="1" x="13"/>
        <item m="1" x="14"/>
        <item m="1" x="24"/>
        <item m="1" x="15"/>
        <item m="1" x="16"/>
        <item m="1" x="17"/>
        <item m="1" x="18"/>
        <item m="1" x="19"/>
        <item m="1" x="20"/>
        <item m="1" x="21"/>
        <item m="1" x="22"/>
        <item m="1" x="26"/>
        <item m="1" x="25"/>
        <item m="1" x="23"/>
        <item x="1"/>
        <item x="3"/>
        <item x="0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64" showAll="0"/>
    <pivotField numFmtId="9" showAll="0"/>
    <pivotField showAll="0"/>
    <pivotField numFmtId="9" showAll="0"/>
    <pivotField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showAll="0"/>
    <pivotField numFmtId="44" showAll="0"/>
    <pivotField showAll="0"/>
  </pivotFields>
  <rowFields count="1">
    <field x="3"/>
  </rowFields>
  <rowItems count="14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% Cumplimiento TP" fld="10" subtotal="average" baseField="3" baseItem="3" numFmtId="9"/>
    <dataField name=" % Cumplimiento Ventas" fld="14" subtotal="average" baseField="3" baseItem="3" numFmtId="9"/>
    <dataField name=" % Cumplimiento FC &amp; DV" fld="18" subtotal="average" baseField="3" baseItem="3" numFmtId="9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8187D-5DAF-4138-882C-8ECB0DCD87EE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44:D48" firstHeaderRow="0" firstDataRow="1" firstDataCol="1"/>
  <pivotFields count="24">
    <pivotField showAll="0"/>
    <pivotField showAll="0"/>
    <pivotField axis="axisRow" showAll="0">
      <items count="6">
        <item x="0"/>
        <item x="1"/>
        <item m="1" x="4"/>
        <item x="2"/>
        <item m="1" x="3"/>
        <item t="default"/>
      </items>
    </pivotField>
    <pivotField showAll="0">
      <items count="28">
        <item m="1" x="13"/>
        <item m="1" x="14"/>
        <item m="1" x="24"/>
        <item m="1" x="15"/>
        <item m="1" x="16"/>
        <item m="1" x="17"/>
        <item m="1" x="18"/>
        <item m="1" x="19"/>
        <item m="1" x="20"/>
        <item m="1" x="21"/>
        <item m="1" x="22"/>
        <item m="1" x="26"/>
        <item m="1" x="25"/>
        <item m="1" x="23"/>
        <item x="1"/>
        <item x="3"/>
        <item x="0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64" showAll="0"/>
    <pivotField dataField="1" numFmtId="9" showAll="0"/>
    <pivotField showAll="0"/>
    <pivotField dataField="1" numFmtId="9" showAll="0"/>
    <pivotField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showAll="0"/>
    <pivotField numFmtId="44" showAll="0"/>
    <pivotField showAll="0"/>
  </pivotFields>
  <rowFields count="1">
    <field x="2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% Cumpl. Captura" fld="5" subtotal="average" baseField="3" baseItem="0" numFmtId="9"/>
    <dataField name="Promedio de % Cumplimiento Cobertura" fld="7" subtotal="average" baseField="3" baseItem="0" numFmtId="9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3" type="button" dataOnly="0" labelOnly="1" outline="0"/>
    </format>
    <format dxfId="30">
      <pivotArea dataOnly="0" labelOnly="1" grandRow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/>
    </format>
    <format dxfId="26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A3405-8137-4DAF-A235-D9A1FDFDE794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27:D41" firstHeaderRow="0" firstDataRow="1" firstDataCol="1"/>
  <pivotFields count="24">
    <pivotField showAll="0"/>
    <pivotField showAll="0"/>
    <pivotField showAll="0"/>
    <pivotField axis="axisRow" showAll="0">
      <items count="28">
        <item m="1" x="13"/>
        <item m="1" x="14"/>
        <item m="1" x="24"/>
        <item m="1" x="15"/>
        <item m="1" x="16"/>
        <item m="1" x="17"/>
        <item m="1" x="18"/>
        <item m="1" x="19"/>
        <item m="1" x="20"/>
        <item m="1" x="21"/>
        <item m="1" x="22"/>
        <item m="1" x="26"/>
        <item m="1" x="25"/>
        <item m="1" x="23"/>
        <item x="1"/>
        <item x="3"/>
        <item x="0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64" showAll="0"/>
    <pivotField dataField="1" numFmtId="9" showAll="0"/>
    <pivotField showAll="0"/>
    <pivotField dataField="1" numFmtId="9" showAll="0"/>
    <pivotField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showAll="0"/>
    <pivotField numFmtId="44" showAll="0"/>
    <pivotField showAll="0"/>
  </pivotFields>
  <rowFields count="1">
    <field x="3"/>
  </rowFields>
  <rowItems count="14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% Cumpl. Captura" fld="5" subtotal="average" baseField="3" baseItem="0" numFmtId="9"/>
    <dataField name="Promedio de % Cumplimiento Cobertura" fld="7" subtotal="average" baseField="3" baseItem="0" numFmtId="9"/>
  </dataFields>
  <formats count="10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" type="button" dataOnly="0" labelOnly="1" outline="0" axis="axisRow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grandRow="1" outline="0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7CA1E-6DAB-4E72-9DE4-E71AD15CA5B9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20:E24" firstHeaderRow="0" firstDataRow="1" firstDataCol="1"/>
  <pivotFields count="24">
    <pivotField showAll="0"/>
    <pivotField showAll="0"/>
    <pivotField axis="axisRow" showAll="0">
      <items count="6">
        <item x="0"/>
        <item x="1"/>
        <item m="1" x="4"/>
        <item x="2"/>
        <item m="1" x="3"/>
        <item t="default"/>
      </items>
    </pivotField>
    <pivotField showAll="0">
      <items count="28">
        <item m="1" x="13"/>
        <item m="1" x="14"/>
        <item m="1" x="24"/>
        <item m="1" x="15"/>
        <item m="1" x="16"/>
        <item m="1" x="17"/>
        <item m="1" x="18"/>
        <item m="1" x="19"/>
        <item m="1" x="20"/>
        <item m="1" x="21"/>
        <item m="1" x="22"/>
        <item m="1" x="26"/>
        <item m="1" x="25"/>
        <item m="1" x="23"/>
        <item x="1"/>
        <item x="3"/>
        <item x="0"/>
        <item x="2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164" showAll="0"/>
    <pivotField numFmtId="9" showAll="0"/>
    <pivotField showAll="0"/>
    <pivotField numFmtId="9" showAll="0"/>
    <pivotField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showAll="0"/>
    <pivotField numFmtId="44" showAll="0"/>
    <pivotField showAll="0"/>
  </pivotFields>
  <rowFields count="1">
    <field x="2"/>
  </rowFields>
  <rowItems count="4"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% Cumplimiento TP" fld="10" subtotal="average" baseField="3" baseItem="3" numFmtId="9"/>
    <dataField name="Promedio de % Cumplimiento Ventas" fld="14" subtotal="average" baseField="3" baseItem="3" numFmtId="9"/>
    <dataField name="Promedio de % Cumplimiento FC &amp; DV" fld="18" subtotal="average" baseField="3" baseItem="3" numFmtId="9"/>
  </dataFields>
  <formats count="8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/>
    </format>
    <format dxfId="48">
      <pivotArea dataOnly="0" labelOnly="1" grandRow="1" outline="0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/>
    </format>
    <format dxfId="44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AEEC-F8FF-4262-9D34-5F9955307506}">
  <dimension ref="A1:S18"/>
  <sheetViews>
    <sheetView workbookViewId="0">
      <selection activeCell="Q28" sqref="Q28"/>
    </sheetView>
  </sheetViews>
  <sheetFormatPr baseColWidth="10" defaultRowHeight="15" x14ac:dyDescent="0.25"/>
  <cols>
    <col min="1" max="1" width="5.85546875" bestFit="1" customWidth="1"/>
    <col min="2" max="2" width="12" bestFit="1" customWidth="1"/>
    <col min="3" max="3" width="41.42578125" bestFit="1" customWidth="1"/>
    <col min="4" max="4" width="16.5703125" bestFit="1" customWidth="1"/>
    <col min="5" max="5" width="18.85546875" bestFit="1" customWidth="1"/>
    <col min="6" max="6" width="18.85546875" customWidth="1"/>
    <col min="7" max="7" width="19.42578125" bestFit="1" customWidth="1"/>
    <col min="8" max="8" width="12.28515625" bestFit="1" customWidth="1"/>
    <col min="9" max="9" width="16.85546875" bestFit="1" customWidth="1"/>
    <col min="10" max="10" width="24.42578125" bestFit="1" customWidth="1"/>
    <col min="11" max="11" width="10" bestFit="1" customWidth="1"/>
    <col min="12" max="12" width="16.85546875" bestFit="1" customWidth="1"/>
    <col min="13" max="13" width="24.140625" bestFit="1" customWidth="1"/>
    <col min="14" max="14" width="12" bestFit="1" customWidth="1"/>
    <col min="15" max="15" width="16.85546875" bestFit="1" customWidth="1"/>
    <col min="16" max="16" width="14.42578125" bestFit="1" customWidth="1"/>
    <col min="17" max="17" width="15.42578125" bestFit="1" customWidth="1"/>
    <col min="19" max="19" width="13.7109375" bestFit="1" customWidth="1"/>
  </cols>
  <sheetData>
    <row r="1" spans="1:19" x14ac:dyDescent="0.25">
      <c r="A1" s="54" t="s">
        <v>347</v>
      </c>
      <c r="B1" s="54" t="s">
        <v>245</v>
      </c>
      <c r="C1" s="54" t="s">
        <v>350</v>
      </c>
      <c r="D1" s="54" t="s">
        <v>294</v>
      </c>
      <c r="E1" s="54" t="s">
        <v>295</v>
      </c>
      <c r="F1" s="54" t="s">
        <v>353</v>
      </c>
      <c r="G1" s="55" t="s">
        <v>288</v>
      </c>
      <c r="H1" s="55" t="s">
        <v>289</v>
      </c>
      <c r="I1" s="55" t="s">
        <v>10</v>
      </c>
      <c r="J1" s="66" t="s">
        <v>292</v>
      </c>
      <c r="K1" s="66" t="s">
        <v>293</v>
      </c>
      <c r="L1" s="66" t="s">
        <v>10</v>
      </c>
      <c r="M1" s="56" t="s">
        <v>290</v>
      </c>
      <c r="N1" s="56" t="s">
        <v>291</v>
      </c>
      <c r="O1" s="56" t="s">
        <v>10</v>
      </c>
      <c r="P1" s="54" t="s">
        <v>7</v>
      </c>
      <c r="Q1" s="54" t="s">
        <v>8</v>
      </c>
      <c r="R1" s="54" t="s">
        <v>232</v>
      </c>
      <c r="S1" s="54" t="s">
        <v>296</v>
      </c>
    </row>
    <row r="2" spans="1:19" x14ac:dyDescent="0.25">
      <c r="A2" s="57" t="s">
        <v>348</v>
      </c>
      <c r="B2" s="57" t="s">
        <v>214</v>
      </c>
      <c r="C2" s="57" t="s">
        <v>241</v>
      </c>
      <c r="D2" s="58">
        <v>0.79407662337662355</v>
      </c>
      <c r="E2" s="58">
        <v>0.96165106829481284</v>
      </c>
      <c r="F2" s="58">
        <v>0.87786384583571819</v>
      </c>
      <c r="G2" s="69">
        <v>240000</v>
      </c>
      <c r="H2" s="70">
        <v>0.59095510204081614</v>
      </c>
      <c r="I2" s="69">
        <v>141829.22448979586</v>
      </c>
      <c r="J2" s="67">
        <v>80000</v>
      </c>
      <c r="K2" s="68">
        <v>0.95000000000000051</v>
      </c>
      <c r="L2" s="67">
        <v>76000.000000000044</v>
      </c>
      <c r="M2" s="64">
        <v>80000</v>
      </c>
      <c r="N2" s="65">
        <v>0.85826224489795921</v>
      </c>
      <c r="O2" s="64">
        <v>64000</v>
      </c>
      <c r="P2" s="60">
        <v>400000</v>
      </c>
      <c r="Q2" s="62">
        <v>281829.22448979592</v>
      </c>
      <c r="R2" s="57"/>
      <c r="S2" s="57" t="s">
        <v>246</v>
      </c>
    </row>
    <row r="3" spans="1:19" x14ac:dyDescent="0.25">
      <c r="A3" s="57" t="s">
        <v>348</v>
      </c>
      <c r="B3" s="57" t="s">
        <v>214</v>
      </c>
      <c r="C3" s="57" t="s">
        <v>242</v>
      </c>
      <c r="D3" s="58">
        <v>0.73291654545454532</v>
      </c>
      <c r="E3" s="58">
        <v>0.90862360515301677</v>
      </c>
      <c r="F3" s="58">
        <v>0.82077007530378099</v>
      </c>
      <c r="G3" s="69">
        <v>240000</v>
      </c>
      <c r="H3" s="70">
        <v>0.45459200000000005</v>
      </c>
      <c r="I3" s="69">
        <v>0</v>
      </c>
      <c r="J3" s="67">
        <v>80000</v>
      </c>
      <c r="K3" s="68">
        <v>0.95000000000000062</v>
      </c>
      <c r="L3" s="67">
        <v>76000.000000000044</v>
      </c>
      <c r="M3" s="64">
        <v>80000</v>
      </c>
      <c r="N3" s="65">
        <v>0.74107900000000015</v>
      </c>
      <c r="O3" s="64">
        <v>0</v>
      </c>
      <c r="P3" s="60">
        <v>400000</v>
      </c>
      <c r="Q3" s="62">
        <v>76000.000000000044</v>
      </c>
      <c r="R3" s="57"/>
      <c r="S3" s="57" t="s">
        <v>246</v>
      </c>
    </row>
    <row r="4" spans="1:19" x14ac:dyDescent="0.25">
      <c r="A4" s="57" t="s">
        <v>348</v>
      </c>
      <c r="B4" s="57" t="s">
        <v>214</v>
      </c>
      <c r="C4" s="57" t="s">
        <v>243</v>
      </c>
      <c r="D4" s="58">
        <v>0.78428580183861107</v>
      </c>
      <c r="E4" s="58">
        <v>0.94727881337466691</v>
      </c>
      <c r="F4" s="58">
        <v>0.86578230760663899</v>
      </c>
      <c r="G4" s="69">
        <v>240000</v>
      </c>
      <c r="H4" s="70">
        <v>0.57371460674157315</v>
      </c>
      <c r="I4" s="69">
        <v>137691.50561797756</v>
      </c>
      <c r="J4" s="67">
        <v>80000</v>
      </c>
      <c r="K4" s="68">
        <v>0.95000000000000151</v>
      </c>
      <c r="L4" s="67">
        <v>76000.000000000116</v>
      </c>
      <c r="M4" s="64">
        <v>80000</v>
      </c>
      <c r="N4" s="65">
        <v>0.66103539325842697</v>
      </c>
      <c r="O4" s="64">
        <v>0</v>
      </c>
      <c r="P4" s="60">
        <v>400000</v>
      </c>
      <c r="Q4" s="62">
        <v>213691.50561797767</v>
      </c>
      <c r="R4" s="57"/>
      <c r="S4" s="57" t="s">
        <v>246</v>
      </c>
    </row>
    <row r="5" spans="1:19" x14ac:dyDescent="0.25">
      <c r="A5" s="57" t="s">
        <v>348</v>
      </c>
      <c r="B5" s="57" t="s">
        <v>231</v>
      </c>
      <c r="C5" s="57" t="s">
        <v>302</v>
      </c>
      <c r="D5" s="58">
        <v>0.72796919191919196</v>
      </c>
      <c r="E5" s="58">
        <v>0.82167565549918498</v>
      </c>
      <c r="F5" s="58">
        <v>0.77482242370918852</v>
      </c>
      <c r="G5" s="69">
        <v>180000</v>
      </c>
      <c r="H5" s="70">
        <v>0.42404444444444445</v>
      </c>
      <c r="I5" s="69">
        <v>0</v>
      </c>
      <c r="J5" s="67">
        <v>60000</v>
      </c>
      <c r="K5" s="68">
        <v>0.94999999999999973</v>
      </c>
      <c r="L5" s="67">
        <v>56999.999999999985</v>
      </c>
      <c r="M5" s="64">
        <v>60000</v>
      </c>
      <c r="N5" s="65">
        <v>0.61175277777777781</v>
      </c>
      <c r="O5" s="64">
        <v>0</v>
      </c>
      <c r="P5" s="60">
        <v>300000</v>
      </c>
      <c r="Q5" s="62">
        <v>56999.999999999985</v>
      </c>
      <c r="R5" s="57"/>
      <c r="S5" s="57" t="s">
        <v>246</v>
      </c>
    </row>
    <row r="6" spans="1:19" x14ac:dyDescent="0.25">
      <c r="A6" s="57" t="s">
        <v>348</v>
      </c>
      <c r="B6" s="57" t="s">
        <v>231</v>
      </c>
      <c r="C6" s="57" t="s">
        <v>303</v>
      </c>
      <c r="D6" s="58">
        <v>0.72651393939393938</v>
      </c>
      <c r="E6" s="58">
        <v>0.99238095238095236</v>
      </c>
      <c r="F6" s="58">
        <v>0.85944744588744593</v>
      </c>
      <c r="G6" s="69">
        <v>180000</v>
      </c>
      <c r="H6" s="70">
        <v>0.49160000000000009</v>
      </c>
      <c r="I6" s="69">
        <v>0</v>
      </c>
      <c r="J6" s="67">
        <v>60000</v>
      </c>
      <c r="K6" s="68">
        <v>0.94999999999999973</v>
      </c>
      <c r="L6" s="67">
        <v>56999.999999999985</v>
      </c>
      <c r="M6" s="64">
        <v>60000</v>
      </c>
      <c r="N6" s="65">
        <v>0.62542666666666669</v>
      </c>
      <c r="O6" s="64">
        <v>0</v>
      </c>
      <c r="P6" s="60">
        <v>300000</v>
      </c>
      <c r="Q6" s="62">
        <v>56999.999999999985</v>
      </c>
      <c r="R6" s="57"/>
      <c r="S6" s="57" t="s">
        <v>246</v>
      </c>
    </row>
    <row r="7" spans="1:19" x14ac:dyDescent="0.25">
      <c r="A7" s="57" t="s">
        <v>348</v>
      </c>
      <c r="B7" s="57" t="s">
        <v>231</v>
      </c>
      <c r="C7" s="57" t="s">
        <v>336</v>
      </c>
      <c r="D7" s="58">
        <v>0.7442896103896105</v>
      </c>
      <c r="E7" s="58">
        <v>0.90707877353840083</v>
      </c>
      <c r="F7" s="58">
        <v>0.82568419196400566</v>
      </c>
      <c r="G7" s="69">
        <v>180000</v>
      </c>
      <c r="H7" s="70">
        <v>0.47044761904761906</v>
      </c>
      <c r="I7" s="69">
        <v>0</v>
      </c>
      <c r="J7" s="67">
        <v>60000</v>
      </c>
      <c r="K7" s="68">
        <v>0.94999999999999984</v>
      </c>
      <c r="L7" s="67">
        <v>56999.999999999993</v>
      </c>
      <c r="M7" s="64">
        <v>60000</v>
      </c>
      <c r="N7" s="65">
        <v>0.65495714285714279</v>
      </c>
      <c r="O7" s="64">
        <v>0</v>
      </c>
      <c r="P7" s="60">
        <v>300000</v>
      </c>
      <c r="Q7" s="62">
        <v>56999.999999999993</v>
      </c>
      <c r="R7" s="57"/>
      <c r="S7" s="57" t="s">
        <v>246</v>
      </c>
    </row>
    <row r="8" spans="1:19" x14ac:dyDescent="0.25">
      <c r="A8" s="57" t="s">
        <v>348</v>
      </c>
      <c r="B8" s="57" t="s">
        <v>231</v>
      </c>
      <c r="C8" s="57" t="s">
        <v>337</v>
      </c>
      <c r="D8" s="58">
        <v>0.82544999999999991</v>
      </c>
      <c r="E8" s="58">
        <v>0.98750000000000004</v>
      </c>
      <c r="F8" s="58">
        <v>0.90647499999999992</v>
      </c>
      <c r="G8" s="69">
        <v>180000</v>
      </c>
      <c r="H8" s="70">
        <v>0.66263958333333339</v>
      </c>
      <c r="I8" s="69">
        <v>119275.12500000001</v>
      </c>
      <c r="J8" s="67">
        <v>60000</v>
      </c>
      <c r="K8" s="68">
        <v>0.94999999999999973</v>
      </c>
      <c r="L8" s="67">
        <v>56999.999999999985</v>
      </c>
      <c r="M8" s="64">
        <v>60000</v>
      </c>
      <c r="N8" s="65">
        <v>0.97</v>
      </c>
      <c r="O8" s="64">
        <v>58200</v>
      </c>
      <c r="P8" s="60">
        <v>300000</v>
      </c>
      <c r="Q8" s="62">
        <v>234475.125</v>
      </c>
      <c r="R8" s="57"/>
      <c r="S8" s="57" t="s">
        <v>246</v>
      </c>
    </row>
    <row r="9" spans="1:19" x14ac:dyDescent="0.25">
      <c r="A9" s="57" t="s">
        <v>348</v>
      </c>
      <c r="B9" s="57" t="s">
        <v>231</v>
      </c>
      <c r="C9" s="57" t="s">
        <v>338</v>
      </c>
      <c r="D9" s="58">
        <v>0.80434210526315797</v>
      </c>
      <c r="E9" s="58">
        <v>0.98009471141622162</v>
      </c>
      <c r="F9" s="58">
        <v>0.89221840833968979</v>
      </c>
      <c r="G9" s="69">
        <v>180000</v>
      </c>
      <c r="H9" s="70">
        <v>0.61938421052631576</v>
      </c>
      <c r="I9" s="69">
        <v>111489.15789473684</v>
      </c>
      <c r="J9" s="67">
        <v>60000</v>
      </c>
      <c r="K9" s="68">
        <v>0.94999999999999962</v>
      </c>
      <c r="L9" s="67">
        <v>56999.999999999978</v>
      </c>
      <c r="M9" s="64">
        <v>60000</v>
      </c>
      <c r="N9" s="65">
        <v>0.91566578947368416</v>
      </c>
      <c r="O9" s="64">
        <v>54000</v>
      </c>
      <c r="P9" s="60">
        <v>300000</v>
      </c>
      <c r="Q9" s="62">
        <v>222489.15789473683</v>
      </c>
      <c r="R9" s="57"/>
      <c r="S9" s="57" t="s">
        <v>246</v>
      </c>
    </row>
    <row r="10" spans="1:19" x14ac:dyDescent="0.25">
      <c r="A10" s="57" t="s">
        <v>348</v>
      </c>
      <c r="B10" s="57" t="s">
        <v>231</v>
      </c>
      <c r="C10" s="57" t="s">
        <v>339</v>
      </c>
      <c r="D10" s="58">
        <v>0.79483116883116878</v>
      </c>
      <c r="E10" s="58">
        <v>0.9728345184227537</v>
      </c>
      <c r="F10" s="58">
        <v>0.88383284362696124</v>
      </c>
      <c r="G10" s="69">
        <v>180000</v>
      </c>
      <c r="H10" s="70">
        <v>0.56215238095238096</v>
      </c>
      <c r="I10" s="69">
        <v>101187.42857142858</v>
      </c>
      <c r="J10" s="67">
        <v>60000</v>
      </c>
      <c r="K10" s="68">
        <v>0.94999999999999984</v>
      </c>
      <c r="L10" s="67">
        <v>56999.999999999993</v>
      </c>
      <c r="M10" s="64">
        <v>60000</v>
      </c>
      <c r="N10" s="65">
        <v>0.64117857142857138</v>
      </c>
      <c r="O10" s="64">
        <v>0</v>
      </c>
      <c r="P10" s="60">
        <v>300000</v>
      </c>
      <c r="Q10" s="62">
        <v>158187.42857142858</v>
      </c>
      <c r="R10" s="57"/>
      <c r="S10" s="57" t="s">
        <v>246</v>
      </c>
    </row>
    <row r="11" spans="1:19" x14ac:dyDescent="0.25">
      <c r="A11" s="57" t="s">
        <v>348</v>
      </c>
      <c r="B11" s="57" t="s">
        <v>231</v>
      </c>
      <c r="C11" s="57" t="s">
        <v>340</v>
      </c>
      <c r="D11" s="58">
        <v>0.8126396694214878</v>
      </c>
      <c r="E11" s="58">
        <v>0.9668586295859023</v>
      </c>
      <c r="F11" s="58">
        <v>0.8897491495036951</v>
      </c>
      <c r="G11" s="69">
        <v>180000</v>
      </c>
      <c r="H11" s="70">
        <v>0.56086060606060606</v>
      </c>
      <c r="I11" s="69">
        <v>100954.90909090909</v>
      </c>
      <c r="J11" s="67">
        <v>60000</v>
      </c>
      <c r="K11" s="68">
        <v>0.95</v>
      </c>
      <c r="L11" s="67">
        <v>57000</v>
      </c>
      <c r="M11" s="64">
        <v>60000</v>
      </c>
      <c r="N11" s="65">
        <v>0.58981363636363637</v>
      </c>
      <c r="O11" s="64">
        <v>0</v>
      </c>
      <c r="P11" s="60">
        <v>300000</v>
      </c>
      <c r="Q11" s="62">
        <v>157954.90909090909</v>
      </c>
      <c r="R11" s="57"/>
      <c r="S11" s="57" t="s">
        <v>246</v>
      </c>
    </row>
    <row r="12" spans="1:19" x14ac:dyDescent="0.25">
      <c r="A12" s="57" t="s">
        <v>348</v>
      </c>
      <c r="B12" s="57" t="s">
        <v>231</v>
      </c>
      <c r="C12" s="57" t="s">
        <v>341</v>
      </c>
      <c r="D12" s="58">
        <v>0.74380427807486627</v>
      </c>
      <c r="E12" s="58">
        <v>0.92678259840889599</v>
      </c>
      <c r="F12" s="58">
        <v>0.83529343824188107</v>
      </c>
      <c r="G12" s="69">
        <v>180000</v>
      </c>
      <c r="H12" s="70">
        <v>0.45428235294117647</v>
      </c>
      <c r="I12" s="69">
        <v>0</v>
      </c>
      <c r="J12" s="67">
        <v>60000</v>
      </c>
      <c r="K12" s="68">
        <v>0.94999999999999973</v>
      </c>
      <c r="L12" s="67">
        <v>56999.999999999985</v>
      </c>
      <c r="M12" s="64">
        <v>60000</v>
      </c>
      <c r="N12" s="65">
        <v>0.98</v>
      </c>
      <c r="O12" s="64">
        <v>58800</v>
      </c>
      <c r="P12" s="60">
        <v>300000</v>
      </c>
      <c r="Q12" s="62">
        <v>115799.99999999999</v>
      </c>
      <c r="R12" s="57"/>
      <c r="S12" s="57" t="s">
        <v>246</v>
      </c>
    </row>
    <row r="13" spans="1:19" x14ac:dyDescent="0.25">
      <c r="A13" s="57" t="s">
        <v>348</v>
      </c>
      <c r="B13" s="57" t="s">
        <v>231</v>
      </c>
      <c r="C13" s="57" t="s">
        <v>342</v>
      </c>
      <c r="D13" s="58">
        <v>0.76249545454545442</v>
      </c>
      <c r="E13" s="58">
        <v>0.94038871689026493</v>
      </c>
      <c r="F13" s="58">
        <v>0.85144208571785973</v>
      </c>
      <c r="G13" s="69">
        <v>180000</v>
      </c>
      <c r="H13" s="70">
        <v>0.65167666666666668</v>
      </c>
      <c r="I13" s="69">
        <v>117301.8</v>
      </c>
      <c r="J13" s="67">
        <v>60000</v>
      </c>
      <c r="K13" s="68">
        <v>0.95</v>
      </c>
      <c r="L13" s="67">
        <v>57000</v>
      </c>
      <c r="M13" s="64">
        <v>60000</v>
      </c>
      <c r="N13" s="65">
        <v>0.57183000000000006</v>
      </c>
      <c r="O13" s="64">
        <v>0</v>
      </c>
      <c r="P13" s="60">
        <v>300000</v>
      </c>
      <c r="Q13" s="62">
        <v>174301.8</v>
      </c>
      <c r="R13" s="57"/>
      <c r="S13" s="57" t="s">
        <v>246</v>
      </c>
    </row>
    <row r="14" spans="1:19" x14ac:dyDescent="0.25">
      <c r="A14" s="57" t="s">
        <v>348</v>
      </c>
      <c r="B14" s="57" t="s">
        <v>231</v>
      </c>
      <c r="C14" s="57" t="s">
        <v>343</v>
      </c>
      <c r="D14" s="58">
        <v>0.74805034965034978</v>
      </c>
      <c r="E14" s="58">
        <v>0.9009204470742932</v>
      </c>
      <c r="F14" s="58">
        <v>0.82448539836232149</v>
      </c>
      <c r="G14" s="69">
        <v>180000</v>
      </c>
      <c r="H14" s="70">
        <v>0.40322307692307696</v>
      </c>
      <c r="I14" s="69">
        <v>0</v>
      </c>
      <c r="J14" s="67">
        <v>60000</v>
      </c>
      <c r="K14" s="68">
        <v>0.94999999999999984</v>
      </c>
      <c r="L14" s="67">
        <v>56999.999999999993</v>
      </c>
      <c r="M14" s="64">
        <v>60000</v>
      </c>
      <c r="N14" s="65">
        <v>0.81</v>
      </c>
      <c r="O14" s="64">
        <v>48000</v>
      </c>
      <c r="P14" s="60">
        <v>300000</v>
      </c>
      <c r="Q14" s="62">
        <v>105000</v>
      </c>
      <c r="R14" s="57"/>
      <c r="S14" s="57" t="s">
        <v>246</v>
      </c>
    </row>
    <row r="15" spans="1:19" x14ac:dyDescent="0.25">
      <c r="A15" s="57" t="s">
        <v>348</v>
      </c>
      <c r="B15" s="57" t="s">
        <v>231</v>
      </c>
      <c r="C15" s="57" t="s">
        <v>344</v>
      </c>
      <c r="D15" s="58">
        <v>0.78396417112299466</v>
      </c>
      <c r="E15" s="58">
        <v>0.97105849516840237</v>
      </c>
      <c r="F15" s="58">
        <v>0.87751133314569851</v>
      </c>
      <c r="G15" s="69">
        <v>180000</v>
      </c>
      <c r="H15" s="70">
        <v>0.63954901960784305</v>
      </c>
      <c r="I15" s="69">
        <v>115118.82352941175</v>
      </c>
      <c r="J15" s="67">
        <v>60000</v>
      </c>
      <c r="K15" s="68">
        <v>0.94999999999999973</v>
      </c>
      <c r="L15" s="67">
        <v>56999.999999999985</v>
      </c>
      <c r="M15" s="64">
        <v>60000</v>
      </c>
      <c r="N15" s="65">
        <v>0.73289999999999988</v>
      </c>
      <c r="O15" s="64">
        <v>0</v>
      </c>
      <c r="P15" s="60">
        <v>300000</v>
      </c>
      <c r="Q15" s="62">
        <v>172118.82352941175</v>
      </c>
      <c r="R15" s="57"/>
      <c r="S15" s="57" t="s">
        <v>246</v>
      </c>
    </row>
    <row r="16" spans="1:19" x14ac:dyDescent="0.25">
      <c r="A16" s="57" t="s">
        <v>348</v>
      </c>
      <c r="B16" s="57" t="s">
        <v>231</v>
      </c>
      <c r="C16" s="57" t="s">
        <v>345</v>
      </c>
      <c r="D16" s="58">
        <v>0.80777272727272742</v>
      </c>
      <c r="E16" s="58">
        <v>0.94035131535131533</v>
      </c>
      <c r="F16" s="58">
        <v>0.87406202131202138</v>
      </c>
      <c r="G16" s="69">
        <v>180000</v>
      </c>
      <c r="H16" s="70">
        <v>0.58306153846153841</v>
      </c>
      <c r="I16" s="69">
        <v>104951.07692307691</v>
      </c>
      <c r="J16" s="67">
        <v>60000</v>
      </c>
      <c r="K16" s="68">
        <v>0.94999999999999984</v>
      </c>
      <c r="L16" s="67">
        <v>56999.999999999993</v>
      </c>
      <c r="M16" s="64">
        <v>60000</v>
      </c>
      <c r="N16" s="65">
        <v>0.71704999999999997</v>
      </c>
      <c r="O16" s="64">
        <v>0</v>
      </c>
      <c r="P16" s="60">
        <v>300000</v>
      </c>
      <c r="Q16" s="62">
        <v>161951.07692307691</v>
      </c>
      <c r="R16" s="57"/>
      <c r="S16" s="57" t="s">
        <v>246</v>
      </c>
    </row>
    <row r="17" spans="1:19" x14ac:dyDescent="0.25">
      <c r="A17" s="57" t="s">
        <v>348</v>
      </c>
      <c r="B17" s="57" t="s">
        <v>231</v>
      </c>
      <c r="C17" s="57" t="s">
        <v>346</v>
      </c>
      <c r="D17" s="58">
        <v>0.77788347107438016</v>
      </c>
      <c r="E17" s="58">
        <v>0.92766106442577045</v>
      </c>
      <c r="F17" s="58">
        <v>0.85277226775007531</v>
      </c>
      <c r="G17" s="69">
        <v>180000</v>
      </c>
      <c r="H17" s="70">
        <v>0.61910909090909094</v>
      </c>
      <c r="I17" s="69">
        <v>111439.63636363637</v>
      </c>
      <c r="J17" s="67">
        <v>60000</v>
      </c>
      <c r="K17" s="68">
        <v>0.95</v>
      </c>
      <c r="L17" s="67">
        <v>57000</v>
      </c>
      <c r="M17" s="64">
        <v>60000</v>
      </c>
      <c r="N17" s="65">
        <v>0.48893636363636367</v>
      </c>
      <c r="O17" s="64">
        <v>0</v>
      </c>
      <c r="P17" s="60">
        <v>300000</v>
      </c>
      <c r="Q17" s="62">
        <v>168439.63636363635</v>
      </c>
      <c r="R17" s="57"/>
      <c r="S17" s="57" t="s">
        <v>246</v>
      </c>
    </row>
    <row r="18" spans="1:19" x14ac:dyDescent="0.25">
      <c r="F18" s="71"/>
      <c r="G18" s="74" t="s">
        <v>249</v>
      </c>
      <c r="H18" s="74"/>
      <c r="I18" s="74"/>
      <c r="J18" s="73" t="s">
        <v>250</v>
      </c>
      <c r="K18" s="73"/>
      <c r="L18" s="73"/>
      <c r="M18" s="72" t="s">
        <v>351</v>
      </c>
      <c r="N18" s="72"/>
      <c r="O18" s="72"/>
      <c r="Q18" s="63" t="s">
        <v>352</v>
      </c>
    </row>
  </sheetData>
  <mergeCells count="3">
    <mergeCell ref="M18:O18"/>
    <mergeCell ref="J18:L18"/>
    <mergeCell ref="G18:I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FBB9-9DD8-41E5-B350-5B027A93EA8E}">
  <dimension ref="B2:F48"/>
  <sheetViews>
    <sheetView showGridLines="0" zoomScale="85" zoomScaleNormal="85" workbookViewId="0">
      <selection activeCell="D11" sqref="D11"/>
    </sheetView>
  </sheetViews>
  <sheetFormatPr baseColWidth="10" defaultRowHeight="15" x14ac:dyDescent="0.25"/>
  <cols>
    <col min="2" max="2" width="39.42578125" bestFit="1" customWidth="1"/>
    <col min="3" max="3" width="27.28515625" bestFit="1" customWidth="1"/>
    <col min="4" max="4" width="35.42578125" bestFit="1" customWidth="1"/>
    <col min="5" max="5" width="22.5703125" bestFit="1" customWidth="1"/>
    <col min="6" max="6" width="16.140625" customWidth="1"/>
  </cols>
  <sheetData>
    <row r="2" spans="2:6" x14ac:dyDescent="0.25">
      <c r="B2" s="20" t="s">
        <v>229</v>
      </c>
    </row>
    <row r="3" spans="2:6" x14ac:dyDescent="0.25">
      <c r="B3" s="21" t="s">
        <v>9</v>
      </c>
      <c r="C3" s="6" t="s">
        <v>284</v>
      </c>
      <c r="D3" s="6" t="s">
        <v>285</v>
      </c>
      <c r="E3" s="6" t="s">
        <v>286</v>
      </c>
      <c r="F3" s="22" t="s">
        <v>7</v>
      </c>
    </row>
    <row r="4" spans="2:6" x14ac:dyDescent="0.25">
      <c r="B4" s="6" t="s">
        <v>302</v>
      </c>
      <c r="C4" s="7">
        <v>0.42404444444444445</v>
      </c>
      <c r="D4" s="7">
        <v>0.94999999999999973</v>
      </c>
      <c r="E4" s="7">
        <v>0.61175277777777781</v>
      </c>
      <c r="F4" s="10">
        <v>300000</v>
      </c>
    </row>
    <row r="5" spans="2:6" x14ac:dyDescent="0.25">
      <c r="B5" s="6" t="s">
        <v>303</v>
      </c>
      <c r="C5" s="7">
        <v>0.49160000000000009</v>
      </c>
      <c r="D5" s="7">
        <v>0.94999999999999973</v>
      </c>
      <c r="E5" s="7">
        <v>0.62542666666666669</v>
      </c>
      <c r="F5" s="10">
        <v>300000</v>
      </c>
    </row>
    <row r="6" spans="2:6" x14ac:dyDescent="0.25">
      <c r="B6" s="6" t="s">
        <v>336</v>
      </c>
      <c r="C6" s="7">
        <v>0.47044761904761906</v>
      </c>
      <c r="D6" s="7">
        <v>0.94999999999999984</v>
      </c>
      <c r="E6" s="7">
        <v>0.65495714285714279</v>
      </c>
      <c r="F6" s="10">
        <v>300000</v>
      </c>
    </row>
    <row r="7" spans="2:6" x14ac:dyDescent="0.25">
      <c r="B7" s="6" t="s">
        <v>337</v>
      </c>
      <c r="C7" s="7">
        <v>0.66263958333333339</v>
      </c>
      <c r="D7" s="7">
        <v>0.94999999999999973</v>
      </c>
      <c r="E7" s="7">
        <v>0.9679875</v>
      </c>
      <c r="F7" s="10">
        <v>300000</v>
      </c>
    </row>
    <row r="8" spans="2:6" x14ac:dyDescent="0.25">
      <c r="B8" s="6" t="s">
        <v>338</v>
      </c>
      <c r="C8" s="7">
        <v>0.61938421052631576</v>
      </c>
      <c r="D8" s="7">
        <v>0.94999999999999962</v>
      </c>
      <c r="E8" s="7">
        <v>0.91566578947368416</v>
      </c>
      <c r="F8" s="10">
        <v>300000</v>
      </c>
    </row>
    <row r="9" spans="2:6" x14ac:dyDescent="0.25">
      <c r="B9" s="6" t="s">
        <v>339</v>
      </c>
      <c r="C9" s="7">
        <v>0.56215238095238096</v>
      </c>
      <c r="D9" s="7">
        <v>0.94999999999999984</v>
      </c>
      <c r="E9" s="7">
        <v>0.64117857142857138</v>
      </c>
      <c r="F9" s="10">
        <v>300000</v>
      </c>
    </row>
    <row r="10" spans="2:6" x14ac:dyDescent="0.25">
      <c r="B10" s="6" t="s">
        <v>340</v>
      </c>
      <c r="C10" s="7">
        <v>0.56086060606060606</v>
      </c>
      <c r="D10" s="7">
        <v>0.95</v>
      </c>
      <c r="E10" s="7">
        <v>0.58981363636363637</v>
      </c>
      <c r="F10" s="10">
        <v>300000</v>
      </c>
    </row>
    <row r="11" spans="2:6" x14ac:dyDescent="0.25">
      <c r="B11" s="6" t="s">
        <v>341</v>
      </c>
      <c r="C11" s="7">
        <v>0.45428235294117647</v>
      </c>
      <c r="D11" s="7">
        <v>0.94999999999999973</v>
      </c>
      <c r="E11" s="7">
        <v>0.98005882352941187</v>
      </c>
      <c r="F11" s="10">
        <v>300000</v>
      </c>
    </row>
    <row r="12" spans="2:6" x14ac:dyDescent="0.25">
      <c r="B12" s="6" t="s">
        <v>342</v>
      </c>
      <c r="C12" s="7">
        <v>0.65167666666666668</v>
      </c>
      <c r="D12" s="7">
        <v>0.95</v>
      </c>
      <c r="E12" s="7">
        <v>0.57183000000000006</v>
      </c>
      <c r="F12" s="10">
        <v>300000</v>
      </c>
    </row>
    <row r="13" spans="2:6" x14ac:dyDescent="0.25">
      <c r="B13" s="6" t="s">
        <v>343</v>
      </c>
      <c r="C13" s="7">
        <v>0.40322307692307696</v>
      </c>
      <c r="D13" s="7">
        <v>0.94999999999999984</v>
      </c>
      <c r="E13" s="7">
        <v>0.80693461538461542</v>
      </c>
      <c r="F13" s="10">
        <v>300000</v>
      </c>
    </row>
    <row r="14" spans="2:6" x14ac:dyDescent="0.25">
      <c r="B14" s="6" t="s">
        <v>344</v>
      </c>
      <c r="C14" s="7">
        <v>0.63954901960784305</v>
      </c>
      <c r="D14" s="7">
        <v>0.94999999999999973</v>
      </c>
      <c r="E14" s="7">
        <v>0.73289999999999988</v>
      </c>
      <c r="F14" s="10">
        <v>300000</v>
      </c>
    </row>
    <row r="15" spans="2:6" x14ac:dyDescent="0.25">
      <c r="B15" s="6" t="s">
        <v>345</v>
      </c>
      <c r="C15" s="7">
        <v>0.58306153846153841</v>
      </c>
      <c r="D15" s="7">
        <v>0.94999999999999984</v>
      </c>
      <c r="E15" s="7">
        <v>0.71704999999999997</v>
      </c>
      <c r="F15" s="10">
        <v>300000</v>
      </c>
    </row>
    <row r="16" spans="2:6" x14ac:dyDescent="0.25">
      <c r="B16" s="6" t="s">
        <v>346</v>
      </c>
      <c r="C16" s="7">
        <v>0.61910909090909094</v>
      </c>
      <c r="D16" s="7">
        <v>0.95</v>
      </c>
      <c r="E16" s="7">
        <v>0.48893636363636367</v>
      </c>
      <c r="F16" s="10">
        <v>300000</v>
      </c>
    </row>
    <row r="17" spans="2:6" x14ac:dyDescent="0.25">
      <c r="B17" s="6" t="s">
        <v>5</v>
      </c>
      <c r="C17" s="7">
        <v>0.54652659574468077</v>
      </c>
      <c r="D17" s="7">
        <v>0.94999999999999818</v>
      </c>
      <c r="E17" s="7">
        <v>0.73372845744680826</v>
      </c>
      <c r="F17" s="23">
        <f>+SUM(F4:F16)</f>
        <v>3900000</v>
      </c>
    </row>
    <row r="19" spans="2:6" x14ac:dyDescent="0.25">
      <c r="B19" s="20" t="s">
        <v>230</v>
      </c>
    </row>
    <row r="20" spans="2:6" ht="15" customHeight="1" x14ac:dyDescent="0.25">
      <c r="B20" s="21" t="s">
        <v>9</v>
      </c>
      <c r="C20" s="6" t="s">
        <v>281</v>
      </c>
      <c r="D20" s="6" t="s">
        <v>282</v>
      </c>
      <c r="E20" s="6" t="s">
        <v>283</v>
      </c>
      <c r="F20" s="22" t="s">
        <v>7</v>
      </c>
    </row>
    <row r="21" spans="2:6" x14ac:dyDescent="0.25">
      <c r="B21" s="6" t="s">
        <v>241</v>
      </c>
      <c r="C21" s="7">
        <v>0.59095510204081614</v>
      </c>
      <c r="D21" s="7">
        <v>0.95000000000000051</v>
      </c>
      <c r="E21" s="7">
        <v>0.85826224489795921</v>
      </c>
      <c r="F21" s="10">
        <v>400000</v>
      </c>
    </row>
    <row r="22" spans="2:6" x14ac:dyDescent="0.25">
      <c r="B22" s="6" t="s">
        <v>242</v>
      </c>
      <c r="C22" s="7">
        <v>0.45459200000000005</v>
      </c>
      <c r="D22" s="7">
        <v>0.95000000000000062</v>
      </c>
      <c r="E22" s="7">
        <v>0.74107900000000015</v>
      </c>
      <c r="F22" s="10">
        <v>400000</v>
      </c>
    </row>
    <row r="23" spans="2:6" x14ac:dyDescent="0.25">
      <c r="B23" s="6" t="s">
        <v>243</v>
      </c>
      <c r="C23" s="7">
        <v>0.57371460674157315</v>
      </c>
      <c r="D23" s="7">
        <v>0.95000000000000151</v>
      </c>
      <c r="E23" s="7">
        <v>0.66103539325842697</v>
      </c>
      <c r="F23" s="10">
        <v>400000</v>
      </c>
    </row>
    <row r="24" spans="2:6" x14ac:dyDescent="0.25">
      <c r="B24" s="6" t="s">
        <v>5</v>
      </c>
      <c r="C24" s="7">
        <v>0.54652659574468077</v>
      </c>
      <c r="D24" s="7">
        <v>0.94999999999999818</v>
      </c>
      <c r="E24" s="7">
        <v>0.73372845744680826</v>
      </c>
      <c r="F24" s="10"/>
    </row>
    <row r="25" spans="2:6" x14ac:dyDescent="0.25">
      <c r="F25" s="10"/>
    </row>
    <row r="26" spans="2:6" x14ac:dyDescent="0.25">
      <c r="B26" s="20" t="s">
        <v>229</v>
      </c>
      <c r="F26" s="10"/>
    </row>
    <row r="27" spans="2:6" x14ac:dyDescent="0.25">
      <c r="B27" s="21" t="s">
        <v>9</v>
      </c>
      <c r="C27" s="6" t="s">
        <v>227</v>
      </c>
      <c r="D27" s="6" t="s">
        <v>228</v>
      </c>
      <c r="F27" s="10"/>
    </row>
    <row r="28" spans="2:6" x14ac:dyDescent="0.25">
      <c r="B28" s="6" t="s">
        <v>302</v>
      </c>
      <c r="C28" s="7">
        <v>0.72796919191919196</v>
      </c>
      <c r="D28" s="7">
        <v>0.82167565549918498</v>
      </c>
      <c r="F28" s="10"/>
    </row>
    <row r="29" spans="2:6" x14ac:dyDescent="0.25">
      <c r="B29" s="6" t="s">
        <v>303</v>
      </c>
      <c r="C29" s="7">
        <v>0.72651393939393938</v>
      </c>
      <c r="D29" s="7">
        <v>0.99238095238095236</v>
      </c>
      <c r="F29" s="10"/>
    </row>
    <row r="30" spans="2:6" x14ac:dyDescent="0.25">
      <c r="B30" s="6" t="s">
        <v>336</v>
      </c>
      <c r="C30" s="7">
        <v>0.7442896103896105</v>
      </c>
      <c r="D30" s="7">
        <v>0.90707877353840083</v>
      </c>
      <c r="F30" s="10"/>
    </row>
    <row r="31" spans="2:6" x14ac:dyDescent="0.25">
      <c r="B31" s="6" t="s">
        <v>337</v>
      </c>
      <c r="C31" s="7">
        <v>0.82544999999999991</v>
      </c>
      <c r="D31" s="7">
        <v>0.98750000000000004</v>
      </c>
      <c r="F31" s="10"/>
    </row>
    <row r="32" spans="2:6" x14ac:dyDescent="0.25">
      <c r="B32" s="6" t="s">
        <v>338</v>
      </c>
      <c r="C32" s="7">
        <v>0.80434210526315797</v>
      </c>
      <c r="D32" s="7">
        <v>0.98009471141622162</v>
      </c>
      <c r="F32" s="10"/>
    </row>
    <row r="33" spans="2:6" x14ac:dyDescent="0.25">
      <c r="B33" s="6" t="s">
        <v>339</v>
      </c>
      <c r="C33" s="7">
        <v>0.79483116883116878</v>
      </c>
      <c r="D33" s="7">
        <v>0.9728345184227537</v>
      </c>
      <c r="F33" s="10"/>
    </row>
    <row r="34" spans="2:6" x14ac:dyDescent="0.25">
      <c r="B34" s="6" t="s">
        <v>340</v>
      </c>
      <c r="C34" s="7">
        <v>0.8126396694214878</v>
      </c>
      <c r="D34" s="7">
        <v>0.9668586295859023</v>
      </c>
      <c r="F34" s="23"/>
    </row>
    <row r="35" spans="2:6" x14ac:dyDescent="0.25">
      <c r="B35" s="6" t="s">
        <v>341</v>
      </c>
      <c r="C35" s="7">
        <v>0.74380427807486627</v>
      </c>
      <c r="D35" s="7">
        <v>0.92678259840889599</v>
      </c>
    </row>
    <row r="36" spans="2:6" x14ac:dyDescent="0.25">
      <c r="B36" s="6" t="s">
        <v>342</v>
      </c>
      <c r="C36" s="7">
        <v>0.76249545454545442</v>
      </c>
      <c r="D36" s="7">
        <v>0.94038871689026493</v>
      </c>
    </row>
    <row r="37" spans="2:6" x14ac:dyDescent="0.25">
      <c r="B37" s="6" t="s">
        <v>343</v>
      </c>
      <c r="C37" s="7">
        <v>0.74805034965034978</v>
      </c>
      <c r="D37" s="7">
        <v>0.9009204470742932</v>
      </c>
    </row>
    <row r="38" spans="2:6" x14ac:dyDescent="0.25">
      <c r="B38" s="6" t="s">
        <v>344</v>
      </c>
      <c r="C38" s="7">
        <v>0.78396417112299466</v>
      </c>
      <c r="D38" s="7">
        <v>0.97105849516840237</v>
      </c>
    </row>
    <row r="39" spans="2:6" x14ac:dyDescent="0.25">
      <c r="B39" s="6" t="s">
        <v>345</v>
      </c>
      <c r="C39" s="7">
        <v>0.80777272727272742</v>
      </c>
      <c r="D39" s="7">
        <v>0.94035131535131533</v>
      </c>
    </row>
    <row r="40" spans="2:6" x14ac:dyDescent="0.25">
      <c r="B40" s="6" t="s">
        <v>346</v>
      </c>
      <c r="C40" s="7">
        <v>0.77788347107438016</v>
      </c>
      <c r="D40" s="7">
        <v>0.92766106442577045</v>
      </c>
    </row>
    <row r="41" spans="2:6" x14ac:dyDescent="0.25">
      <c r="B41" s="6" t="s">
        <v>5</v>
      </c>
      <c r="C41" s="7">
        <v>0.77317562862669231</v>
      </c>
      <c r="D41" s="7">
        <v>0.94074413294915959</v>
      </c>
    </row>
    <row r="43" spans="2:6" x14ac:dyDescent="0.25">
      <c r="B43" s="20" t="s">
        <v>229</v>
      </c>
    </row>
    <row r="44" spans="2:6" x14ac:dyDescent="0.25">
      <c r="B44" s="21" t="s">
        <v>9</v>
      </c>
      <c r="C44" s="6" t="s">
        <v>227</v>
      </c>
      <c r="D44" s="6" t="s">
        <v>228</v>
      </c>
    </row>
    <row r="45" spans="2:6" x14ac:dyDescent="0.25">
      <c r="B45" s="6" t="s">
        <v>241</v>
      </c>
      <c r="C45" s="7">
        <v>0.79407662337662355</v>
      </c>
      <c r="D45" s="7">
        <v>0.96165106829481284</v>
      </c>
    </row>
    <row r="46" spans="2:6" x14ac:dyDescent="0.25">
      <c r="B46" s="6" t="s">
        <v>242</v>
      </c>
      <c r="C46" s="7">
        <v>0.73291654545454532</v>
      </c>
      <c r="D46" s="7">
        <v>0.90862360515301677</v>
      </c>
    </row>
    <row r="47" spans="2:6" x14ac:dyDescent="0.25">
      <c r="B47" s="6" t="s">
        <v>243</v>
      </c>
      <c r="C47" s="7">
        <v>0.78428580183861107</v>
      </c>
      <c r="D47" s="7">
        <v>0.94727881337466691</v>
      </c>
    </row>
    <row r="48" spans="2:6" x14ac:dyDescent="0.25">
      <c r="B48" s="6" t="s">
        <v>5</v>
      </c>
      <c r="C48" s="7">
        <v>0.77317562862669231</v>
      </c>
      <c r="D48" s="7">
        <v>0.94074413294915959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31E8-266A-4DE2-A102-3BA3CA5F774C}">
  <dimension ref="B1:Y194"/>
  <sheetViews>
    <sheetView showGridLines="0" topLeftCell="F157" zoomScale="70" zoomScaleNormal="70" workbookViewId="0">
      <selection activeCell="T6" sqref="T6:T193"/>
    </sheetView>
  </sheetViews>
  <sheetFormatPr baseColWidth="10" defaultRowHeight="15" x14ac:dyDescent="0.25"/>
  <cols>
    <col min="1" max="1" width="1.28515625" customWidth="1"/>
    <col min="2" max="2" width="19.42578125" customWidth="1"/>
    <col min="3" max="3" width="19.85546875" bestFit="1" customWidth="1"/>
    <col min="4" max="4" width="27" bestFit="1" customWidth="1"/>
    <col min="5" max="5" width="38.85546875" bestFit="1" customWidth="1"/>
    <col min="6" max="6" width="11.5703125" style="26" customWidth="1"/>
    <col min="7" max="7" width="12.42578125" style="26" customWidth="1"/>
    <col min="8" max="8" width="11.5703125" style="26" customWidth="1"/>
    <col min="9" max="9" width="15.85546875" style="26" customWidth="1"/>
    <col min="10" max="10" width="12.42578125" style="26" customWidth="1"/>
    <col min="11" max="11" width="14.5703125" style="26" customWidth="1"/>
    <col min="12" max="12" width="12.5703125" style="26" customWidth="1"/>
    <col min="13" max="13" width="12.5703125" style="26" bestFit="1" customWidth="1"/>
    <col min="14" max="15" width="13.5703125" style="26" customWidth="1"/>
    <col min="16" max="16" width="17.5703125" style="26" customWidth="1"/>
    <col min="17" max="17" width="13.85546875" style="26" customWidth="1"/>
    <col min="18" max="18" width="13.5703125" style="26" customWidth="1"/>
    <col min="19" max="19" width="16.42578125" style="26" customWidth="1"/>
    <col min="20" max="20" width="15.28515625" style="26" customWidth="1"/>
    <col min="21" max="21" width="13.85546875" style="26" customWidth="1"/>
    <col min="22" max="23" width="13.5703125" style="26" customWidth="1"/>
    <col min="24" max="24" width="19.140625" style="26" customWidth="1"/>
    <col min="25" max="25" width="20.7109375" style="26" customWidth="1"/>
  </cols>
  <sheetData>
    <row r="1" spans="2:25" x14ac:dyDescent="0.25">
      <c r="W1" s="27" t="s">
        <v>246</v>
      </c>
      <c r="X1" s="28">
        <f>+COUNTIF(W6:W193,W1)</f>
        <v>0</v>
      </c>
    </row>
    <row r="2" spans="2:25" ht="21" x14ac:dyDescent="0.35">
      <c r="B2" s="50" t="s">
        <v>298</v>
      </c>
      <c r="W2" s="32" t="s">
        <v>335</v>
      </c>
      <c r="X2" s="52">
        <f>+X1/188</f>
        <v>0</v>
      </c>
    </row>
    <row r="3" spans="2:25" ht="15.75" x14ac:dyDescent="0.25">
      <c r="B3" s="49"/>
      <c r="G3" s="30" t="s">
        <v>251</v>
      </c>
      <c r="I3" s="30" t="s">
        <v>251</v>
      </c>
      <c r="K3" s="30">
        <v>0.6</v>
      </c>
      <c r="O3" s="30">
        <v>0.2</v>
      </c>
      <c r="S3" s="30">
        <v>0.2</v>
      </c>
      <c r="T3" s="30"/>
    </row>
    <row r="4" spans="2:25" x14ac:dyDescent="0.25">
      <c r="F4" s="32">
        <v>250000</v>
      </c>
      <c r="G4" s="76" t="s">
        <v>222</v>
      </c>
      <c r="H4" s="77"/>
      <c r="I4" s="75"/>
      <c r="J4" s="75"/>
      <c r="K4" s="78" t="s">
        <v>249</v>
      </c>
      <c r="L4" s="79"/>
      <c r="M4" s="79"/>
      <c r="N4" s="79"/>
      <c r="O4" s="82" t="s">
        <v>250</v>
      </c>
      <c r="P4" s="83"/>
      <c r="Q4" s="83"/>
      <c r="R4" s="83"/>
      <c r="S4" s="80" t="s">
        <v>247</v>
      </c>
      <c r="T4" s="81"/>
      <c r="U4" s="81"/>
      <c r="V4" s="81"/>
      <c r="W4" s="33"/>
      <c r="X4" s="33">
        <f>+SUBTOTAL(9,X6:X193)</f>
        <v>0</v>
      </c>
    </row>
    <row r="5" spans="2:25" s="43" customFormat="1" ht="45" x14ac:dyDescent="0.25">
      <c r="B5" s="36" t="s">
        <v>0</v>
      </c>
      <c r="C5" s="36" t="s">
        <v>6</v>
      </c>
      <c r="D5" s="36" t="s">
        <v>213</v>
      </c>
      <c r="E5" s="36" t="s">
        <v>212</v>
      </c>
      <c r="F5" s="37" t="s">
        <v>7</v>
      </c>
      <c r="G5" s="38" t="s">
        <v>223</v>
      </c>
      <c r="H5" s="38" t="s">
        <v>252</v>
      </c>
      <c r="I5" s="37" t="s">
        <v>224</v>
      </c>
      <c r="J5" s="37" t="s">
        <v>252</v>
      </c>
      <c r="K5" s="51" t="s">
        <v>265</v>
      </c>
      <c r="L5" s="51" t="s">
        <v>268</v>
      </c>
      <c r="M5" s="51" t="s">
        <v>266</v>
      </c>
      <c r="N5" s="51" t="s">
        <v>3</v>
      </c>
      <c r="O5" s="40" t="s">
        <v>269</v>
      </c>
      <c r="P5" s="40" t="s">
        <v>270</v>
      </c>
      <c r="Q5" s="40" t="s">
        <v>2</v>
      </c>
      <c r="R5" s="40" t="s">
        <v>3</v>
      </c>
      <c r="S5" s="41" t="s">
        <v>276</v>
      </c>
      <c r="T5" s="41" t="s">
        <v>280</v>
      </c>
      <c r="U5" s="41" t="s">
        <v>2</v>
      </c>
      <c r="V5" s="41" t="s">
        <v>3</v>
      </c>
      <c r="W5" s="42" t="s">
        <v>244</v>
      </c>
      <c r="X5" s="42" t="s">
        <v>226</v>
      </c>
      <c r="Y5" s="37" t="s">
        <v>4</v>
      </c>
    </row>
    <row r="6" spans="2:25" x14ac:dyDescent="0.25">
      <c r="B6" s="1" t="s">
        <v>233</v>
      </c>
      <c r="C6" s="1" t="s">
        <v>11</v>
      </c>
      <c r="D6" s="1" t="s">
        <v>241</v>
      </c>
      <c r="E6" s="1" t="s">
        <v>336</v>
      </c>
      <c r="F6" s="2">
        <f>+$F$4</f>
        <v>250000</v>
      </c>
      <c r="G6" s="4">
        <f>+VLOOKUP(C6,Indicadores!B:C,2,FALSE)</f>
        <v>0.8841</v>
      </c>
      <c r="H6" s="1" t="str">
        <f>IF(G6&gt;=95%,"Cumple","No Cumple")</f>
        <v>No Cumple</v>
      </c>
      <c r="I6" s="4">
        <f>+VLOOKUP(C6,Indicadores!B:F,5,FALSE)</f>
        <v>1</v>
      </c>
      <c r="J6" s="1" t="str">
        <f>IF(I6&gt;=95%,"Cumple","No Cumple")</f>
        <v>Cumple</v>
      </c>
      <c r="K6" s="9">
        <f t="shared" ref="K6:K37" si="0">+$F$4*$K$3</f>
        <v>150000</v>
      </c>
      <c r="L6" s="4">
        <f>+VLOOKUP(C6,Indicadores!B:P,15,FALSE)</f>
        <v>0.86933333333333318</v>
      </c>
      <c r="M6" s="1" t="str">
        <f>IF(L6&gt;=80%,"Cumple","No Cumple")</f>
        <v>Cumple</v>
      </c>
      <c r="N6" s="5">
        <f>IF(L6=80%,K6*70%,IF(AND(L6&gt;=81%,L6&lt;=90%),K6*80%,IF(AND(L6&gt;=91%,L6&lt;=95%),K6*90%,IF(L6=96%,K6*96%,IF(L6=97%,K6*97%,IF(L6=98%,K6*98%,IF(L6=99%,K6*99%,IF(L6=100%,K6,0))))))))</f>
        <v>120000</v>
      </c>
      <c r="O6" s="5">
        <f t="shared" ref="O6:O37" si="1">+$F$4*$O$3</f>
        <v>50000</v>
      </c>
      <c r="P6" s="4">
        <v>0.95</v>
      </c>
      <c r="Q6" s="5" t="str">
        <f>IF(P6&gt;=80%,"Cumple","No Cumple")</f>
        <v>Cumple</v>
      </c>
      <c r="R6" s="5">
        <f>+O6*95%</f>
        <v>47500</v>
      </c>
      <c r="S6" s="5">
        <f t="shared" ref="S6:S37" si="2">+$F$4*$S$3</f>
        <v>50000</v>
      </c>
      <c r="T6" s="4">
        <f>+VLOOKUP(C6,Indicadores!B:V,21,FALSE)</f>
        <v>0.48899999999999999</v>
      </c>
      <c r="U6" s="35" t="str">
        <f>IF(T6&gt;=100%,"Cumple","No Cumple")</f>
        <v>No Cumple</v>
      </c>
      <c r="V6" s="2">
        <f>IF(T6=100%,S6,0)</f>
        <v>0</v>
      </c>
      <c r="W6" s="5" t="str">
        <f t="shared" ref="W6:W37" si="3">IF(AND(G6&gt;=95%,I6&gt;=95%),"SI","NO")</f>
        <v>NO</v>
      </c>
      <c r="X6" s="5">
        <f>+IF(W6="SI",N6+R6+V6,0)</f>
        <v>0</v>
      </c>
      <c r="Y6" s="1"/>
    </row>
    <row r="7" spans="2:25" x14ac:dyDescent="0.25">
      <c r="B7" s="1" t="s">
        <v>233</v>
      </c>
      <c r="C7" s="1" t="s">
        <v>12</v>
      </c>
      <c r="D7" s="1" t="s">
        <v>241</v>
      </c>
      <c r="E7" s="1" t="s">
        <v>336</v>
      </c>
      <c r="F7" s="2">
        <f t="shared" ref="F7:F70" si="4">+$F$4</f>
        <v>250000</v>
      </c>
      <c r="G7" s="4">
        <f>+VLOOKUP(C7,Indicadores!B:C,2,FALSE)</f>
        <v>0.75190000000000012</v>
      </c>
      <c r="H7" s="1" t="str">
        <f t="shared" ref="H7:H70" si="5">IF(G7&gt;=95%,"Cumple","No Cumple")</f>
        <v>No Cumple</v>
      </c>
      <c r="I7" s="4">
        <f>+VLOOKUP(C7,Indicadores!B:F,5,FALSE)</f>
        <v>1</v>
      </c>
      <c r="J7" s="1" t="str">
        <f t="shared" ref="J7:J70" si="6">IF(I7&gt;=95%,"Cumple","No Cumple")</f>
        <v>Cumple</v>
      </c>
      <c r="K7" s="9">
        <f t="shared" si="0"/>
        <v>150000</v>
      </c>
      <c r="L7" s="4">
        <f>+VLOOKUP(C7,Indicadores!B:P,15,FALSE)</f>
        <v>0.40476666666666666</v>
      </c>
      <c r="M7" s="1" t="str">
        <f t="shared" ref="M7:M70" si="7">IF(L7&gt;=80%,"Cumple","No Cumple")</f>
        <v>No Cumple</v>
      </c>
      <c r="N7" s="5">
        <f t="shared" ref="N7:N70" si="8">IF(L7=80%,K7*70%,IF(AND(L7&gt;=81%,L7&lt;=90%),K7*80%,IF(AND(L7&gt;=91%,L7&lt;=95%),K7*90%,IF(L7=96%,K7*96%,IF(L7=97%,K7*97%,IF(L7=98%,K7*98%,IF(L7=99%,K7*99%,IF(L7=100%,K7,0))))))))</f>
        <v>0</v>
      </c>
      <c r="O7" s="5">
        <f t="shared" si="1"/>
        <v>50000</v>
      </c>
      <c r="P7" s="4">
        <v>0.95</v>
      </c>
      <c r="Q7" s="5" t="str">
        <f t="shared" ref="Q7:Q70" si="9">IF(P7&gt;=80%,"Cumple","No Cumple")</f>
        <v>Cumple</v>
      </c>
      <c r="R7" s="5">
        <f t="shared" ref="R7:R70" si="10">+O7*95%</f>
        <v>47500</v>
      </c>
      <c r="S7" s="5">
        <f t="shared" si="2"/>
        <v>50000</v>
      </c>
      <c r="T7" s="4">
        <f>+VLOOKUP(C7,Indicadores!B:V,21,FALSE)</f>
        <v>1</v>
      </c>
      <c r="U7" s="35" t="str">
        <f t="shared" ref="U7:U70" si="11">IF(T7&gt;=100%,"Cumple","No Cumple")</f>
        <v>Cumple</v>
      </c>
      <c r="V7" s="2">
        <f t="shared" ref="V7:V70" si="12">IF(T7=100%,S7,0)</f>
        <v>50000</v>
      </c>
      <c r="W7" s="5" t="str">
        <f t="shared" si="3"/>
        <v>NO</v>
      </c>
      <c r="X7" s="5">
        <f t="shared" ref="X7:X70" si="13">+IF(W7="SI",N7+R7+V7,0)</f>
        <v>0</v>
      </c>
      <c r="Y7" s="1"/>
    </row>
    <row r="8" spans="2:25" x14ac:dyDescent="0.25">
      <c r="B8" s="1" t="s">
        <v>233</v>
      </c>
      <c r="C8" s="1" t="s">
        <v>13</v>
      </c>
      <c r="D8" s="1" t="s">
        <v>241</v>
      </c>
      <c r="E8" s="1" t="s">
        <v>336</v>
      </c>
      <c r="F8" s="2">
        <f t="shared" si="4"/>
        <v>250000</v>
      </c>
      <c r="G8" s="4">
        <f>+VLOOKUP(C8,Indicadores!B:C,2,FALSE)</f>
        <v>0.7582181818181819</v>
      </c>
      <c r="H8" s="1" t="str">
        <f t="shared" si="5"/>
        <v>No Cumple</v>
      </c>
      <c r="I8" s="4">
        <f>+VLOOKUP(C8,Indicadores!B:F,5,FALSE)</f>
        <v>0.44444444444444442</v>
      </c>
      <c r="J8" s="1" t="str">
        <f t="shared" si="6"/>
        <v>No Cumple</v>
      </c>
      <c r="K8" s="9">
        <f t="shared" si="0"/>
        <v>150000</v>
      </c>
      <c r="L8" s="4">
        <f>+VLOOKUP(C8,Indicadores!B:P,15,FALSE)</f>
        <v>0.39656666666666668</v>
      </c>
      <c r="M8" s="1" t="str">
        <f t="shared" si="7"/>
        <v>No Cumple</v>
      </c>
      <c r="N8" s="5">
        <f t="shared" si="8"/>
        <v>0</v>
      </c>
      <c r="O8" s="5">
        <f t="shared" si="1"/>
        <v>50000</v>
      </c>
      <c r="P8" s="4">
        <v>0.95</v>
      </c>
      <c r="Q8" s="5" t="str">
        <f t="shared" si="9"/>
        <v>Cumple</v>
      </c>
      <c r="R8" s="5">
        <f t="shared" si="10"/>
        <v>47500</v>
      </c>
      <c r="S8" s="5">
        <f t="shared" si="2"/>
        <v>50000</v>
      </c>
      <c r="T8" s="4">
        <f>+VLOOKUP(C8,Indicadores!B:V,21,FALSE)</f>
        <v>0.48935000000000001</v>
      </c>
      <c r="U8" s="35" t="str">
        <f t="shared" si="11"/>
        <v>No Cumple</v>
      </c>
      <c r="V8" s="2">
        <f t="shared" si="12"/>
        <v>0</v>
      </c>
      <c r="W8" s="5" t="str">
        <f t="shared" si="3"/>
        <v>NO</v>
      </c>
      <c r="X8" s="5">
        <f t="shared" si="13"/>
        <v>0</v>
      </c>
      <c r="Y8" s="1"/>
    </row>
    <row r="9" spans="2:25" x14ac:dyDescent="0.25">
      <c r="B9" s="1" t="s">
        <v>233</v>
      </c>
      <c r="C9" s="1" t="s">
        <v>14</v>
      </c>
      <c r="D9" s="1" t="s">
        <v>241</v>
      </c>
      <c r="E9" s="1" t="s">
        <v>336</v>
      </c>
      <c r="F9" s="2">
        <f t="shared" si="4"/>
        <v>250000</v>
      </c>
      <c r="G9" s="4">
        <f>+VLOOKUP(C9,Indicadores!B:C,2,FALSE)</f>
        <v>0.70937272727272738</v>
      </c>
      <c r="H9" s="1" t="str">
        <f t="shared" si="5"/>
        <v>No Cumple</v>
      </c>
      <c r="I9" s="4">
        <f>+VLOOKUP(C9,Indicadores!B:F,5,FALSE)</f>
        <v>0.82608695652173914</v>
      </c>
      <c r="J9" s="1" t="str">
        <f t="shared" si="6"/>
        <v>No Cumple</v>
      </c>
      <c r="K9" s="9">
        <f t="shared" si="0"/>
        <v>150000</v>
      </c>
      <c r="L9" s="4">
        <f>+VLOOKUP(C9,Indicadores!B:P,15,FALSE)</f>
        <v>0.35353333333333331</v>
      </c>
      <c r="M9" s="1" t="str">
        <f t="shared" si="7"/>
        <v>No Cumple</v>
      </c>
      <c r="N9" s="5">
        <f t="shared" si="8"/>
        <v>0</v>
      </c>
      <c r="O9" s="5">
        <f t="shared" si="1"/>
        <v>50000</v>
      </c>
      <c r="P9" s="4">
        <v>0.95</v>
      </c>
      <c r="Q9" s="5" t="str">
        <f t="shared" si="9"/>
        <v>Cumple</v>
      </c>
      <c r="R9" s="5">
        <f t="shared" si="10"/>
        <v>47500</v>
      </c>
      <c r="S9" s="5">
        <f t="shared" si="2"/>
        <v>50000</v>
      </c>
      <c r="T9" s="4">
        <f>+VLOOKUP(C9,Indicadores!B:V,21,FALSE)</f>
        <v>0.46970000000000001</v>
      </c>
      <c r="U9" s="35" t="str">
        <f t="shared" si="11"/>
        <v>No Cumple</v>
      </c>
      <c r="V9" s="2">
        <f t="shared" si="12"/>
        <v>0</v>
      </c>
      <c r="W9" s="5" t="str">
        <f t="shared" si="3"/>
        <v>NO</v>
      </c>
      <c r="X9" s="5">
        <f t="shared" si="13"/>
        <v>0</v>
      </c>
      <c r="Y9" s="1"/>
    </row>
    <row r="10" spans="2:25" x14ac:dyDescent="0.25">
      <c r="B10" s="1" t="s">
        <v>233</v>
      </c>
      <c r="C10" s="1" t="s">
        <v>15</v>
      </c>
      <c r="D10" s="1" t="s">
        <v>241</v>
      </c>
      <c r="E10" s="1" t="s">
        <v>336</v>
      </c>
      <c r="F10" s="2">
        <f t="shared" si="4"/>
        <v>250000</v>
      </c>
      <c r="G10" s="4">
        <f>+VLOOKUP(C10,Indicadores!B:C,2,FALSE)</f>
        <v>0.75084545454545448</v>
      </c>
      <c r="H10" s="1" t="str">
        <f t="shared" si="5"/>
        <v>No Cumple</v>
      </c>
      <c r="I10" s="4">
        <f>+VLOOKUP(C10,Indicadores!B:F,5,FALSE)</f>
        <v>1</v>
      </c>
      <c r="J10" s="1" t="str">
        <f t="shared" si="6"/>
        <v>Cumple</v>
      </c>
      <c r="K10" s="9">
        <f t="shared" si="0"/>
        <v>150000</v>
      </c>
      <c r="L10" s="4">
        <f>+VLOOKUP(C10,Indicadores!B:P,15,FALSE)</f>
        <v>0.53333333333333333</v>
      </c>
      <c r="M10" s="1" t="str">
        <f t="shared" si="7"/>
        <v>No Cumple</v>
      </c>
      <c r="N10" s="5">
        <f t="shared" si="8"/>
        <v>0</v>
      </c>
      <c r="O10" s="5">
        <f t="shared" si="1"/>
        <v>50000</v>
      </c>
      <c r="P10" s="4">
        <v>0.95</v>
      </c>
      <c r="Q10" s="5" t="str">
        <f t="shared" si="9"/>
        <v>Cumple</v>
      </c>
      <c r="R10" s="5">
        <f t="shared" si="10"/>
        <v>47500</v>
      </c>
      <c r="S10" s="5">
        <f t="shared" si="2"/>
        <v>50000</v>
      </c>
      <c r="T10" s="4">
        <f>+VLOOKUP(C10,Indicadores!B:V,21,FALSE)</f>
        <v>1</v>
      </c>
      <c r="U10" s="35" t="str">
        <f t="shared" si="11"/>
        <v>Cumple</v>
      </c>
      <c r="V10" s="2">
        <f t="shared" si="12"/>
        <v>50000</v>
      </c>
      <c r="W10" s="5" t="str">
        <f t="shared" si="3"/>
        <v>NO</v>
      </c>
      <c r="X10" s="5">
        <f t="shared" si="13"/>
        <v>0</v>
      </c>
      <c r="Y10" s="1"/>
    </row>
    <row r="11" spans="2:25" x14ac:dyDescent="0.25">
      <c r="B11" s="1" t="s">
        <v>233</v>
      </c>
      <c r="C11" s="1" t="s">
        <v>16</v>
      </c>
      <c r="D11" s="1" t="s">
        <v>241</v>
      </c>
      <c r="E11" s="1" t="s">
        <v>336</v>
      </c>
      <c r="F11" s="2">
        <f t="shared" si="4"/>
        <v>250000</v>
      </c>
      <c r="G11" s="4">
        <f>+VLOOKUP(C11,Indicadores!B:C,2,FALSE)</f>
        <v>0.4869</v>
      </c>
      <c r="H11" s="1" t="str">
        <f t="shared" si="5"/>
        <v>No Cumple</v>
      </c>
      <c r="I11" s="4">
        <f>+VLOOKUP(C11,Indicadores!B:F,5,FALSE)</f>
        <v>1</v>
      </c>
      <c r="J11" s="1" t="str">
        <f t="shared" si="6"/>
        <v>Cumple</v>
      </c>
      <c r="K11" s="9">
        <f t="shared" si="0"/>
        <v>150000</v>
      </c>
      <c r="L11" s="4">
        <f>+VLOOKUP(C11,Indicadores!B:P,15,FALSE)</f>
        <v>0.30066666666666669</v>
      </c>
      <c r="M11" s="1" t="str">
        <f t="shared" si="7"/>
        <v>No Cumple</v>
      </c>
      <c r="N11" s="5">
        <f t="shared" si="8"/>
        <v>0</v>
      </c>
      <c r="O11" s="5">
        <f t="shared" si="1"/>
        <v>50000</v>
      </c>
      <c r="P11" s="4">
        <v>0.95</v>
      </c>
      <c r="Q11" s="5" t="str">
        <f t="shared" si="9"/>
        <v>Cumple</v>
      </c>
      <c r="R11" s="5">
        <f t="shared" si="10"/>
        <v>47500</v>
      </c>
      <c r="S11" s="5">
        <f t="shared" si="2"/>
        <v>50000</v>
      </c>
      <c r="T11" s="4">
        <f>+VLOOKUP(C11,Indicadores!B:V,21,FALSE)</f>
        <v>0.38984999999999997</v>
      </c>
      <c r="U11" s="35" t="str">
        <f t="shared" si="11"/>
        <v>No Cumple</v>
      </c>
      <c r="V11" s="2">
        <f t="shared" si="12"/>
        <v>0</v>
      </c>
      <c r="W11" s="5" t="str">
        <f t="shared" si="3"/>
        <v>NO</v>
      </c>
      <c r="X11" s="5">
        <f t="shared" si="13"/>
        <v>0</v>
      </c>
      <c r="Y11" s="1"/>
    </row>
    <row r="12" spans="2:25" x14ac:dyDescent="0.25">
      <c r="B12" s="1" t="s">
        <v>233</v>
      </c>
      <c r="C12" s="1" t="s">
        <v>17</v>
      </c>
      <c r="D12" s="1" t="s">
        <v>241</v>
      </c>
      <c r="E12" s="1" t="s">
        <v>336</v>
      </c>
      <c r="F12" s="2">
        <f t="shared" si="4"/>
        <v>250000</v>
      </c>
      <c r="G12" s="4">
        <f>+VLOOKUP(C12,Indicadores!B:C,2,FALSE)</f>
        <v>0.78221818181818181</v>
      </c>
      <c r="H12" s="1" t="str">
        <f t="shared" si="5"/>
        <v>No Cumple</v>
      </c>
      <c r="I12" s="4">
        <f>+VLOOKUP(C12,Indicadores!B:F,5,FALSE)</f>
        <v>1</v>
      </c>
      <c r="J12" s="1" t="str">
        <f t="shared" si="6"/>
        <v>Cumple</v>
      </c>
      <c r="K12" s="9">
        <f t="shared" si="0"/>
        <v>150000</v>
      </c>
      <c r="L12" s="4">
        <f>+VLOOKUP(C12,Indicadores!B:P,15,FALSE)</f>
        <v>0.56656666666666666</v>
      </c>
      <c r="M12" s="1" t="str">
        <f t="shared" si="7"/>
        <v>No Cumple</v>
      </c>
      <c r="N12" s="5">
        <f t="shared" si="8"/>
        <v>0</v>
      </c>
      <c r="O12" s="5">
        <f t="shared" si="1"/>
        <v>50000</v>
      </c>
      <c r="P12" s="4">
        <v>0.95</v>
      </c>
      <c r="Q12" s="5" t="str">
        <f t="shared" si="9"/>
        <v>Cumple</v>
      </c>
      <c r="R12" s="5">
        <f t="shared" si="10"/>
        <v>47500</v>
      </c>
      <c r="S12" s="5">
        <f t="shared" si="2"/>
        <v>50000</v>
      </c>
      <c r="T12" s="4">
        <f>+VLOOKUP(C12,Indicadores!B:V,21,FALSE)</f>
        <v>0.4945</v>
      </c>
      <c r="U12" s="35" t="str">
        <f t="shared" si="11"/>
        <v>No Cumple</v>
      </c>
      <c r="V12" s="2">
        <f t="shared" si="12"/>
        <v>0</v>
      </c>
      <c r="W12" s="5" t="str">
        <f t="shared" si="3"/>
        <v>NO</v>
      </c>
      <c r="X12" s="5">
        <f t="shared" si="13"/>
        <v>0</v>
      </c>
      <c r="Y12" s="1"/>
    </row>
    <row r="13" spans="2:25" x14ac:dyDescent="0.25">
      <c r="B13" s="1" t="s">
        <v>233</v>
      </c>
      <c r="C13" s="1" t="s">
        <v>18</v>
      </c>
      <c r="D13" s="1" t="s">
        <v>241</v>
      </c>
      <c r="E13" s="1" t="s">
        <v>336</v>
      </c>
      <c r="F13" s="2">
        <f t="shared" si="4"/>
        <v>250000</v>
      </c>
      <c r="G13" s="4">
        <f>+VLOOKUP(C13,Indicadores!B:C,2,FALSE)</f>
        <v>0.75439999999999996</v>
      </c>
      <c r="H13" s="1" t="str">
        <f t="shared" si="5"/>
        <v>No Cumple</v>
      </c>
      <c r="I13" s="4">
        <f>+VLOOKUP(C13,Indicadores!B:F,5,FALSE)</f>
        <v>0.9285714285714286</v>
      </c>
      <c r="J13" s="1" t="str">
        <f t="shared" si="6"/>
        <v>No Cumple</v>
      </c>
      <c r="K13" s="9">
        <f t="shared" si="0"/>
        <v>150000</v>
      </c>
      <c r="L13" s="4">
        <f>+VLOOKUP(C13,Indicadores!B:P,15,FALSE)</f>
        <v>0.36899999999999999</v>
      </c>
      <c r="M13" s="1" t="str">
        <f t="shared" si="7"/>
        <v>No Cumple</v>
      </c>
      <c r="N13" s="5">
        <f t="shared" si="8"/>
        <v>0</v>
      </c>
      <c r="O13" s="5">
        <f t="shared" si="1"/>
        <v>50000</v>
      </c>
      <c r="P13" s="4">
        <v>0.95</v>
      </c>
      <c r="Q13" s="5" t="str">
        <f t="shared" si="9"/>
        <v>Cumple</v>
      </c>
      <c r="R13" s="5">
        <f t="shared" si="10"/>
        <v>47500</v>
      </c>
      <c r="S13" s="5">
        <f t="shared" si="2"/>
        <v>50000</v>
      </c>
      <c r="T13" s="4">
        <f>+VLOOKUP(C13,Indicadores!B:V,21,FALSE)</f>
        <v>0.94030000000000002</v>
      </c>
      <c r="U13" s="35" t="str">
        <f t="shared" si="11"/>
        <v>No Cumple</v>
      </c>
      <c r="V13" s="2">
        <f t="shared" si="12"/>
        <v>0</v>
      </c>
      <c r="W13" s="5" t="str">
        <f t="shared" si="3"/>
        <v>NO</v>
      </c>
      <c r="X13" s="5">
        <f t="shared" si="13"/>
        <v>0</v>
      </c>
      <c r="Y13" s="1"/>
    </row>
    <row r="14" spans="2:25" x14ac:dyDescent="0.25">
      <c r="B14" s="1" t="s">
        <v>233</v>
      </c>
      <c r="C14" s="1" t="s">
        <v>19</v>
      </c>
      <c r="D14" s="1" t="s">
        <v>242</v>
      </c>
      <c r="E14" s="1" t="s">
        <v>302</v>
      </c>
      <c r="F14" s="2">
        <f t="shared" si="4"/>
        <v>250000</v>
      </c>
      <c r="G14" s="4">
        <f>+VLOOKUP(C14,Indicadores!B:C,2,FALSE)</f>
        <v>0.73967272727272726</v>
      </c>
      <c r="H14" s="1" t="str">
        <f t="shared" si="5"/>
        <v>No Cumple</v>
      </c>
      <c r="I14" s="4">
        <f>+VLOOKUP(C14,Indicadores!B:F,5,FALSE)</f>
        <v>0.5</v>
      </c>
      <c r="J14" s="1" t="str">
        <f t="shared" si="6"/>
        <v>No Cumple</v>
      </c>
      <c r="K14" s="9">
        <f t="shared" si="0"/>
        <v>150000</v>
      </c>
      <c r="L14" s="4">
        <f>+VLOOKUP(C14,Indicadores!B:P,15,FALSE)</f>
        <v>0.66163333333333341</v>
      </c>
      <c r="M14" s="1" t="str">
        <f t="shared" si="7"/>
        <v>No Cumple</v>
      </c>
      <c r="N14" s="5">
        <f t="shared" si="8"/>
        <v>0</v>
      </c>
      <c r="O14" s="5">
        <f t="shared" si="1"/>
        <v>50000</v>
      </c>
      <c r="P14" s="4">
        <v>0.95</v>
      </c>
      <c r="Q14" s="5" t="str">
        <f t="shared" si="9"/>
        <v>Cumple</v>
      </c>
      <c r="R14" s="5">
        <f t="shared" si="10"/>
        <v>47500</v>
      </c>
      <c r="S14" s="5">
        <f t="shared" si="2"/>
        <v>50000</v>
      </c>
      <c r="T14" s="4">
        <f>+VLOOKUP(C14,Indicadores!B:V,21,FALSE)</f>
        <v>0.40910000000000002</v>
      </c>
      <c r="U14" s="35" t="str">
        <f t="shared" si="11"/>
        <v>No Cumple</v>
      </c>
      <c r="V14" s="2">
        <f t="shared" si="12"/>
        <v>0</v>
      </c>
      <c r="W14" s="5" t="str">
        <f t="shared" si="3"/>
        <v>NO</v>
      </c>
      <c r="X14" s="5">
        <f t="shared" si="13"/>
        <v>0</v>
      </c>
      <c r="Y14" s="1"/>
    </row>
    <row r="15" spans="2:25" x14ac:dyDescent="0.25">
      <c r="B15" s="1" t="s">
        <v>233</v>
      </c>
      <c r="C15" s="1" t="s">
        <v>20</v>
      </c>
      <c r="D15" s="1" t="s">
        <v>242</v>
      </c>
      <c r="E15" s="1" t="s">
        <v>302</v>
      </c>
      <c r="F15" s="2">
        <f t="shared" si="4"/>
        <v>250000</v>
      </c>
      <c r="G15" s="4">
        <f>+VLOOKUP(C15,Indicadores!B:C,2,FALSE)</f>
        <v>0.27650909090909087</v>
      </c>
      <c r="H15" s="1" t="str">
        <f t="shared" si="5"/>
        <v>No Cumple</v>
      </c>
      <c r="I15" s="4">
        <f>+VLOOKUP(C15,Indicadores!B:F,5,FALSE)</f>
        <v>1</v>
      </c>
      <c r="J15" s="1" t="str">
        <f t="shared" si="6"/>
        <v>Cumple</v>
      </c>
      <c r="K15" s="9">
        <f t="shared" si="0"/>
        <v>150000</v>
      </c>
      <c r="L15" s="4">
        <f>+VLOOKUP(C15,Indicadores!B:P,15,FALSE)</f>
        <v>0.11109999999999999</v>
      </c>
      <c r="M15" s="1" t="str">
        <f t="shared" si="7"/>
        <v>No Cumple</v>
      </c>
      <c r="N15" s="5">
        <f t="shared" si="8"/>
        <v>0</v>
      </c>
      <c r="O15" s="5">
        <f t="shared" si="1"/>
        <v>50000</v>
      </c>
      <c r="P15" s="4">
        <v>0.95</v>
      </c>
      <c r="Q15" s="5" t="str">
        <f t="shared" si="9"/>
        <v>Cumple</v>
      </c>
      <c r="R15" s="5">
        <f t="shared" si="10"/>
        <v>47500</v>
      </c>
      <c r="S15" s="5">
        <f t="shared" si="2"/>
        <v>50000</v>
      </c>
      <c r="T15" s="4">
        <f>+VLOOKUP(C15,Indicadores!B:V,21,FALSE)</f>
        <v>0.375</v>
      </c>
      <c r="U15" s="35" t="str">
        <f t="shared" si="11"/>
        <v>No Cumple</v>
      </c>
      <c r="V15" s="2">
        <f t="shared" si="12"/>
        <v>0</v>
      </c>
      <c r="W15" s="5" t="str">
        <f t="shared" si="3"/>
        <v>NO</v>
      </c>
      <c r="X15" s="5">
        <f t="shared" si="13"/>
        <v>0</v>
      </c>
      <c r="Y15" s="1"/>
    </row>
    <row r="16" spans="2:25" x14ac:dyDescent="0.25">
      <c r="B16" s="1" t="s">
        <v>233</v>
      </c>
      <c r="C16" s="1" t="s">
        <v>21</v>
      </c>
      <c r="D16" s="1" t="s">
        <v>241</v>
      </c>
      <c r="E16" s="1" t="s">
        <v>336</v>
      </c>
      <c r="F16" s="2">
        <f t="shared" si="4"/>
        <v>250000</v>
      </c>
      <c r="G16" s="4">
        <f>+VLOOKUP(C16,Indicadores!B:C,2,FALSE)</f>
        <v>0.76430909090909083</v>
      </c>
      <c r="H16" s="1" t="str">
        <f t="shared" si="5"/>
        <v>No Cumple</v>
      </c>
      <c r="I16" s="4">
        <f>+VLOOKUP(C16,Indicadores!B:F,5,FALSE)</f>
        <v>1</v>
      </c>
      <c r="J16" s="1" t="str">
        <f t="shared" si="6"/>
        <v>Cumple</v>
      </c>
      <c r="K16" s="9">
        <f t="shared" si="0"/>
        <v>150000</v>
      </c>
      <c r="L16" s="4">
        <f>+VLOOKUP(C16,Indicadores!B:P,15,FALSE)</f>
        <v>0.66666666666666663</v>
      </c>
      <c r="M16" s="1" t="str">
        <f t="shared" si="7"/>
        <v>No Cumple</v>
      </c>
      <c r="N16" s="5">
        <f t="shared" si="8"/>
        <v>0</v>
      </c>
      <c r="O16" s="5">
        <f t="shared" si="1"/>
        <v>50000</v>
      </c>
      <c r="P16" s="4">
        <v>0.95</v>
      </c>
      <c r="Q16" s="5" t="str">
        <f t="shared" si="9"/>
        <v>Cumple</v>
      </c>
      <c r="R16" s="5">
        <f t="shared" si="10"/>
        <v>47500</v>
      </c>
      <c r="S16" s="5">
        <f t="shared" si="2"/>
        <v>50000</v>
      </c>
      <c r="T16" s="4">
        <f>+VLOOKUP(C16,Indicadores!B:V,21,FALSE)</f>
        <v>1</v>
      </c>
      <c r="U16" s="35" t="str">
        <f t="shared" si="11"/>
        <v>Cumple</v>
      </c>
      <c r="V16" s="2">
        <f t="shared" si="12"/>
        <v>50000</v>
      </c>
      <c r="W16" s="5" t="str">
        <f t="shared" si="3"/>
        <v>NO</v>
      </c>
      <c r="X16" s="5">
        <f t="shared" si="13"/>
        <v>0</v>
      </c>
      <c r="Y16" s="1"/>
    </row>
    <row r="17" spans="2:25" x14ac:dyDescent="0.25">
      <c r="B17" s="1" t="s">
        <v>233</v>
      </c>
      <c r="C17" s="1" t="s">
        <v>22</v>
      </c>
      <c r="D17" s="1" t="s">
        <v>241</v>
      </c>
      <c r="E17" s="1" t="s">
        <v>336</v>
      </c>
      <c r="F17" s="2">
        <f t="shared" si="4"/>
        <v>250000</v>
      </c>
      <c r="G17" s="4">
        <f>+VLOOKUP(C17,Indicadores!B:C,2,FALSE)</f>
        <v>0.73865454545454545</v>
      </c>
      <c r="H17" s="1" t="str">
        <f t="shared" si="5"/>
        <v>No Cumple</v>
      </c>
      <c r="I17" s="4">
        <f>+VLOOKUP(C17,Indicadores!B:F,5,FALSE)</f>
        <v>1</v>
      </c>
      <c r="J17" s="1" t="str">
        <f t="shared" si="6"/>
        <v>Cumple</v>
      </c>
      <c r="K17" s="9">
        <f t="shared" si="0"/>
        <v>150000</v>
      </c>
      <c r="L17" s="4">
        <f>+VLOOKUP(C17,Indicadores!B:P,15,FALSE)</f>
        <v>0.30556666666666665</v>
      </c>
      <c r="M17" s="1" t="str">
        <f t="shared" si="7"/>
        <v>No Cumple</v>
      </c>
      <c r="N17" s="5">
        <f t="shared" si="8"/>
        <v>0</v>
      </c>
      <c r="O17" s="5">
        <f t="shared" si="1"/>
        <v>50000</v>
      </c>
      <c r="P17" s="4">
        <v>0.95</v>
      </c>
      <c r="Q17" s="5" t="str">
        <f t="shared" si="9"/>
        <v>Cumple</v>
      </c>
      <c r="R17" s="5">
        <f t="shared" si="10"/>
        <v>47500</v>
      </c>
      <c r="S17" s="5">
        <f t="shared" si="2"/>
        <v>50000</v>
      </c>
      <c r="T17" s="4">
        <f>+VLOOKUP(C17,Indicadores!B:V,21,FALSE)</f>
        <v>0.91669999999999996</v>
      </c>
      <c r="U17" s="35" t="str">
        <f t="shared" si="11"/>
        <v>No Cumple</v>
      </c>
      <c r="V17" s="2">
        <f t="shared" si="12"/>
        <v>0</v>
      </c>
      <c r="W17" s="5" t="str">
        <f t="shared" si="3"/>
        <v>NO</v>
      </c>
      <c r="X17" s="5">
        <f t="shared" si="13"/>
        <v>0</v>
      </c>
      <c r="Y17" s="1"/>
    </row>
    <row r="18" spans="2:25" x14ac:dyDescent="0.25">
      <c r="B18" s="1" t="s">
        <v>233</v>
      </c>
      <c r="C18" s="1" t="s">
        <v>23</v>
      </c>
      <c r="D18" s="1" t="s">
        <v>241</v>
      </c>
      <c r="E18" s="1" t="s">
        <v>336</v>
      </c>
      <c r="F18" s="2">
        <f t="shared" si="4"/>
        <v>250000</v>
      </c>
      <c r="G18" s="4">
        <f>+VLOOKUP(C18,Indicadores!B:C,2,FALSE)</f>
        <v>0.76424545454545456</v>
      </c>
      <c r="H18" s="1" t="str">
        <f t="shared" si="5"/>
        <v>No Cumple</v>
      </c>
      <c r="I18" s="4">
        <f>+VLOOKUP(C18,Indicadores!B:F,5,FALSE)</f>
        <v>1</v>
      </c>
      <c r="J18" s="1" t="str">
        <f t="shared" si="6"/>
        <v>Cumple</v>
      </c>
      <c r="K18" s="9">
        <f t="shared" si="0"/>
        <v>150000</v>
      </c>
      <c r="L18" s="4">
        <f>+VLOOKUP(C18,Indicadores!B:P,15,FALSE)</f>
        <v>0.43973333333333336</v>
      </c>
      <c r="M18" s="1" t="str">
        <f t="shared" si="7"/>
        <v>No Cumple</v>
      </c>
      <c r="N18" s="5">
        <f t="shared" si="8"/>
        <v>0</v>
      </c>
      <c r="O18" s="5">
        <f t="shared" si="1"/>
        <v>50000</v>
      </c>
      <c r="P18" s="4">
        <v>0.95</v>
      </c>
      <c r="Q18" s="5" t="str">
        <f t="shared" si="9"/>
        <v>Cumple</v>
      </c>
      <c r="R18" s="5">
        <f t="shared" si="10"/>
        <v>47500</v>
      </c>
      <c r="S18" s="5">
        <f t="shared" si="2"/>
        <v>50000</v>
      </c>
      <c r="T18" s="4">
        <f>+VLOOKUP(C18,Indicadores!B:V,21,FALSE)</f>
        <v>0.5</v>
      </c>
      <c r="U18" s="35" t="str">
        <f t="shared" si="11"/>
        <v>No Cumple</v>
      </c>
      <c r="V18" s="2">
        <f t="shared" si="12"/>
        <v>0</v>
      </c>
      <c r="W18" s="5" t="str">
        <f t="shared" si="3"/>
        <v>NO</v>
      </c>
      <c r="X18" s="5">
        <f t="shared" si="13"/>
        <v>0</v>
      </c>
      <c r="Y18" s="1"/>
    </row>
    <row r="19" spans="2:25" x14ac:dyDescent="0.25">
      <c r="B19" s="1" t="s">
        <v>233</v>
      </c>
      <c r="C19" s="1" t="s">
        <v>24</v>
      </c>
      <c r="D19" s="1" t="s">
        <v>241</v>
      </c>
      <c r="E19" s="1" t="s">
        <v>336</v>
      </c>
      <c r="F19" s="2">
        <f t="shared" si="4"/>
        <v>250000</v>
      </c>
      <c r="G19" s="4">
        <f>+VLOOKUP(C19,Indicadores!B:C,2,FALSE)</f>
        <v>0.77872727272727282</v>
      </c>
      <c r="H19" s="1" t="str">
        <f t="shared" si="5"/>
        <v>No Cumple</v>
      </c>
      <c r="I19" s="4">
        <f>+VLOOKUP(C19,Indicadores!B:F,5,FALSE)</f>
        <v>0.66666666666666663</v>
      </c>
      <c r="J19" s="1" t="str">
        <f t="shared" si="6"/>
        <v>No Cumple</v>
      </c>
      <c r="K19" s="9">
        <f t="shared" si="0"/>
        <v>150000</v>
      </c>
      <c r="L19" s="4">
        <f>+VLOOKUP(C19,Indicadores!B:P,15,FALSE)</f>
        <v>0.66510000000000002</v>
      </c>
      <c r="M19" s="1" t="str">
        <f t="shared" si="7"/>
        <v>No Cumple</v>
      </c>
      <c r="N19" s="5">
        <f t="shared" si="8"/>
        <v>0</v>
      </c>
      <c r="O19" s="5">
        <f t="shared" si="1"/>
        <v>50000</v>
      </c>
      <c r="P19" s="4">
        <v>0.95</v>
      </c>
      <c r="Q19" s="5" t="str">
        <f t="shared" si="9"/>
        <v>Cumple</v>
      </c>
      <c r="R19" s="5">
        <f t="shared" si="10"/>
        <v>47500</v>
      </c>
      <c r="S19" s="5">
        <f t="shared" si="2"/>
        <v>50000</v>
      </c>
      <c r="T19" s="4">
        <f>+VLOOKUP(C19,Indicadores!B:V,21,FALSE)</f>
        <v>0.5</v>
      </c>
      <c r="U19" s="35" t="str">
        <f t="shared" si="11"/>
        <v>No Cumple</v>
      </c>
      <c r="V19" s="2">
        <f t="shared" si="12"/>
        <v>0</v>
      </c>
      <c r="W19" s="5" t="str">
        <f t="shared" si="3"/>
        <v>NO</v>
      </c>
      <c r="X19" s="5">
        <f t="shared" si="13"/>
        <v>0</v>
      </c>
      <c r="Y19" s="1"/>
    </row>
    <row r="20" spans="2:25" x14ac:dyDescent="0.25">
      <c r="B20" s="1" t="s">
        <v>233</v>
      </c>
      <c r="C20" s="1" t="s">
        <v>25</v>
      </c>
      <c r="D20" s="1" t="s">
        <v>241</v>
      </c>
      <c r="E20" s="1" t="s">
        <v>336</v>
      </c>
      <c r="F20" s="2">
        <f t="shared" si="4"/>
        <v>250000</v>
      </c>
      <c r="G20" s="4">
        <f>+VLOOKUP(C20,Indicadores!B:C,2,FALSE)</f>
        <v>0.74007272727272733</v>
      </c>
      <c r="H20" s="1" t="str">
        <f t="shared" si="5"/>
        <v>No Cumple</v>
      </c>
      <c r="I20" s="4">
        <f>+VLOOKUP(C20,Indicadores!B:F,5,FALSE)</f>
        <v>0.83333333333333337</v>
      </c>
      <c r="J20" s="1" t="str">
        <f t="shared" si="6"/>
        <v>No Cumple</v>
      </c>
      <c r="K20" s="9">
        <f t="shared" si="0"/>
        <v>150000</v>
      </c>
      <c r="L20" s="4">
        <f>+VLOOKUP(C20,Indicadores!B:P,15,FALSE)</f>
        <v>0.33333333333333331</v>
      </c>
      <c r="M20" s="1" t="str">
        <f t="shared" si="7"/>
        <v>No Cumple</v>
      </c>
      <c r="N20" s="5">
        <f t="shared" si="8"/>
        <v>0</v>
      </c>
      <c r="O20" s="5">
        <f t="shared" si="1"/>
        <v>50000</v>
      </c>
      <c r="P20" s="4">
        <v>0.95</v>
      </c>
      <c r="Q20" s="5" t="str">
        <f t="shared" si="9"/>
        <v>Cumple</v>
      </c>
      <c r="R20" s="5">
        <f t="shared" si="10"/>
        <v>47500</v>
      </c>
      <c r="S20" s="5">
        <f t="shared" si="2"/>
        <v>50000</v>
      </c>
      <c r="T20" s="4">
        <f>+VLOOKUP(C20,Indicadores!B:V,21,FALSE)</f>
        <v>0.49220000000000003</v>
      </c>
      <c r="U20" s="35" t="str">
        <f t="shared" si="11"/>
        <v>No Cumple</v>
      </c>
      <c r="V20" s="2">
        <f t="shared" si="12"/>
        <v>0</v>
      </c>
      <c r="W20" s="5" t="str">
        <f t="shared" si="3"/>
        <v>NO</v>
      </c>
      <c r="X20" s="5">
        <f t="shared" si="13"/>
        <v>0</v>
      </c>
      <c r="Y20" s="1"/>
    </row>
    <row r="21" spans="2:25" x14ac:dyDescent="0.25">
      <c r="B21" s="1" t="s">
        <v>233</v>
      </c>
      <c r="C21" s="1" t="s">
        <v>26</v>
      </c>
      <c r="D21" s="1" t="s">
        <v>241</v>
      </c>
      <c r="E21" s="1" t="s">
        <v>336</v>
      </c>
      <c r="F21" s="2">
        <f t="shared" si="4"/>
        <v>250000</v>
      </c>
      <c r="G21" s="4">
        <f>+VLOOKUP(C21,Indicadores!B:C,2,FALSE)</f>
        <v>0.75609090909090915</v>
      </c>
      <c r="H21" s="1" t="str">
        <f t="shared" si="5"/>
        <v>No Cumple</v>
      </c>
      <c r="I21" s="4">
        <f>+VLOOKUP(C21,Indicadores!B:F,5,FALSE)</f>
        <v>1</v>
      </c>
      <c r="J21" s="1" t="str">
        <f t="shared" si="6"/>
        <v>Cumple</v>
      </c>
      <c r="K21" s="9">
        <f t="shared" si="0"/>
        <v>150000</v>
      </c>
      <c r="L21" s="4">
        <f>+VLOOKUP(C21,Indicadores!B:P,15,FALSE)</f>
        <v>0.38210000000000005</v>
      </c>
      <c r="M21" s="1" t="str">
        <f t="shared" si="7"/>
        <v>No Cumple</v>
      </c>
      <c r="N21" s="5">
        <f t="shared" si="8"/>
        <v>0</v>
      </c>
      <c r="O21" s="5">
        <f t="shared" si="1"/>
        <v>50000</v>
      </c>
      <c r="P21" s="4">
        <v>0.95</v>
      </c>
      <c r="Q21" s="5" t="str">
        <f t="shared" si="9"/>
        <v>Cumple</v>
      </c>
      <c r="R21" s="5">
        <f t="shared" si="10"/>
        <v>47500</v>
      </c>
      <c r="S21" s="5">
        <f t="shared" si="2"/>
        <v>50000</v>
      </c>
      <c r="T21" s="4">
        <f>+VLOOKUP(C21,Indicadores!B:V,21,FALSE)</f>
        <v>0.48780000000000001</v>
      </c>
      <c r="U21" s="35" t="str">
        <f t="shared" si="11"/>
        <v>No Cumple</v>
      </c>
      <c r="V21" s="2">
        <f t="shared" si="12"/>
        <v>0</v>
      </c>
      <c r="W21" s="5" t="str">
        <f t="shared" si="3"/>
        <v>NO</v>
      </c>
      <c r="X21" s="5">
        <f t="shared" si="13"/>
        <v>0</v>
      </c>
      <c r="Y21" s="1"/>
    </row>
    <row r="22" spans="2:25" x14ac:dyDescent="0.25">
      <c r="B22" s="1" t="s">
        <v>233</v>
      </c>
      <c r="C22" s="1" t="s">
        <v>27</v>
      </c>
      <c r="D22" s="1" t="s">
        <v>241</v>
      </c>
      <c r="E22" s="1" t="s">
        <v>337</v>
      </c>
      <c r="F22" s="2">
        <f t="shared" si="4"/>
        <v>250000</v>
      </c>
      <c r="G22" s="4">
        <f>+VLOOKUP(C22,Indicadores!B:C,2,FALSE)</f>
        <v>0.8050272727272727</v>
      </c>
      <c r="H22" s="1" t="str">
        <f t="shared" si="5"/>
        <v>No Cumple</v>
      </c>
      <c r="I22" s="4">
        <f>+VLOOKUP(C22,Indicadores!B:F,5,FALSE)</f>
        <v>1</v>
      </c>
      <c r="J22" s="1" t="str">
        <f t="shared" si="6"/>
        <v>Cumple</v>
      </c>
      <c r="K22" s="9">
        <f t="shared" si="0"/>
        <v>150000</v>
      </c>
      <c r="L22" s="4">
        <f>+VLOOKUP(C22,Indicadores!B:P,15,FALSE)</f>
        <v>0.61946666666666672</v>
      </c>
      <c r="M22" s="1" t="str">
        <f t="shared" si="7"/>
        <v>No Cumple</v>
      </c>
      <c r="N22" s="5">
        <f t="shared" si="8"/>
        <v>0</v>
      </c>
      <c r="O22" s="5">
        <f t="shared" si="1"/>
        <v>50000</v>
      </c>
      <c r="P22" s="4">
        <v>0.95</v>
      </c>
      <c r="Q22" s="5" t="str">
        <f t="shared" si="9"/>
        <v>Cumple</v>
      </c>
      <c r="R22" s="5">
        <f t="shared" si="10"/>
        <v>47500</v>
      </c>
      <c r="S22" s="5">
        <f t="shared" si="2"/>
        <v>50000</v>
      </c>
      <c r="T22" s="4">
        <f>+VLOOKUP(C22,Indicadores!B:V,21,FALSE)</f>
        <v>1</v>
      </c>
      <c r="U22" s="35" t="str">
        <f t="shared" si="11"/>
        <v>Cumple</v>
      </c>
      <c r="V22" s="2">
        <f t="shared" si="12"/>
        <v>50000</v>
      </c>
      <c r="W22" s="5" t="str">
        <f t="shared" si="3"/>
        <v>NO</v>
      </c>
      <c r="X22" s="5">
        <f t="shared" si="13"/>
        <v>0</v>
      </c>
      <c r="Y22" s="1"/>
    </row>
    <row r="23" spans="2:25" x14ac:dyDescent="0.25">
      <c r="B23" s="1" t="s">
        <v>233</v>
      </c>
      <c r="C23" s="1" t="s">
        <v>28</v>
      </c>
      <c r="D23" s="1" t="s">
        <v>241</v>
      </c>
      <c r="E23" s="1" t="s">
        <v>337</v>
      </c>
      <c r="F23" s="2">
        <f t="shared" si="4"/>
        <v>250000</v>
      </c>
      <c r="G23" s="4">
        <f>+VLOOKUP(C23,Indicadores!B:C,2,FALSE)</f>
        <v>0.76277272727272727</v>
      </c>
      <c r="H23" s="1" t="str">
        <f t="shared" si="5"/>
        <v>No Cumple</v>
      </c>
      <c r="I23" s="4">
        <f>+VLOOKUP(C23,Indicadores!B:F,5,FALSE)</f>
        <v>1</v>
      </c>
      <c r="J23" s="1" t="str">
        <f t="shared" si="6"/>
        <v>Cumple</v>
      </c>
      <c r="K23" s="9">
        <f t="shared" si="0"/>
        <v>150000</v>
      </c>
      <c r="L23" s="4">
        <f>+VLOOKUP(C23,Indicadores!B:P,15,FALSE)</f>
        <v>0.48530000000000001</v>
      </c>
      <c r="M23" s="1" t="str">
        <f t="shared" si="7"/>
        <v>No Cumple</v>
      </c>
      <c r="N23" s="5">
        <f t="shared" si="8"/>
        <v>0</v>
      </c>
      <c r="O23" s="5">
        <f t="shared" si="1"/>
        <v>50000</v>
      </c>
      <c r="P23" s="4">
        <v>0.95</v>
      </c>
      <c r="Q23" s="5" t="str">
        <f t="shared" si="9"/>
        <v>Cumple</v>
      </c>
      <c r="R23" s="5">
        <f t="shared" si="10"/>
        <v>47500</v>
      </c>
      <c r="S23" s="5">
        <f t="shared" si="2"/>
        <v>50000</v>
      </c>
      <c r="T23" s="4">
        <f>+VLOOKUP(C23,Indicadores!B:V,21,FALSE)</f>
        <v>1</v>
      </c>
      <c r="U23" s="35" t="str">
        <f t="shared" si="11"/>
        <v>Cumple</v>
      </c>
      <c r="V23" s="2">
        <f t="shared" si="12"/>
        <v>50000</v>
      </c>
      <c r="W23" s="5" t="str">
        <f t="shared" si="3"/>
        <v>NO</v>
      </c>
      <c r="X23" s="5">
        <f t="shared" si="13"/>
        <v>0</v>
      </c>
      <c r="Y23" s="1"/>
    </row>
    <row r="24" spans="2:25" x14ac:dyDescent="0.25">
      <c r="B24" s="1" t="s">
        <v>233</v>
      </c>
      <c r="C24" s="1" t="s">
        <v>29</v>
      </c>
      <c r="D24" s="1" t="s">
        <v>241</v>
      </c>
      <c r="E24" s="1" t="s">
        <v>337</v>
      </c>
      <c r="F24" s="2">
        <f t="shared" si="4"/>
        <v>250000</v>
      </c>
      <c r="G24" s="4">
        <f>+VLOOKUP(C24,Indicadores!B:C,2,FALSE)</f>
        <v>0.83382727272727275</v>
      </c>
      <c r="H24" s="1" t="str">
        <f t="shared" si="5"/>
        <v>No Cumple</v>
      </c>
      <c r="I24" s="4">
        <f>+VLOOKUP(C24,Indicadores!B:F,5,FALSE)</f>
        <v>1</v>
      </c>
      <c r="J24" s="1" t="str">
        <f t="shared" si="6"/>
        <v>Cumple</v>
      </c>
      <c r="K24" s="9">
        <f t="shared" si="0"/>
        <v>150000</v>
      </c>
      <c r="L24" s="4">
        <f>+VLOOKUP(C24,Indicadores!B:P,15,FALSE)</f>
        <v>0.4371666666666667</v>
      </c>
      <c r="M24" s="1" t="str">
        <f t="shared" si="7"/>
        <v>No Cumple</v>
      </c>
      <c r="N24" s="5">
        <f t="shared" si="8"/>
        <v>0</v>
      </c>
      <c r="O24" s="5">
        <f t="shared" si="1"/>
        <v>50000</v>
      </c>
      <c r="P24" s="4">
        <v>0.95</v>
      </c>
      <c r="Q24" s="5" t="str">
        <f t="shared" si="9"/>
        <v>Cumple</v>
      </c>
      <c r="R24" s="5">
        <f t="shared" si="10"/>
        <v>47500</v>
      </c>
      <c r="S24" s="5">
        <f t="shared" si="2"/>
        <v>50000</v>
      </c>
      <c r="T24" s="4">
        <f>+VLOOKUP(C24,Indicadores!B:V,21,FALSE)</f>
        <v>1</v>
      </c>
      <c r="U24" s="35" t="str">
        <f t="shared" si="11"/>
        <v>Cumple</v>
      </c>
      <c r="V24" s="2">
        <f t="shared" si="12"/>
        <v>50000</v>
      </c>
      <c r="W24" s="5" t="str">
        <f t="shared" si="3"/>
        <v>NO</v>
      </c>
      <c r="X24" s="5">
        <f t="shared" si="13"/>
        <v>0</v>
      </c>
      <c r="Y24" s="1"/>
    </row>
    <row r="25" spans="2:25" x14ac:dyDescent="0.25">
      <c r="B25" s="1" t="s">
        <v>233</v>
      </c>
      <c r="C25" s="1" t="s">
        <v>30</v>
      </c>
      <c r="D25" s="1" t="s">
        <v>241</v>
      </c>
      <c r="E25" s="1" t="s">
        <v>337</v>
      </c>
      <c r="F25" s="2">
        <f t="shared" si="4"/>
        <v>250000</v>
      </c>
      <c r="G25" s="4">
        <f>+VLOOKUP(C25,Indicadores!B:C,2,FALSE)</f>
        <v>0.84884545454545457</v>
      </c>
      <c r="H25" s="1" t="str">
        <f t="shared" si="5"/>
        <v>No Cumple</v>
      </c>
      <c r="I25" s="4">
        <f>+VLOOKUP(C25,Indicadores!B:F,5,FALSE)</f>
        <v>1</v>
      </c>
      <c r="J25" s="1" t="str">
        <f t="shared" si="6"/>
        <v>Cumple</v>
      </c>
      <c r="K25" s="9">
        <f t="shared" si="0"/>
        <v>150000</v>
      </c>
      <c r="L25" s="4">
        <f>+VLOOKUP(C25,Indicadores!B:P,15,FALSE)</f>
        <v>0.84649999999999992</v>
      </c>
      <c r="M25" s="1" t="str">
        <f t="shared" si="7"/>
        <v>Cumple</v>
      </c>
      <c r="N25" s="5">
        <f t="shared" si="8"/>
        <v>120000</v>
      </c>
      <c r="O25" s="5">
        <f t="shared" si="1"/>
        <v>50000</v>
      </c>
      <c r="P25" s="4">
        <v>0.95</v>
      </c>
      <c r="Q25" s="5" t="str">
        <f t="shared" si="9"/>
        <v>Cumple</v>
      </c>
      <c r="R25" s="5">
        <f t="shared" si="10"/>
        <v>47500</v>
      </c>
      <c r="S25" s="5">
        <f t="shared" si="2"/>
        <v>50000</v>
      </c>
      <c r="T25" s="4">
        <f>+VLOOKUP(C25,Indicadores!B:V,21,FALSE)</f>
        <v>0.5</v>
      </c>
      <c r="U25" s="35" t="str">
        <f t="shared" si="11"/>
        <v>No Cumple</v>
      </c>
      <c r="V25" s="2">
        <f t="shared" si="12"/>
        <v>0</v>
      </c>
      <c r="W25" s="5" t="str">
        <f t="shared" si="3"/>
        <v>NO</v>
      </c>
      <c r="X25" s="5">
        <f t="shared" si="13"/>
        <v>0</v>
      </c>
      <c r="Y25" s="1"/>
    </row>
    <row r="26" spans="2:25" x14ac:dyDescent="0.25">
      <c r="B26" s="1" t="s">
        <v>233</v>
      </c>
      <c r="C26" s="1" t="s">
        <v>31</v>
      </c>
      <c r="D26" s="1" t="s">
        <v>241</v>
      </c>
      <c r="E26" s="1" t="s">
        <v>337</v>
      </c>
      <c r="F26" s="2">
        <f t="shared" si="4"/>
        <v>250000</v>
      </c>
      <c r="G26" s="4">
        <f>+VLOOKUP(C26,Indicadores!B:C,2,FALSE)</f>
        <v>0.7612363636363636</v>
      </c>
      <c r="H26" s="1" t="str">
        <f t="shared" si="5"/>
        <v>No Cumple</v>
      </c>
      <c r="I26" s="4">
        <f>+VLOOKUP(C26,Indicadores!B:F,5,FALSE)</f>
        <v>1</v>
      </c>
      <c r="J26" s="1" t="str">
        <f t="shared" si="6"/>
        <v>Cumple</v>
      </c>
      <c r="K26" s="9">
        <f t="shared" si="0"/>
        <v>150000</v>
      </c>
      <c r="L26" s="4">
        <f>+VLOOKUP(C26,Indicadores!B:P,15,FALSE)</f>
        <v>0.63419999999999999</v>
      </c>
      <c r="M26" s="1" t="str">
        <f t="shared" si="7"/>
        <v>No Cumple</v>
      </c>
      <c r="N26" s="5">
        <f t="shared" si="8"/>
        <v>0</v>
      </c>
      <c r="O26" s="5">
        <f t="shared" si="1"/>
        <v>50000</v>
      </c>
      <c r="P26" s="4">
        <v>0.95</v>
      </c>
      <c r="Q26" s="5" t="str">
        <f t="shared" si="9"/>
        <v>Cumple</v>
      </c>
      <c r="R26" s="5">
        <f t="shared" si="10"/>
        <v>47500</v>
      </c>
      <c r="S26" s="5">
        <f t="shared" si="2"/>
        <v>50000</v>
      </c>
      <c r="T26" s="4">
        <f>+VLOOKUP(C26,Indicadores!B:V,21,FALSE)</f>
        <v>1</v>
      </c>
      <c r="U26" s="35" t="str">
        <f t="shared" si="11"/>
        <v>Cumple</v>
      </c>
      <c r="V26" s="2">
        <f t="shared" si="12"/>
        <v>50000</v>
      </c>
      <c r="W26" s="5" t="str">
        <f t="shared" si="3"/>
        <v>NO</v>
      </c>
      <c r="X26" s="5">
        <f t="shared" si="13"/>
        <v>0</v>
      </c>
      <c r="Y26" s="1"/>
    </row>
    <row r="27" spans="2:25" x14ac:dyDescent="0.25">
      <c r="B27" s="1" t="s">
        <v>233</v>
      </c>
      <c r="C27" s="1" t="s">
        <v>32</v>
      </c>
      <c r="D27" s="1" t="s">
        <v>241</v>
      </c>
      <c r="E27" s="1" t="s">
        <v>337</v>
      </c>
      <c r="F27" s="2">
        <f t="shared" si="4"/>
        <v>250000</v>
      </c>
      <c r="G27" s="4">
        <f>+VLOOKUP(C27,Indicadores!B:C,2,FALSE)</f>
        <v>0.75548181818181814</v>
      </c>
      <c r="H27" s="1" t="str">
        <f t="shared" si="5"/>
        <v>No Cumple</v>
      </c>
      <c r="I27" s="4">
        <f>+VLOOKUP(C27,Indicadores!B:F,5,FALSE)</f>
        <v>1</v>
      </c>
      <c r="J27" s="1" t="str">
        <f t="shared" si="6"/>
        <v>Cumple</v>
      </c>
      <c r="K27" s="9">
        <f t="shared" si="0"/>
        <v>150000</v>
      </c>
      <c r="L27" s="4">
        <f>+VLOOKUP(C27,Indicadores!B:P,15,FALSE)</f>
        <v>0.55913333333333337</v>
      </c>
      <c r="M27" s="1" t="str">
        <f t="shared" si="7"/>
        <v>No Cumple</v>
      </c>
      <c r="N27" s="5">
        <f t="shared" si="8"/>
        <v>0</v>
      </c>
      <c r="O27" s="5">
        <f t="shared" si="1"/>
        <v>50000</v>
      </c>
      <c r="P27" s="4">
        <v>0.95</v>
      </c>
      <c r="Q27" s="5" t="str">
        <f t="shared" si="9"/>
        <v>Cumple</v>
      </c>
      <c r="R27" s="5">
        <f t="shared" si="10"/>
        <v>47500</v>
      </c>
      <c r="S27" s="5">
        <f t="shared" si="2"/>
        <v>50000</v>
      </c>
      <c r="T27" s="4">
        <f>+VLOOKUP(C27,Indicadores!B:V,21,FALSE)</f>
        <v>1</v>
      </c>
      <c r="U27" s="35" t="str">
        <f t="shared" si="11"/>
        <v>Cumple</v>
      </c>
      <c r="V27" s="2">
        <f t="shared" si="12"/>
        <v>50000</v>
      </c>
      <c r="W27" s="5" t="str">
        <f t="shared" si="3"/>
        <v>NO</v>
      </c>
      <c r="X27" s="5">
        <f t="shared" si="13"/>
        <v>0</v>
      </c>
      <c r="Y27" s="1"/>
    </row>
    <row r="28" spans="2:25" x14ac:dyDescent="0.25">
      <c r="B28" s="1" t="s">
        <v>233</v>
      </c>
      <c r="C28" s="1" t="s">
        <v>33</v>
      </c>
      <c r="D28" s="1" t="s">
        <v>241</v>
      </c>
      <c r="E28" s="1" t="s">
        <v>337</v>
      </c>
      <c r="F28" s="2">
        <f t="shared" si="4"/>
        <v>250000</v>
      </c>
      <c r="G28" s="4">
        <f>+VLOOKUP(C28,Indicadores!B:C,2,FALSE)</f>
        <v>0.85924545454545442</v>
      </c>
      <c r="H28" s="1" t="str">
        <f t="shared" si="5"/>
        <v>No Cumple</v>
      </c>
      <c r="I28" s="4">
        <f>+VLOOKUP(C28,Indicadores!B:F,5,FALSE)</f>
        <v>1</v>
      </c>
      <c r="J28" s="1" t="str">
        <f t="shared" si="6"/>
        <v>Cumple</v>
      </c>
      <c r="K28" s="9">
        <f t="shared" si="0"/>
        <v>150000</v>
      </c>
      <c r="L28" s="4">
        <f>+VLOOKUP(C28,Indicadores!B:P,15,FALSE)</f>
        <v>0.72873333333333334</v>
      </c>
      <c r="M28" s="1" t="str">
        <f t="shared" si="7"/>
        <v>No Cumple</v>
      </c>
      <c r="N28" s="5">
        <f t="shared" si="8"/>
        <v>0</v>
      </c>
      <c r="O28" s="5">
        <f t="shared" si="1"/>
        <v>50000</v>
      </c>
      <c r="P28" s="4">
        <v>0.95</v>
      </c>
      <c r="Q28" s="5" t="str">
        <f t="shared" si="9"/>
        <v>Cumple</v>
      </c>
      <c r="R28" s="5">
        <f t="shared" si="10"/>
        <v>47500</v>
      </c>
      <c r="S28" s="5">
        <f t="shared" si="2"/>
        <v>50000</v>
      </c>
      <c r="T28" s="4">
        <f>+VLOOKUP(C28,Indicadores!B:V,21,FALSE)</f>
        <v>0.99560000000000004</v>
      </c>
      <c r="U28" s="35" t="str">
        <f t="shared" si="11"/>
        <v>No Cumple</v>
      </c>
      <c r="V28" s="2">
        <f t="shared" si="12"/>
        <v>0</v>
      </c>
      <c r="W28" s="5" t="str">
        <f t="shared" si="3"/>
        <v>NO</v>
      </c>
      <c r="X28" s="5">
        <f t="shared" si="13"/>
        <v>0</v>
      </c>
      <c r="Y28" s="1"/>
    </row>
    <row r="29" spans="2:25" x14ac:dyDescent="0.25">
      <c r="B29" s="1" t="s">
        <v>233</v>
      </c>
      <c r="C29" s="1" t="s">
        <v>34</v>
      </c>
      <c r="D29" s="1" t="s">
        <v>241</v>
      </c>
      <c r="E29" s="1" t="s">
        <v>337</v>
      </c>
      <c r="F29" s="2">
        <f t="shared" si="4"/>
        <v>250000</v>
      </c>
      <c r="G29" s="4">
        <f>+VLOOKUP(C29,Indicadores!B:C,2,FALSE)</f>
        <v>0.8066363636363636</v>
      </c>
      <c r="H29" s="1" t="str">
        <f t="shared" si="5"/>
        <v>No Cumple</v>
      </c>
      <c r="I29" s="4">
        <f>+VLOOKUP(C29,Indicadores!B:F,5,FALSE)</f>
        <v>1</v>
      </c>
      <c r="J29" s="1" t="str">
        <f t="shared" si="6"/>
        <v>Cumple</v>
      </c>
      <c r="K29" s="9">
        <f t="shared" si="0"/>
        <v>150000</v>
      </c>
      <c r="L29" s="4">
        <f>+VLOOKUP(C29,Indicadores!B:P,15,FALSE)</f>
        <v>0.69840000000000002</v>
      </c>
      <c r="M29" s="1" t="str">
        <f t="shared" si="7"/>
        <v>No Cumple</v>
      </c>
      <c r="N29" s="5">
        <f t="shared" si="8"/>
        <v>0</v>
      </c>
      <c r="O29" s="5">
        <f t="shared" si="1"/>
        <v>50000</v>
      </c>
      <c r="P29" s="4">
        <v>0.95</v>
      </c>
      <c r="Q29" s="5" t="str">
        <f t="shared" si="9"/>
        <v>Cumple</v>
      </c>
      <c r="R29" s="5">
        <f t="shared" si="10"/>
        <v>47500</v>
      </c>
      <c r="S29" s="5">
        <f t="shared" si="2"/>
        <v>50000</v>
      </c>
      <c r="T29" s="4">
        <f>+VLOOKUP(C29,Indicadores!B:V,21,FALSE)</f>
        <v>1</v>
      </c>
      <c r="U29" s="35" t="str">
        <f t="shared" si="11"/>
        <v>Cumple</v>
      </c>
      <c r="V29" s="2">
        <f t="shared" si="12"/>
        <v>50000</v>
      </c>
      <c r="W29" s="5" t="str">
        <f t="shared" si="3"/>
        <v>NO</v>
      </c>
      <c r="X29" s="5">
        <f t="shared" si="13"/>
        <v>0</v>
      </c>
      <c r="Y29" s="1"/>
    </row>
    <row r="30" spans="2:25" x14ac:dyDescent="0.25">
      <c r="B30" s="1" t="s">
        <v>233</v>
      </c>
      <c r="C30" s="1" t="s">
        <v>35</v>
      </c>
      <c r="D30" s="1" t="s">
        <v>241</v>
      </c>
      <c r="E30" s="1" t="s">
        <v>337</v>
      </c>
      <c r="F30" s="2">
        <f t="shared" si="4"/>
        <v>250000</v>
      </c>
      <c r="G30" s="4">
        <f>+VLOOKUP(C30,Indicadores!B:C,2,FALSE)</f>
        <v>0.8267181818181818</v>
      </c>
      <c r="H30" s="1" t="str">
        <f t="shared" si="5"/>
        <v>No Cumple</v>
      </c>
      <c r="I30" s="4">
        <f>+VLOOKUP(C30,Indicadores!B:F,5,FALSE)</f>
        <v>1</v>
      </c>
      <c r="J30" s="1" t="str">
        <f t="shared" si="6"/>
        <v>Cumple</v>
      </c>
      <c r="K30" s="9">
        <f t="shared" si="0"/>
        <v>150000</v>
      </c>
      <c r="L30" s="4">
        <f>+VLOOKUP(C30,Indicadores!B:P,15,FALSE)</f>
        <v>0.67359999999999998</v>
      </c>
      <c r="M30" s="1" t="str">
        <f t="shared" si="7"/>
        <v>No Cumple</v>
      </c>
      <c r="N30" s="5">
        <f t="shared" si="8"/>
        <v>0</v>
      </c>
      <c r="O30" s="5">
        <f t="shared" si="1"/>
        <v>50000</v>
      </c>
      <c r="P30" s="4">
        <v>0.95</v>
      </c>
      <c r="Q30" s="5" t="str">
        <f t="shared" si="9"/>
        <v>Cumple</v>
      </c>
      <c r="R30" s="5">
        <f t="shared" si="10"/>
        <v>47500</v>
      </c>
      <c r="S30" s="5">
        <f t="shared" si="2"/>
        <v>50000</v>
      </c>
      <c r="T30" s="4">
        <f>+VLOOKUP(C30,Indicadores!B:V,21,FALSE)</f>
        <v>0.99219999999999997</v>
      </c>
      <c r="U30" s="35" t="str">
        <f t="shared" si="11"/>
        <v>No Cumple</v>
      </c>
      <c r="V30" s="2">
        <f t="shared" si="12"/>
        <v>0</v>
      </c>
      <c r="W30" s="5" t="str">
        <f t="shared" si="3"/>
        <v>NO</v>
      </c>
      <c r="X30" s="5">
        <f t="shared" si="13"/>
        <v>0</v>
      </c>
      <c r="Y30" s="1"/>
    </row>
    <row r="31" spans="2:25" x14ac:dyDescent="0.25">
      <c r="B31" s="1" t="s">
        <v>233</v>
      </c>
      <c r="C31" s="1" t="s">
        <v>36</v>
      </c>
      <c r="D31" s="1" t="s">
        <v>241</v>
      </c>
      <c r="E31" s="1" t="s">
        <v>337</v>
      </c>
      <c r="F31" s="2">
        <f t="shared" si="4"/>
        <v>250000</v>
      </c>
      <c r="G31" s="4">
        <f>+VLOOKUP(C31,Indicadores!B:C,2,FALSE)</f>
        <v>0.85950909090909089</v>
      </c>
      <c r="H31" s="1" t="str">
        <f t="shared" si="5"/>
        <v>No Cumple</v>
      </c>
      <c r="I31" s="4">
        <f>+VLOOKUP(C31,Indicadores!B:F,5,FALSE)</f>
        <v>1</v>
      </c>
      <c r="J31" s="1" t="str">
        <f t="shared" si="6"/>
        <v>Cumple</v>
      </c>
      <c r="K31" s="9">
        <f t="shared" si="0"/>
        <v>150000</v>
      </c>
      <c r="L31" s="4">
        <f>+VLOOKUP(C31,Indicadores!B:P,15,FALSE)</f>
        <v>0.78860000000000008</v>
      </c>
      <c r="M31" s="1" t="str">
        <f t="shared" si="7"/>
        <v>No Cumple</v>
      </c>
      <c r="N31" s="5">
        <f t="shared" si="8"/>
        <v>0</v>
      </c>
      <c r="O31" s="5">
        <f t="shared" si="1"/>
        <v>50000</v>
      </c>
      <c r="P31" s="4">
        <v>0.95</v>
      </c>
      <c r="Q31" s="5" t="str">
        <f t="shared" si="9"/>
        <v>Cumple</v>
      </c>
      <c r="R31" s="5">
        <f t="shared" si="10"/>
        <v>47500</v>
      </c>
      <c r="S31" s="5">
        <f t="shared" si="2"/>
        <v>50000</v>
      </c>
      <c r="T31" s="4">
        <f>+VLOOKUP(C31,Indicadores!B:V,21,FALSE)</f>
        <v>1</v>
      </c>
      <c r="U31" s="35" t="str">
        <f t="shared" si="11"/>
        <v>Cumple</v>
      </c>
      <c r="V31" s="2">
        <f t="shared" si="12"/>
        <v>50000</v>
      </c>
      <c r="W31" s="5" t="str">
        <f t="shared" si="3"/>
        <v>NO</v>
      </c>
      <c r="X31" s="5">
        <f t="shared" si="13"/>
        <v>0</v>
      </c>
      <c r="Y31" s="1"/>
    </row>
    <row r="32" spans="2:25" x14ac:dyDescent="0.25">
      <c r="B32" s="1" t="s">
        <v>233</v>
      </c>
      <c r="C32" s="1" t="s">
        <v>37</v>
      </c>
      <c r="D32" s="1" t="s">
        <v>241</v>
      </c>
      <c r="E32" s="1" t="s">
        <v>337</v>
      </c>
      <c r="F32" s="2">
        <f t="shared" si="4"/>
        <v>250000</v>
      </c>
      <c r="G32" s="4">
        <f>+VLOOKUP(C32,Indicadores!B:C,2,FALSE)</f>
        <v>0.92803636363636377</v>
      </c>
      <c r="H32" s="1" t="str">
        <f t="shared" si="5"/>
        <v>No Cumple</v>
      </c>
      <c r="I32" s="4">
        <f>+VLOOKUP(C32,Indicadores!B:F,5,FALSE)</f>
        <v>1</v>
      </c>
      <c r="J32" s="1" t="str">
        <f t="shared" si="6"/>
        <v>Cumple</v>
      </c>
      <c r="K32" s="9">
        <f t="shared" si="0"/>
        <v>150000</v>
      </c>
      <c r="L32" s="4">
        <f>+VLOOKUP(C32,Indicadores!B:P,15,FALSE)</f>
        <v>0.94543333333333335</v>
      </c>
      <c r="M32" s="1" t="str">
        <f t="shared" si="7"/>
        <v>Cumple</v>
      </c>
      <c r="N32" s="5">
        <f t="shared" si="8"/>
        <v>135000</v>
      </c>
      <c r="O32" s="5">
        <f t="shared" si="1"/>
        <v>50000</v>
      </c>
      <c r="P32" s="4">
        <v>0.95</v>
      </c>
      <c r="Q32" s="5" t="str">
        <f t="shared" si="9"/>
        <v>Cumple</v>
      </c>
      <c r="R32" s="5">
        <f t="shared" si="10"/>
        <v>47500</v>
      </c>
      <c r="S32" s="5">
        <f t="shared" si="2"/>
        <v>50000</v>
      </c>
      <c r="T32" s="4">
        <f>+VLOOKUP(C32,Indicadores!B:V,21,FALSE)</f>
        <v>1</v>
      </c>
      <c r="U32" s="35" t="str">
        <f t="shared" si="11"/>
        <v>Cumple</v>
      </c>
      <c r="V32" s="2">
        <f t="shared" si="12"/>
        <v>50000</v>
      </c>
      <c r="W32" s="5" t="str">
        <f t="shared" si="3"/>
        <v>NO</v>
      </c>
      <c r="X32" s="5">
        <f t="shared" si="13"/>
        <v>0</v>
      </c>
      <c r="Y32" s="1"/>
    </row>
    <row r="33" spans="2:25" x14ac:dyDescent="0.25">
      <c r="B33" s="1" t="s">
        <v>233</v>
      </c>
      <c r="C33" s="1" t="s">
        <v>38</v>
      </c>
      <c r="D33" s="1" t="s">
        <v>241</v>
      </c>
      <c r="E33" s="1" t="s">
        <v>337</v>
      </c>
      <c r="F33" s="2">
        <f t="shared" si="4"/>
        <v>250000</v>
      </c>
      <c r="G33" s="4">
        <f>+VLOOKUP(C33,Indicadores!B:C,2,FALSE)</f>
        <v>0.83635454545454557</v>
      </c>
      <c r="H33" s="1" t="str">
        <f t="shared" si="5"/>
        <v>No Cumple</v>
      </c>
      <c r="I33" s="4">
        <f>+VLOOKUP(C33,Indicadores!B:F,5,FALSE)</f>
        <v>0.8</v>
      </c>
      <c r="J33" s="1" t="str">
        <f t="shared" si="6"/>
        <v>No Cumple</v>
      </c>
      <c r="K33" s="9">
        <f t="shared" si="0"/>
        <v>150000</v>
      </c>
      <c r="L33" s="4">
        <f>+VLOOKUP(C33,Indicadores!B:P,15,FALSE)</f>
        <v>0.57199999999999995</v>
      </c>
      <c r="M33" s="1" t="str">
        <f t="shared" si="7"/>
        <v>No Cumple</v>
      </c>
      <c r="N33" s="5">
        <f t="shared" si="8"/>
        <v>0</v>
      </c>
      <c r="O33" s="5">
        <f t="shared" si="1"/>
        <v>50000</v>
      </c>
      <c r="P33" s="4">
        <v>0.95</v>
      </c>
      <c r="Q33" s="5" t="str">
        <f t="shared" si="9"/>
        <v>Cumple</v>
      </c>
      <c r="R33" s="5">
        <f t="shared" si="10"/>
        <v>47500</v>
      </c>
      <c r="S33" s="5">
        <f t="shared" si="2"/>
        <v>50000</v>
      </c>
      <c r="T33" s="4">
        <f>+VLOOKUP(C33,Indicadores!B:V,21,FALSE)</f>
        <v>1</v>
      </c>
      <c r="U33" s="35" t="str">
        <f t="shared" si="11"/>
        <v>Cumple</v>
      </c>
      <c r="V33" s="2">
        <f t="shared" si="12"/>
        <v>50000</v>
      </c>
      <c r="W33" s="5" t="str">
        <f t="shared" si="3"/>
        <v>NO</v>
      </c>
      <c r="X33" s="5">
        <f t="shared" si="13"/>
        <v>0</v>
      </c>
      <c r="Y33" s="1"/>
    </row>
    <row r="34" spans="2:25" x14ac:dyDescent="0.25">
      <c r="B34" s="1" t="s">
        <v>233</v>
      </c>
      <c r="C34" s="1" t="s">
        <v>39</v>
      </c>
      <c r="D34" s="1" t="s">
        <v>241</v>
      </c>
      <c r="E34" s="1" t="s">
        <v>337</v>
      </c>
      <c r="F34" s="2">
        <f t="shared" si="4"/>
        <v>250000</v>
      </c>
      <c r="G34" s="4">
        <f>+VLOOKUP(C34,Indicadores!B:C,2,FALSE)</f>
        <v>0.84659090909090906</v>
      </c>
      <c r="H34" s="1" t="str">
        <f t="shared" si="5"/>
        <v>No Cumple</v>
      </c>
      <c r="I34" s="4">
        <f>+VLOOKUP(C34,Indicadores!B:F,5,FALSE)</f>
        <v>1</v>
      </c>
      <c r="J34" s="1" t="str">
        <f t="shared" si="6"/>
        <v>Cumple</v>
      </c>
      <c r="K34" s="9">
        <f t="shared" si="0"/>
        <v>150000</v>
      </c>
      <c r="L34" s="4">
        <f>+VLOOKUP(C34,Indicadores!B:P,15,FALSE)</f>
        <v>0.77083333333333337</v>
      </c>
      <c r="M34" s="1" t="str">
        <f t="shared" si="7"/>
        <v>No Cumple</v>
      </c>
      <c r="N34" s="5">
        <f t="shared" si="8"/>
        <v>0</v>
      </c>
      <c r="O34" s="5">
        <f t="shared" si="1"/>
        <v>50000</v>
      </c>
      <c r="P34" s="4">
        <v>0.95</v>
      </c>
      <c r="Q34" s="5" t="str">
        <f t="shared" si="9"/>
        <v>Cumple</v>
      </c>
      <c r="R34" s="5">
        <f t="shared" si="10"/>
        <v>47500</v>
      </c>
      <c r="S34" s="5">
        <f t="shared" si="2"/>
        <v>50000</v>
      </c>
      <c r="T34" s="4">
        <f>+VLOOKUP(C34,Indicadores!B:V,21,FALSE)</f>
        <v>1</v>
      </c>
      <c r="U34" s="35" t="str">
        <f t="shared" si="11"/>
        <v>Cumple</v>
      </c>
      <c r="V34" s="2">
        <f t="shared" si="12"/>
        <v>50000</v>
      </c>
      <c r="W34" s="5" t="str">
        <f t="shared" si="3"/>
        <v>NO</v>
      </c>
      <c r="X34" s="5">
        <f t="shared" si="13"/>
        <v>0</v>
      </c>
      <c r="Y34" s="1"/>
    </row>
    <row r="35" spans="2:25" x14ac:dyDescent="0.25">
      <c r="B35" s="1" t="s">
        <v>233</v>
      </c>
      <c r="C35" s="1" t="s">
        <v>40</v>
      </c>
      <c r="D35" s="1" t="s">
        <v>241</v>
      </c>
      <c r="E35" s="1" t="s">
        <v>337</v>
      </c>
      <c r="F35" s="2">
        <f t="shared" si="4"/>
        <v>250000</v>
      </c>
      <c r="G35" s="4">
        <f>+VLOOKUP(C35,Indicadores!B:C,2,FALSE)</f>
        <v>0.80819090909090907</v>
      </c>
      <c r="H35" s="1" t="str">
        <f t="shared" si="5"/>
        <v>No Cumple</v>
      </c>
      <c r="I35" s="4">
        <f>+VLOOKUP(C35,Indicadores!B:F,5,FALSE)</f>
        <v>1</v>
      </c>
      <c r="J35" s="1" t="str">
        <f t="shared" si="6"/>
        <v>Cumple</v>
      </c>
      <c r="K35" s="9">
        <f t="shared" si="0"/>
        <v>150000</v>
      </c>
      <c r="L35" s="4">
        <f>+VLOOKUP(C35,Indicadores!B:P,15,FALSE)</f>
        <v>0.49963333333333332</v>
      </c>
      <c r="M35" s="1" t="str">
        <f t="shared" si="7"/>
        <v>No Cumple</v>
      </c>
      <c r="N35" s="5">
        <f t="shared" si="8"/>
        <v>0</v>
      </c>
      <c r="O35" s="5">
        <f t="shared" si="1"/>
        <v>50000</v>
      </c>
      <c r="P35" s="4">
        <v>0.95</v>
      </c>
      <c r="Q35" s="5" t="str">
        <f t="shared" si="9"/>
        <v>Cumple</v>
      </c>
      <c r="R35" s="5">
        <f t="shared" si="10"/>
        <v>47500</v>
      </c>
      <c r="S35" s="5">
        <f t="shared" si="2"/>
        <v>50000</v>
      </c>
      <c r="T35" s="4">
        <f>+VLOOKUP(C35,Indicadores!B:V,21,FALSE)</f>
        <v>1</v>
      </c>
      <c r="U35" s="35" t="str">
        <f t="shared" si="11"/>
        <v>Cumple</v>
      </c>
      <c r="V35" s="2">
        <f t="shared" si="12"/>
        <v>50000</v>
      </c>
      <c r="W35" s="5" t="str">
        <f t="shared" si="3"/>
        <v>NO</v>
      </c>
      <c r="X35" s="5">
        <f t="shared" si="13"/>
        <v>0</v>
      </c>
      <c r="Y35" s="1"/>
    </row>
    <row r="36" spans="2:25" x14ac:dyDescent="0.25">
      <c r="B36" s="1" t="s">
        <v>233</v>
      </c>
      <c r="C36" s="1" t="s">
        <v>41</v>
      </c>
      <c r="D36" s="1" t="s">
        <v>241</v>
      </c>
      <c r="E36" s="1" t="s">
        <v>337</v>
      </c>
      <c r="F36" s="2">
        <f t="shared" si="4"/>
        <v>250000</v>
      </c>
      <c r="G36" s="4">
        <f>+VLOOKUP(C36,Indicadores!B:C,2,FALSE)</f>
        <v>0.85299999999999987</v>
      </c>
      <c r="H36" s="1" t="str">
        <f t="shared" si="5"/>
        <v>No Cumple</v>
      </c>
      <c r="I36" s="4">
        <f>+VLOOKUP(C36,Indicadores!B:F,5,FALSE)</f>
        <v>1</v>
      </c>
      <c r="J36" s="1" t="str">
        <f t="shared" si="6"/>
        <v>Cumple</v>
      </c>
      <c r="K36" s="9">
        <f t="shared" si="0"/>
        <v>150000</v>
      </c>
      <c r="L36" s="4">
        <f>+VLOOKUP(C36,Indicadores!B:P,15,FALSE)</f>
        <v>0.80320000000000003</v>
      </c>
      <c r="M36" s="1" t="str">
        <f t="shared" si="7"/>
        <v>Cumple</v>
      </c>
      <c r="N36" s="5">
        <f t="shared" si="8"/>
        <v>0</v>
      </c>
      <c r="O36" s="5">
        <f t="shared" si="1"/>
        <v>50000</v>
      </c>
      <c r="P36" s="4">
        <v>0.95</v>
      </c>
      <c r="Q36" s="5" t="str">
        <f t="shared" si="9"/>
        <v>Cumple</v>
      </c>
      <c r="R36" s="5">
        <f t="shared" si="10"/>
        <v>47500</v>
      </c>
      <c r="S36" s="5">
        <f t="shared" si="2"/>
        <v>50000</v>
      </c>
      <c r="T36" s="4">
        <f>+VLOOKUP(C36,Indicadores!B:V,21,FALSE)</f>
        <v>1</v>
      </c>
      <c r="U36" s="35" t="str">
        <f t="shared" si="11"/>
        <v>Cumple</v>
      </c>
      <c r="V36" s="2">
        <f t="shared" si="12"/>
        <v>50000</v>
      </c>
      <c r="W36" s="5" t="str">
        <f t="shared" si="3"/>
        <v>NO</v>
      </c>
      <c r="X36" s="5">
        <f t="shared" si="13"/>
        <v>0</v>
      </c>
      <c r="Y36" s="1"/>
    </row>
    <row r="37" spans="2:25" x14ac:dyDescent="0.25">
      <c r="B37" s="1" t="s">
        <v>233</v>
      </c>
      <c r="C37" s="1" t="s">
        <v>42</v>
      </c>
      <c r="D37" s="1" t="s">
        <v>241</v>
      </c>
      <c r="E37" s="1" t="s">
        <v>337</v>
      </c>
      <c r="F37" s="2">
        <f t="shared" si="4"/>
        <v>250000</v>
      </c>
      <c r="G37" s="4">
        <f>+VLOOKUP(C37,Indicadores!B:C,2,FALSE)</f>
        <v>0.81572727272727275</v>
      </c>
      <c r="H37" s="1" t="str">
        <f t="shared" si="5"/>
        <v>No Cumple</v>
      </c>
      <c r="I37" s="4">
        <f>+VLOOKUP(C37,Indicadores!B:F,5,FALSE)</f>
        <v>1</v>
      </c>
      <c r="J37" s="1" t="str">
        <f t="shared" si="6"/>
        <v>Cumple</v>
      </c>
      <c r="K37" s="9">
        <f t="shared" si="0"/>
        <v>150000</v>
      </c>
      <c r="L37" s="4">
        <f>+VLOOKUP(C37,Indicadores!B:P,15,FALSE)</f>
        <v>0.54003333333333325</v>
      </c>
      <c r="M37" s="1" t="str">
        <f t="shared" si="7"/>
        <v>No Cumple</v>
      </c>
      <c r="N37" s="5">
        <f t="shared" si="8"/>
        <v>0</v>
      </c>
      <c r="O37" s="5">
        <f t="shared" si="1"/>
        <v>50000</v>
      </c>
      <c r="P37" s="4">
        <v>0.95</v>
      </c>
      <c r="Q37" s="5" t="str">
        <f t="shared" si="9"/>
        <v>Cumple</v>
      </c>
      <c r="R37" s="5">
        <f t="shared" si="10"/>
        <v>47500</v>
      </c>
      <c r="S37" s="5">
        <f t="shared" si="2"/>
        <v>50000</v>
      </c>
      <c r="T37" s="4">
        <f>+VLOOKUP(C37,Indicadores!B:V,21,FALSE)</f>
        <v>1</v>
      </c>
      <c r="U37" s="35" t="str">
        <f t="shared" si="11"/>
        <v>Cumple</v>
      </c>
      <c r="V37" s="2">
        <f t="shared" si="12"/>
        <v>50000</v>
      </c>
      <c r="W37" s="5" t="str">
        <f t="shared" si="3"/>
        <v>NO</v>
      </c>
      <c r="X37" s="5">
        <f t="shared" si="13"/>
        <v>0</v>
      </c>
      <c r="Y37" s="1"/>
    </row>
    <row r="38" spans="2:25" x14ac:dyDescent="0.25">
      <c r="B38" s="1" t="s">
        <v>233</v>
      </c>
      <c r="C38" s="1" t="s">
        <v>43</v>
      </c>
      <c r="D38" s="1" t="s">
        <v>242</v>
      </c>
      <c r="E38" s="1" t="s">
        <v>303</v>
      </c>
      <c r="F38" s="2">
        <f t="shared" si="4"/>
        <v>250000</v>
      </c>
      <c r="G38" s="4">
        <f>+VLOOKUP(C38,Indicadores!B:C,2,FALSE)</f>
        <v>0.7536272727272727</v>
      </c>
      <c r="H38" s="1" t="str">
        <f t="shared" si="5"/>
        <v>No Cumple</v>
      </c>
      <c r="I38" s="4">
        <f>+VLOOKUP(C38,Indicadores!B:F,5,FALSE)</f>
        <v>1</v>
      </c>
      <c r="J38" s="1" t="str">
        <f t="shared" si="6"/>
        <v>Cumple</v>
      </c>
      <c r="K38" s="9">
        <f t="shared" ref="K38:K69" si="14">+$F$4*$K$3</f>
        <v>150000</v>
      </c>
      <c r="L38" s="4">
        <f>+VLOOKUP(C38,Indicadores!B:P,15,FALSE)</f>
        <v>0.57143333333333335</v>
      </c>
      <c r="M38" s="1" t="str">
        <f t="shared" si="7"/>
        <v>No Cumple</v>
      </c>
      <c r="N38" s="5">
        <f t="shared" si="8"/>
        <v>0</v>
      </c>
      <c r="O38" s="5">
        <f t="shared" ref="O38:O69" si="15">+$F$4*$O$3</f>
        <v>50000</v>
      </c>
      <c r="P38" s="4">
        <v>0.95</v>
      </c>
      <c r="Q38" s="5" t="str">
        <f t="shared" si="9"/>
        <v>Cumple</v>
      </c>
      <c r="R38" s="5">
        <f t="shared" si="10"/>
        <v>47500</v>
      </c>
      <c r="S38" s="5">
        <f t="shared" ref="S38:S69" si="16">+$F$4*$S$3</f>
        <v>50000</v>
      </c>
      <c r="T38" s="4">
        <f>+VLOOKUP(C38,Indicadores!B:V,21,FALSE)</f>
        <v>1</v>
      </c>
      <c r="U38" s="35" t="str">
        <f t="shared" si="11"/>
        <v>Cumple</v>
      </c>
      <c r="V38" s="2">
        <f t="shared" si="12"/>
        <v>50000</v>
      </c>
      <c r="W38" s="5" t="str">
        <f t="shared" ref="W38:W69" si="17">IF(AND(G38&gt;=95%,I38&gt;=95%),"SI","NO")</f>
        <v>NO</v>
      </c>
      <c r="X38" s="5">
        <f t="shared" si="13"/>
        <v>0</v>
      </c>
      <c r="Y38" s="1"/>
    </row>
    <row r="39" spans="2:25" x14ac:dyDescent="0.25">
      <c r="B39" s="1" t="s">
        <v>233</v>
      </c>
      <c r="C39" s="3" t="s">
        <v>44</v>
      </c>
      <c r="D39" s="1" t="s">
        <v>242</v>
      </c>
      <c r="E39" s="1" t="s">
        <v>303</v>
      </c>
      <c r="F39" s="2">
        <f t="shared" si="4"/>
        <v>250000</v>
      </c>
      <c r="G39" s="4">
        <f>+VLOOKUP(C39,Indicadores!B:C,2,FALSE)</f>
        <v>0.78246363636363625</v>
      </c>
      <c r="H39" s="1" t="str">
        <f t="shared" si="5"/>
        <v>No Cumple</v>
      </c>
      <c r="I39" s="4">
        <f>+VLOOKUP(C39,Indicadores!B:F,5,FALSE)</f>
        <v>0.93333333333333335</v>
      </c>
      <c r="J39" s="1" t="str">
        <f t="shared" si="6"/>
        <v>No Cumple</v>
      </c>
      <c r="K39" s="9">
        <f t="shared" si="14"/>
        <v>150000</v>
      </c>
      <c r="L39" s="4">
        <f>+VLOOKUP(C39,Indicadores!B:P,15,FALSE)</f>
        <v>0.72526666666666662</v>
      </c>
      <c r="M39" s="1" t="str">
        <f t="shared" si="7"/>
        <v>No Cumple</v>
      </c>
      <c r="N39" s="5">
        <f t="shared" si="8"/>
        <v>0</v>
      </c>
      <c r="O39" s="5">
        <f t="shared" si="15"/>
        <v>50000</v>
      </c>
      <c r="P39" s="4">
        <v>0.95</v>
      </c>
      <c r="Q39" s="5" t="str">
        <f t="shared" si="9"/>
        <v>Cumple</v>
      </c>
      <c r="R39" s="5">
        <f t="shared" si="10"/>
        <v>47500</v>
      </c>
      <c r="S39" s="5">
        <f t="shared" si="16"/>
        <v>50000</v>
      </c>
      <c r="T39" s="4">
        <f>+VLOOKUP(C39,Indicadores!B:V,21,FALSE)</f>
        <v>0.5</v>
      </c>
      <c r="U39" s="35" t="str">
        <f t="shared" si="11"/>
        <v>No Cumple</v>
      </c>
      <c r="V39" s="2">
        <f t="shared" si="12"/>
        <v>0</v>
      </c>
      <c r="W39" s="5" t="str">
        <f t="shared" si="17"/>
        <v>NO</v>
      </c>
      <c r="X39" s="5">
        <f t="shared" si="13"/>
        <v>0</v>
      </c>
      <c r="Y39" s="1"/>
    </row>
    <row r="40" spans="2:25" x14ac:dyDescent="0.25">
      <c r="B40" s="1" t="s">
        <v>233</v>
      </c>
      <c r="C40" s="1" t="s">
        <v>45</v>
      </c>
      <c r="D40" s="1" t="s">
        <v>242</v>
      </c>
      <c r="E40" s="1" t="s">
        <v>303</v>
      </c>
      <c r="F40" s="2">
        <f t="shared" si="4"/>
        <v>250000</v>
      </c>
      <c r="G40" s="4">
        <f>+VLOOKUP(C40,Indicadores!B:C,2,FALSE)</f>
        <v>0.37843636363636352</v>
      </c>
      <c r="H40" s="1" t="str">
        <f t="shared" si="5"/>
        <v>No Cumple</v>
      </c>
      <c r="I40" s="4">
        <f>+VLOOKUP(C40,Indicadores!B:F,5,FALSE)</f>
        <v>1</v>
      </c>
      <c r="J40" s="1" t="str">
        <f t="shared" si="6"/>
        <v>Cumple</v>
      </c>
      <c r="K40" s="9">
        <f t="shared" si="14"/>
        <v>150000</v>
      </c>
      <c r="L40" s="4">
        <f>+VLOOKUP(C40,Indicadores!B:P,15,FALSE)</f>
        <v>5.4266666666666664E-2</v>
      </c>
      <c r="M40" s="1" t="str">
        <f t="shared" si="7"/>
        <v>No Cumple</v>
      </c>
      <c r="N40" s="5">
        <f t="shared" si="8"/>
        <v>0</v>
      </c>
      <c r="O40" s="5">
        <f t="shared" si="15"/>
        <v>50000</v>
      </c>
      <c r="P40" s="4">
        <v>0.95</v>
      </c>
      <c r="Q40" s="5" t="str">
        <f t="shared" si="9"/>
        <v>Cumple</v>
      </c>
      <c r="R40" s="5">
        <f t="shared" si="10"/>
        <v>47500</v>
      </c>
      <c r="S40" s="5">
        <f t="shared" si="16"/>
        <v>50000</v>
      </c>
      <c r="T40" s="4">
        <f>+VLOOKUP(C40,Indicadores!B:V,21,FALSE)</f>
        <v>0.49419999999999997</v>
      </c>
      <c r="U40" s="35" t="str">
        <f t="shared" si="11"/>
        <v>No Cumple</v>
      </c>
      <c r="V40" s="2">
        <f t="shared" si="12"/>
        <v>0</v>
      </c>
      <c r="W40" s="5" t="str">
        <f t="shared" si="17"/>
        <v>NO</v>
      </c>
      <c r="X40" s="5">
        <f t="shared" si="13"/>
        <v>0</v>
      </c>
      <c r="Y40" s="1"/>
    </row>
    <row r="41" spans="2:25" x14ac:dyDescent="0.25">
      <c r="B41" s="1" t="s">
        <v>233</v>
      </c>
      <c r="C41" s="1" t="s">
        <v>46</v>
      </c>
      <c r="D41" s="1" t="s">
        <v>242</v>
      </c>
      <c r="E41" s="1" t="s">
        <v>303</v>
      </c>
      <c r="F41" s="2">
        <f t="shared" si="4"/>
        <v>250000</v>
      </c>
      <c r="G41" s="4">
        <f>+VLOOKUP(C41,Indicadores!B:C,2,FALSE)</f>
        <v>0.7530363636363635</v>
      </c>
      <c r="H41" s="1" t="str">
        <f t="shared" si="5"/>
        <v>No Cumple</v>
      </c>
      <c r="I41" s="4">
        <f>+VLOOKUP(C41,Indicadores!B:F,5,FALSE)</f>
        <v>0.95238095238095233</v>
      </c>
      <c r="J41" s="1" t="str">
        <f t="shared" si="6"/>
        <v>Cumple</v>
      </c>
      <c r="K41" s="9">
        <f t="shared" si="14"/>
        <v>150000</v>
      </c>
      <c r="L41" s="4">
        <f>+VLOOKUP(C41,Indicadores!B:P,15,FALSE)</f>
        <v>0.49006666666666665</v>
      </c>
      <c r="M41" s="1" t="str">
        <f t="shared" si="7"/>
        <v>No Cumple</v>
      </c>
      <c r="N41" s="5">
        <f t="shared" si="8"/>
        <v>0</v>
      </c>
      <c r="O41" s="5">
        <f t="shared" si="15"/>
        <v>50000</v>
      </c>
      <c r="P41" s="4">
        <v>0.95</v>
      </c>
      <c r="Q41" s="5" t="str">
        <f t="shared" si="9"/>
        <v>Cumple</v>
      </c>
      <c r="R41" s="5">
        <f t="shared" si="10"/>
        <v>47500</v>
      </c>
      <c r="S41" s="5">
        <f t="shared" si="16"/>
        <v>50000</v>
      </c>
      <c r="T41" s="4">
        <f>+VLOOKUP(C41,Indicadores!B:V,21,FALSE)</f>
        <v>0.49559999999999998</v>
      </c>
      <c r="U41" s="35" t="str">
        <f t="shared" si="11"/>
        <v>No Cumple</v>
      </c>
      <c r="V41" s="2">
        <f t="shared" si="12"/>
        <v>0</v>
      </c>
      <c r="W41" s="5" t="str">
        <f t="shared" si="17"/>
        <v>NO</v>
      </c>
      <c r="X41" s="5">
        <f t="shared" si="13"/>
        <v>0</v>
      </c>
      <c r="Y41" s="1"/>
    </row>
    <row r="42" spans="2:25" x14ac:dyDescent="0.25">
      <c r="B42" s="1" t="s">
        <v>233</v>
      </c>
      <c r="C42" s="3" t="s">
        <v>47</v>
      </c>
      <c r="D42" s="1" t="s">
        <v>242</v>
      </c>
      <c r="E42" s="1" t="s">
        <v>303</v>
      </c>
      <c r="F42" s="2">
        <f t="shared" si="4"/>
        <v>250000</v>
      </c>
      <c r="G42" s="4">
        <f>+VLOOKUP(C42,Indicadores!B:C,2,FALSE)</f>
        <v>0.78945454545454541</v>
      </c>
      <c r="H42" s="1" t="str">
        <f t="shared" si="5"/>
        <v>No Cumple</v>
      </c>
      <c r="I42" s="4">
        <f>+VLOOKUP(C42,Indicadores!B:F,5,FALSE)</f>
        <v>1</v>
      </c>
      <c r="J42" s="1" t="str">
        <f t="shared" si="6"/>
        <v>Cumple</v>
      </c>
      <c r="K42" s="9">
        <f t="shared" si="14"/>
        <v>150000</v>
      </c>
      <c r="L42" s="4">
        <f>+VLOOKUP(C42,Indicadores!B:P,15,FALSE)</f>
        <v>0.47879999999999995</v>
      </c>
      <c r="M42" s="1" t="str">
        <f t="shared" si="7"/>
        <v>No Cumple</v>
      </c>
      <c r="N42" s="5">
        <f t="shared" si="8"/>
        <v>0</v>
      </c>
      <c r="O42" s="5">
        <f t="shared" si="15"/>
        <v>50000</v>
      </c>
      <c r="P42" s="4">
        <v>0.95</v>
      </c>
      <c r="Q42" s="5" t="str">
        <f t="shared" si="9"/>
        <v>Cumple</v>
      </c>
      <c r="R42" s="5">
        <f t="shared" si="10"/>
        <v>47500</v>
      </c>
      <c r="S42" s="5">
        <f t="shared" si="16"/>
        <v>50000</v>
      </c>
      <c r="T42" s="4">
        <f>+VLOOKUP(C42,Indicadores!B:V,21,FALSE)</f>
        <v>0.49559999999999998</v>
      </c>
      <c r="U42" s="35" t="str">
        <f t="shared" si="11"/>
        <v>No Cumple</v>
      </c>
      <c r="V42" s="2">
        <f t="shared" si="12"/>
        <v>0</v>
      </c>
      <c r="W42" s="5" t="str">
        <f t="shared" si="17"/>
        <v>NO</v>
      </c>
      <c r="X42" s="5">
        <f t="shared" si="13"/>
        <v>0</v>
      </c>
      <c r="Y42" s="1"/>
    </row>
    <row r="43" spans="2:25" x14ac:dyDescent="0.25">
      <c r="B43" s="1" t="s">
        <v>233</v>
      </c>
      <c r="C43" s="1" t="s">
        <v>48</v>
      </c>
      <c r="D43" s="1" t="s">
        <v>242</v>
      </c>
      <c r="E43" s="1" t="s">
        <v>303</v>
      </c>
      <c r="F43" s="2">
        <f t="shared" si="4"/>
        <v>250000</v>
      </c>
      <c r="G43" s="4">
        <f>+VLOOKUP(C43,Indicadores!B:C,2,FALSE)</f>
        <v>0.75649999999999984</v>
      </c>
      <c r="H43" s="1" t="str">
        <f t="shared" si="5"/>
        <v>No Cumple</v>
      </c>
      <c r="I43" s="4">
        <f>+VLOOKUP(C43,Indicadores!B:F,5,FALSE)</f>
        <v>1</v>
      </c>
      <c r="J43" s="1" t="str">
        <f t="shared" si="6"/>
        <v>Cumple</v>
      </c>
      <c r="K43" s="9">
        <f t="shared" si="14"/>
        <v>150000</v>
      </c>
      <c r="L43" s="4">
        <f>+VLOOKUP(C43,Indicadores!B:P,15,FALSE)</f>
        <v>0.66666666666666663</v>
      </c>
      <c r="M43" s="1" t="str">
        <f t="shared" si="7"/>
        <v>No Cumple</v>
      </c>
      <c r="N43" s="5">
        <f t="shared" si="8"/>
        <v>0</v>
      </c>
      <c r="O43" s="5">
        <f t="shared" si="15"/>
        <v>50000</v>
      </c>
      <c r="P43" s="4">
        <v>0.95</v>
      </c>
      <c r="Q43" s="5" t="str">
        <f t="shared" si="9"/>
        <v>Cumple</v>
      </c>
      <c r="R43" s="5">
        <f t="shared" si="10"/>
        <v>47500</v>
      </c>
      <c r="S43" s="5">
        <f t="shared" si="16"/>
        <v>50000</v>
      </c>
      <c r="T43" s="4">
        <f>+VLOOKUP(C43,Indicadores!B:V,21,FALSE)</f>
        <v>0.96430000000000005</v>
      </c>
      <c r="U43" s="35" t="str">
        <f t="shared" si="11"/>
        <v>No Cumple</v>
      </c>
      <c r="V43" s="2">
        <f t="shared" si="12"/>
        <v>0</v>
      </c>
      <c r="W43" s="5" t="str">
        <f t="shared" si="17"/>
        <v>NO</v>
      </c>
      <c r="X43" s="5">
        <f t="shared" si="13"/>
        <v>0</v>
      </c>
      <c r="Y43" s="1"/>
    </row>
    <row r="44" spans="2:25" x14ac:dyDescent="0.25">
      <c r="B44" s="1" t="s">
        <v>233</v>
      </c>
      <c r="C44" s="1" t="s">
        <v>49</v>
      </c>
      <c r="D44" s="1" t="s">
        <v>241</v>
      </c>
      <c r="E44" s="1" t="s">
        <v>338</v>
      </c>
      <c r="F44" s="2">
        <f t="shared" si="4"/>
        <v>250000</v>
      </c>
      <c r="G44" s="4">
        <f>+VLOOKUP(C44,Indicadores!B:C,2,FALSE)</f>
        <v>0.89160909090909091</v>
      </c>
      <c r="H44" s="1" t="str">
        <f t="shared" si="5"/>
        <v>No Cumple</v>
      </c>
      <c r="I44" s="4">
        <f>+VLOOKUP(C44,Indicadores!B:F,5,FALSE)</f>
        <v>1</v>
      </c>
      <c r="J44" s="1" t="str">
        <f t="shared" si="6"/>
        <v>Cumple</v>
      </c>
      <c r="K44" s="9">
        <f t="shared" si="14"/>
        <v>150000</v>
      </c>
      <c r="L44" s="4">
        <f>+VLOOKUP(C44,Indicadores!B:P,15,FALSE)</f>
        <v>0.85896666666666677</v>
      </c>
      <c r="M44" s="1" t="str">
        <f t="shared" si="7"/>
        <v>Cumple</v>
      </c>
      <c r="N44" s="5">
        <f t="shared" si="8"/>
        <v>120000</v>
      </c>
      <c r="O44" s="5">
        <f t="shared" si="15"/>
        <v>50000</v>
      </c>
      <c r="P44" s="4">
        <v>0.95</v>
      </c>
      <c r="Q44" s="5" t="str">
        <f t="shared" si="9"/>
        <v>Cumple</v>
      </c>
      <c r="R44" s="5">
        <f t="shared" si="10"/>
        <v>47500</v>
      </c>
      <c r="S44" s="5">
        <f t="shared" si="16"/>
        <v>50000</v>
      </c>
      <c r="T44" s="4">
        <f>+VLOOKUP(C44,Indicadores!B:V,21,FALSE)</f>
        <v>0.5</v>
      </c>
      <c r="U44" s="35" t="str">
        <f t="shared" si="11"/>
        <v>No Cumple</v>
      </c>
      <c r="V44" s="2">
        <f t="shared" si="12"/>
        <v>0</v>
      </c>
      <c r="W44" s="5" t="str">
        <f t="shared" si="17"/>
        <v>NO</v>
      </c>
      <c r="X44" s="5">
        <f t="shared" si="13"/>
        <v>0</v>
      </c>
      <c r="Y44" s="1"/>
    </row>
    <row r="45" spans="2:25" x14ac:dyDescent="0.25">
      <c r="B45" s="1" t="s">
        <v>233</v>
      </c>
      <c r="C45" s="1" t="s">
        <v>50</v>
      </c>
      <c r="D45" s="1" t="s">
        <v>242</v>
      </c>
      <c r="E45" s="1" t="s">
        <v>303</v>
      </c>
      <c r="F45" s="2">
        <f t="shared" si="4"/>
        <v>250000</v>
      </c>
      <c r="G45" s="4">
        <f>+VLOOKUP(C45,Indicadores!B:C,2,FALSE)</f>
        <v>0.79950909090909095</v>
      </c>
      <c r="H45" s="1" t="str">
        <f t="shared" si="5"/>
        <v>No Cumple</v>
      </c>
      <c r="I45" s="4">
        <f>+VLOOKUP(C45,Indicadores!B:F,5,FALSE)</f>
        <v>1</v>
      </c>
      <c r="J45" s="1" t="str">
        <f t="shared" si="6"/>
        <v>Cumple</v>
      </c>
      <c r="K45" s="9">
        <f t="shared" si="14"/>
        <v>150000</v>
      </c>
      <c r="L45" s="4">
        <f>+VLOOKUP(C45,Indicadores!B:P,15,FALSE)</f>
        <v>0.51119999999999999</v>
      </c>
      <c r="M45" s="1" t="str">
        <f t="shared" si="7"/>
        <v>No Cumple</v>
      </c>
      <c r="N45" s="5">
        <f t="shared" si="8"/>
        <v>0</v>
      </c>
      <c r="O45" s="5">
        <f t="shared" si="15"/>
        <v>50000</v>
      </c>
      <c r="P45" s="4">
        <v>0.95</v>
      </c>
      <c r="Q45" s="5" t="str">
        <f t="shared" si="9"/>
        <v>Cumple</v>
      </c>
      <c r="R45" s="5">
        <f t="shared" si="10"/>
        <v>47500</v>
      </c>
      <c r="S45" s="5">
        <f t="shared" si="16"/>
        <v>50000</v>
      </c>
      <c r="T45" s="4">
        <f>+VLOOKUP(C45,Indicadores!B:V,21,FALSE)</f>
        <v>0.5</v>
      </c>
      <c r="U45" s="35" t="str">
        <f t="shared" si="11"/>
        <v>No Cumple</v>
      </c>
      <c r="V45" s="2">
        <f t="shared" si="12"/>
        <v>0</v>
      </c>
      <c r="W45" s="5" t="str">
        <f t="shared" si="17"/>
        <v>NO</v>
      </c>
      <c r="X45" s="5">
        <f t="shared" si="13"/>
        <v>0</v>
      </c>
      <c r="Y45" s="1"/>
    </row>
    <row r="46" spans="2:25" x14ac:dyDescent="0.25">
      <c r="B46" s="1" t="s">
        <v>233</v>
      </c>
      <c r="C46" s="1" t="s">
        <v>51</v>
      </c>
      <c r="D46" s="1" t="s">
        <v>242</v>
      </c>
      <c r="E46" s="1" t="s">
        <v>303</v>
      </c>
      <c r="F46" s="2">
        <f t="shared" si="4"/>
        <v>250000</v>
      </c>
      <c r="G46" s="4">
        <f>+VLOOKUP(C46,Indicadores!B:C,2,FALSE)</f>
        <v>0.7218181818181818</v>
      </c>
      <c r="H46" s="1" t="str">
        <f t="shared" si="5"/>
        <v>No Cumple</v>
      </c>
      <c r="I46" s="4">
        <f>+VLOOKUP(C46,Indicadores!B:F,5,FALSE)</f>
        <v>1</v>
      </c>
      <c r="J46" s="1" t="str">
        <f t="shared" si="6"/>
        <v>Cumple</v>
      </c>
      <c r="K46" s="9">
        <f t="shared" si="14"/>
        <v>150000</v>
      </c>
      <c r="L46" s="4">
        <f>+VLOOKUP(C46,Indicadores!B:P,15,FALSE)</f>
        <v>0.32666666666666666</v>
      </c>
      <c r="M46" s="1" t="str">
        <f t="shared" si="7"/>
        <v>No Cumple</v>
      </c>
      <c r="N46" s="5">
        <f t="shared" si="8"/>
        <v>0</v>
      </c>
      <c r="O46" s="5">
        <f t="shared" si="15"/>
        <v>50000</v>
      </c>
      <c r="P46" s="4">
        <v>0.95</v>
      </c>
      <c r="Q46" s="5" t="str">
        <f t="shared" si="9"/>
        <v>Cumple</v>
      </c>
      <c r="R46" s="5">
        <f t="shared" si="10"/>
        <v>47500</v>
      </c>
      <c r="S46" s="5">
        <f t="shared" si="16"/>
        <v>50000</v>
      </c>
      <c r="T46" s="4">
        <f>+VLOOKUP(C46,Indicadores!B:V,21,FALSE)</f>
        <v>0.48</v>
      </c>
      <c r="U46" s="35" t="str">
        <f t="shared" si="11"/>
        <v>No Cumple</v>
      </c>
      <c r="V46" s="2">
        <f t="shared" si="12"/>
        <v>0</v>
      </c>
      <c r="W46" s="5" t="str">
        <f t="shared" si="17"/>
        <v>NO</v>
      </c>
      <c r="X46" s="5">
        <f t="shared" si="13"/>
        <v>0</v>
      </c>
      <c r="Y46" s="1"/>
    </row>
    <row r="47" spans="2:25" x14ac:dyDescent="0.25">
      <c r="B47" s="1" t="s">
        <v>233</v>
      </c>
      <c r="C47" s="1" t="s">
        <v>52</v>
      </c>
      <c r="D47" s="1" t="s">
        <v>242</v>
      </c>
      <c r="E47" s="1" t="s">
        <v>303</v>
      </c>
      <c r="F47" s="2">
        <f t="shared" si="4"/>
        <v>250000</v>
      </c>
      <c r="G47" s="4">
        <f>+VLOOKUP(C47,Indicadores!B:C,2,FALSE)</f>
        <v>0.3695</v>
      </c>
      <c r="H47" s="1" t="str">
        <f t="shared" si="5"/>
        <v>No Cumple</v>
      </c>
      <c r="I47" s="4">
        <f>+VLOOKUP(C47,Indicadores!B:F,5,FALSE)</f>
        <v>1</v>
      </c>
      <c r="J47" s="1" t="str">
        <f t="shared" si="6"/>
        <v>Cumple</v>
      </c>
      <c r="K47" s="9">
        <f t="shared" si="14"/>
        <v>150000</v>
      </c>
      <c r="L47" s="4">
        <f>+VLOOKUP(C47,Indicadores!B:P,15,FALSE)</f>
        <v>0.10453333333333333</v>
      </c>
      <c r="M47" s="1" t="str">
        <f t="shared" si="7"/>
        <v>No Cumple</v>
      </c>
      <c r="N47" s="5">
        <f t="shared" si="8"/>
        <v>0</v>
      </c>
      <c r="O47" s="5">
        <f t="shared" si="15"/>
        <v>50000</v>
      </c>
      <c r="P47" s="4">
        <v>0.95</v>
      </c>
      <c r="Q47" s="5" t="str">
        <f t="shared" si="9"/>
        <v>Cumple</v>
      </c>
      <c r="R47" s="5">
        <f t="shared" si="10"/>
        <v>47500</v>
      </c>
      <c r="S47" s="5">
        <f t="shared" si="16"/>
        <v>50000</v>
      </c>
      <c r="T47" s="4">
        <f>+VLOOKUP(C47,Indicadores!B:V,21,FALSE)</f>
        <v>0.9839</v>
      </c>
      <c r="U47" s="35" t="str">
        <f t="shared" si="11"/>
        <v>No Cumple</v>
      </c>
      <c r="V47" s="2">
        <f t="shared" si="12"/>
        <v>0</v>
      </c>
      <c r="W47" s="5" t="str">
        <f t="shared" si="17"/>
        <v>NO</v>
      </c>
      <c r="X47" s="5">
        <f t="shared" si="13"/>
        <v>0</v>
      </c>
      <c r="Y47" s="1"/>
    </row>
    <row r="48" spans="2:25" x14ac:dyDescent="0.25">
      <c r="B48" s="1" t="s">
        <v>233</v>
      </c>
      <c r="C48" s="1" t="s">
        <v>53</v>
      </c>
      <c r="D48" s="1" t="s">
        <v>242</v>
      </c>
      <c r="E48" s="1" t="s">
        <v>303</v>
      </c>
      <c r="F48" s="2">
        <f t="shared" si="4"/>
        <v>250000</v>
      </c>
      <c r="G48" s="4">
        <f>+VLOOKUP(C48,Indicadores!B:C,2,FALSE)</f>
        <v>0.77899090909090918</v>
      </c>
      <c r="H48" s="1" t="str">
        <f t="shared" si="5"/>
        <v>No Cumple</v>
      </c>
      <c r="I48" s="4">
        <f>+VLOOKUP(C48,Indicadores!B:F,5,FALSE)</f>
        <v>1</v>
      </c>
      <c r="J48" s="1" t="str">
        <f t="shared" si="6"/>
        <v>Cumple</v>
      </c>
      <c r="K48" s="9">
        <f t="shared" si="14"/>
        <v>150000</v>
      </c>
      <c r="L48" s="4">
        <f>+VLOOKUP(C48,Indicadores!B:P,15,FALSE)</f>
        <v>0.60586666666666666</v>
      </c>
      <c r="M48" s="1" t="str">
        <f t="shared" si="7"/>
        <v>No Cumple</v>
      </c>
      <c r="N48" s="5">
        <f t="shared" si="8"/>
        <v>0</v>
      </c>
      <c r="O48" s="5">
        <f t="shared" si="15"/>
        <v>50000</v>
      </c>
      <c r="P48" s="4">
        <v>0.95</v>
      </c>
      <c r="Q48" s="5" t="str">
        <f t="shared" si="9"/>
        <v>Cumple</v>
      </c>
      <c r="R48" s="5">
        <f t="shared" si="10"/>
        <v>47500</v>
      </c>
      <c r="S48" s="5">
        <f t="shared" si="16"/>
        <v>50000</v>
      </c>
      <c r="T48" s="4">
        <f>+VLOOKUP(C48,Indicadores!B:V,21,FALSE)</f>
        <v>0.5</v>
      </c>
      <c r="U48" s="35" t="str">
        <f t="shared" si="11"/>
        <v>No Cumple</v>
      </c>
      <c r="V48" s="2">
        <f t="shared" si="12"/>
        <v>0</v>
      </c>
      <c r="W48" s="5" t="str">
        <f t="shared" si="17"/>
        <v>NO</v>
      </c>
      <c r="X48" s="5">
        <f t="shared" si="13"/>
        <v>0</v>
      </c>
      <c r="Y48" s="1"/>
    </row>
    <row r="49" spans="2:25" x14ac:dyDescent="0.25">
      <c r="B49" s="1" t="s">
        <v>233</v>
      </c>
      <c r="C49" s="1" t="s">
        <v>54</v>
      </c>
      <c r="D49" s="1" t="s">
        <v>242</v>
      </c>
      <c r="E49" s="1" t="s">
        <v>303</v>
      </c>
      <c r="F49" s="2">
        <f t="shared" si="4"/>
        <v>250000</v>
      </c>
      <c r="G49" s="4">
        <f>+VLOOKUP(C49,Indicadores!B:C,2,FALSE)</f>
        <v>0.74939999999999996</v>
      </c>
      <c r="H49" s="1" t="str">
        <f t="shared" si="5"/>
        <v>No Cumple</v>
      </c>
      <c r="I49" s="4">
        <f>+VLOOKUP(C49,Indicadores!B:F,5,FALSE)</f>
        <v>1</v>
      </c>
      <c r="J49" s="1" t="str">
        <f t="shared" si="6"/>
        <v>Cumple</v>
      </c>
      <c r="K49" s="9">
        <f t="shared" si="14"/>
        <v>150000</v>
      </c>
      <c r="L49" s="4">
        <f>+VLOOKUP(C49,Indicadores!B:P,15,FALSE)</f>
        <v>0.37559999999999999</v>
      </c>
      <c r="M49" s="1" t="str">
        <f t="shared" si="7"/>
        <v>No Cumple</v>
      </c>
      <c r="N49" s="5">
        <f t="shared" si="8"/>
        <v>0</v>
      </c>
      <c r="O49" s="5">
        <f t="shared" si="15"/>
        <v>50000</v>
      </c>
      <c r="P49" s="4">
        <v>0.95</v>
      </c>
      <c r="Q49" s="5" t="str">
        <f t="shared" si="9"/>
        <v>Cumple</v>
      </c>
      <c r="R49" s="5">
        <f t="shared" si="10"/>
        <v>47500</v>
      </c>
      <c r="S49" s="5">
        <f t="shared" si="16"/>
        <v>50000</v>
      </c>
      <c r="T49" s="4">
        <f>+VLOOKUP(C49,Indicadores!B:V,21,FALSE)</f>
        <v>0.97299999999999998</v>
      </c>
      <c r="U49" s="35" t="str">
        <f t="shared" si="11"/>
        <v>No Cumple</v>
      </c>
      <c r="V49" s="2">
        <f t="shared" si="12"/>
        <v>0</v>
      </c>
      <c r="W49" s="5" t="str">
        <f t="shared" si="17"/>
        <v>NO</v>
      </c>
      <c r="X49" s="5">
        <f t="shared" si="13"/>
        <v>0</v>
      </c>
      <c r="Y49" s="1"/>
    </row>
    <row r="50" spans="2:25" x14ac:dyDescent="0.25">
      <c r="B50" s="1" t="s">
        <v>233</v>
      </c>
      <c r="C50" s="1" t="s">
        <v>55</v>
      </c>
      <c r="D50" s="1" t="s">
        <v>242</v>
      </c>
      <c r="E50" s="1" t="s">
        <v>303</v>
      </c>
      <c r="F50" s="2">
        <f t="shared" si="4"/>
        <v>250000</v>
      </c>
      <c r="G50" s="4">
        <f>+VLOOKUP(C50,Indicadores!B:C,2,FALSE)</f>
        <v>0.83699090909090923</v>
      </c>
      <c r="H50" s="1" t="str">
        <f t="shared" si="5"/>
        <v>No Cumple</v>
      </c>
      <c r="I50" s="4">
        <f>+VLOOKUP(C50,Indicadores!B:F,5,FALSE)</f>
        <v>1</v>
      </c>
      <c r="J50" s="1" t="str">
        <f t="shared" si="6"/>
        <v>Cumple</v>
      </c>
      <c r="K50" s="9">
        <f t="shared" si="14"/>
        <v>150000</v>
      </c>
      <c r="L50" s="4">
        <f>+VLOOKUP(C50,Indicadores!B:P,15,FALSE)</f>
        <v>0.83046666666666669</v>
      </c>
      <c r="M50" s="1" t="str">
        <f t="shared" si="7"/>
        <v>Cumple</v>
      </c>
      <c r="N50" s="5">
        <f t="shared" si="8"/>
        <v>120000</v>
      </c>
      <c r="O50" s="5">
        <f t="shared" si="15"/>
        <v>50000</v>
      </c>
      <c r="P50" s="4">
        <v>0.95</v>
      </c>
      <c r="Q50" s="5" t="str">
        <f t="shared" si="9"/>
        <v>Cumple</v>
      </c>
      <c r="R50" s="5">
        <f t="shared" si="10"/>
        <v>47500</v>
      </c>
      <c r="S50" s="5">
        <f t="shared" si="16"/>
        <v>50000</v>
      </c>
      <c r="T50" s="4">
        <f>+VLOOKUP(C50,Indicadores!B:V,21,FALSE)</f>
        <v>0.5</v>
      </c>
      <c r="U50" s="35" t="str">
        <f t="shared" si="11"/>
        <v>No Cumple</v>
      </c>
      <c r="V50" s="2">
        <f t="shared" si="12"/>
        <v>0</v>
      </c>
      <c r="W50" s="5" t="str">
        <f t="shared" si="17"/>
        <v>NO</v>
      </c>
      <c r="X50" s="5">
        <f t="shared" si="13"/>
        <v>0</v>
      </c>
      <c r="Y50" s="1"/>
    </row>
    <row r="51" spans="2:25" x14ac:dyDescent="0.25">
      <c r="B51" s="1" t="s">
        <v>233</v>
      </c>
      <c r="C51" s="1" t="s">
        <v>56</v>
      </c>
      <c r="D51" s="1" t="s">
        <v>242</v>
      </c>
      <c r="E51" s="1" t="s">
        <v>303</v>
      </c>
      <c r="F51" s="2">
        <f t="shared" si="4"/>
        <v>250000</v>
      </c>
      <c r="G51" s="4">
        <f>+VLOOKUP(C51,Indicadores!B:C,2,FALSE)</f>
        <v>0.75</v>
      </c>
      <c r="H51" s="1" t="str">
        <f t="shared" si="5"/>
        <v>No Cumple</v>
      </c>
      <c r="I51" s="4">
        <f>+VLOOKUP(C51,Indicadores!B:F,5,FALSE)</f>
        <v>1</v>
      </c>
      <c r="J51" s="1" t="str">
        <f t="shared" si="6"/>
        <v>Cumple</v>
      </c>
      <c r="K51" s="9">
        <f t="shared" si="14"/>
        <v>150000</v>
      </c>
      <c r="L51" s="4">
        <f>+VLOOKUP(C51,Indicadores!B:P,15,FALSE)</f>
        <v>0.34089999999999998</v>
      </c>
      <c r="M51" s="1" t="str">
        <f t="shared" si="7"/>
        <v>No Cumple</v>
      </c>
      <c r="N51" s="5">
        <f t="shared" si="8"/>
        <v>0</v>
      </c>
      <c r="O51" s="5">
        <f t="shared" si="15"/>
        <v>50000</v>
      </c>
      <c r="P51" s="4">
        <v>0.95</v>
      </c>
      <c r="Q51" s="5" t="str">
        <f t="shared" si="9"/>
        <v>Cumple</v>
      </c>
      <c r="R51" s="5">
        <f t="shared" si="10"/>
        <v>47500</v>
      </c>
      <c r="S51" s="5">
        <f t="shared" si="16"/>
        <v>50000</v>
      </c>
      <c r="T51" s="4">
        <f>+VLOOKUP(C51,Indicadores!B:V,21,FALSE)</f>
        <v>0.5</v>
      </c>
      <c r="U51" s="35" t="str">
        <f t="shared" si="11"/>
        <v>No Cumple</v>
      </c>
      <c r="V51" s="2">
        <f t="shared" si="12"/>
        <v>0</v>
      </c>
      <c r="W51" s="5" t="str">
        <f t="shared" si="17"/>
        <v>NO</v>
      </c>
      <c r="X51" s="5">
        <f t="shared" si="13"/>
        <v>0</v>
      </c>
      <c r="Y51" s="8"/>
    </row>
    <row r="52" spans="2:25" x14ac:dyDescent="0.25">
      <c r="B52" s="1" t="s">
        <v>233</v>
      </c>
      <c r="C52" s="1" t="s">
        <v>57</v>
      </c>
      <c r="D52" s="1" t="s">
        <v>242</v>
      </c>
      <c r="E52" s="1" t="s">
        <v>303</v>
      </c>
      <c r="F52" s="2">
        <f t="shared" si="4"/>
        <v>250000</v>
      </c>
      <c r="G52" s="4">
        <f>+VLOOKUP(C52,Indicadores!B:C,2,FALSE)</f>
        <v>0.91754545454545455</v>
      </c>
      <c r="H52" s="1" t="str">
        <f t="shared" si="5"/>
        <v>No Cumple</v>
      </c>
      <c r="I52" s="4">
        <f>+VLOOKUP(C52,Indicadores!B:F,5,FALSE)</f>
        <v>1</v>
      </c>
      <c r="J52" s="1" t="str">
        <f t="shared" si="6"/>
        <v>Cumple</v>
      </c>
      <c r="K52" s="9">
        <f t="shared" si="14"/>
        <v>150000</v>
      </c>
      <c r="L52" s="4">
        <f>+VLOOKUP(C52,Indicadores!B:P,15,FALSE)</f>
        <v>0.87790000000000001</v>
      </c>
      <c r="M52" s="1" t="str">
        <f t="shared" si="7"/>
        <v>Cumple</v>
      </c>
      <c r="N52" s="5">
        <f t="shared" si="8"/>
        <v>120000</v>
      </c>
      <c r="O52" s="5">
        <f t="shared" si="15"/>
        <v>50000</v>
      </c>
      <c r="P52" s="4">
        <v>0.95</v>
      </c>
      <c r="Q52" s="5" t="str">
        <f t="shared" si="9"/>
        <v>Cumple</v>
      </c>
      <c r="R52" s="5">
        <f t="shared" si="10"/>
        <v>47500</v>
      </c>
      <c r="S52" s="5">
        <f t="shared" si="16"/>
        <v>50000</v>
      </c>
      <c r="T52" s="4">
        <f>+VLOOKUP(C52,Indicadores!B:V,21,FALSE)</f>
        <v>0.5</v>
      </c>
      <c r="U52" s="35" t="str">
        <f t="shared" si="11"/>
        <v>No Cumple</v>
      </c>
      <c r="V52" s="2">
        <f t="shared" si="12"/>
        <v>0</v>
      </c>
      <c r="W52" s="5" t="str">
        <f t="shared" si="17"/>
        <v>NO</v>
      </c>
      <c r="X52" s="5">
        <f t="shared" si="13"/>
        <v>0</v>
      </c>
      <c r="Y52" s="1"/>
    </row>
    <row r="53" spans="2:25" x14ac:dyDescent="0.25">
      <c r="B53" s="1" t="s">
        <v>233</v>
      </c>
      <c r="C53" s="1" t="s">
        <v>58</v>
      </c>
      <c r="D53" s="1" t="s">
        <v>242</v>
      </c>
      <c r="E53" s="1" t="s">
        <v>303</v>
      </c>
      <c r="F53" s="2">
        <f t="shared" si="4"/>
        <v>250000</v>
      </c>
      <c r="G53" s="4">
        <f>+VLOOKUP(C53,Indicadores!B:C,2,FALSE)</f>
        <v>0.76043636363636358</v>
      </c>
      <c r="H53" s="1" t="str">
        <f t="shared" si="5"/>
        <v>No Cumple</v>
      </c>
      <c r="I53" s="4">
        <f>+VLOOKUP(C53,Indicadores!B:F,5,FALSE)</f>
        <v>1</v>
      </c>
      <c r="J53" s="1" t="str">
        <f t="shared" si="6"/>
        <v>Cumple</v>
      </c>
      <c r="K53" s="9">
        <f t="shared" si="14"/>
        <v>150000</v>
      </c>
      <c r="L53" s="4">
        <f>+VLOOKUP(C53,Indicadores!B:P,15,FALSE)</f>
        <v>0.41436666666666661</v>
      </c>
      <c r="M53" s="1" t="str">
        <f t="shared" si="7"/>
        <v>No Cumple</v>
      </c>
      <c r="N53" s="5">
        <f t="shared" si="8"/>
        <v>0</v>
      </c>
      <c r="O53" s="5">
        <f t="shared" si="15"/>
        <v>50000</v>
      </c>
      <c r="P53" s="4">
        <v>0.95</v>
      </c>
      <c r="Q53" s="5" t="str">
        <f t="shared" si="9"/>
        <v>Cumple</v>
      </c>
      <c r="R53" s="5">
        <f t="shared" si="10"/>
        <v>47500</v>
      </c>
      <c r="S53" s="5">
        <f t="shared" si="16"/>
        <v>50000</v>
      </c>
      <c r="T53" s="4">
        <f>+VLOOKUP(C53,Indicadores!B:V,21,FALSE)</f>
        <v>0.49480000000000002</v>
      </c>
      <c r="U53" s="35" t="str">
        <f t="shared" si="11"/>
        <v>No Cumple</v>
      </c>
      <c r="V53" s="2">
        <f t="shared" si="12"/>
        <v>0</v>
      </c>
      <c r="W53" s="5" t="str">
        <f t="shared" si="17"/>
        <v>NO</v>
      </c>
      <c r="X53" s="5">
        <f t="shared" si="13"/>
        <v>0</v>
      </c>
      <c r="Y53" s="1"/>
    </row>
    <row r="54" spans="2:25" x14ac:dyDescent="0.25">
      <c r="B54" s="1" t="s">
        <v>234</v>
      </c>
      <c r="C54" s="1" t="s">
        <v>59</v>
      </c>
      <c r="D54" s="1" t="s">
        <v>243</v>
      </c>
      <c r="E54" s="1" t="s">
        <v>339</v>
      </c>
      <c r="F54" s="2">
        <f t="shared" si="4"/>
        <v>250000</v>
      </c>
      <c r="G54" s="4">
        <f>+VLOOKUP(C54,Indicadores!B:C,2,FALSE)</f>
        <v>0.75942727272727273</v>
      </c>
      <c r="H54" s="1" t="str">
        <f t="shared" si="5"/>
        <v>No Cumple</v>
      </c>
      <c r="I54" s="4">
        <f>+VLOOKUP(C54,Indicadores!B:F,5,FALSE)</f>
        <v>1</v>
      </c>
      <c r="J54" s="1" t="str">
        <f t="shared" si="6"/>
        <v>Cumple</v>
      </c>
      <c r="K54" s="9">
        <f t="shared" si="14"/>
        <v>150000</v>
      </c>
      <c r="L54" s="4">
        <f>+VLOOKUP(C54,Indicadores!B:P,15,FALSE)</f>
        <v>0.52253333333333341</v>
      </c>
      <c r="M54" s="1" t="str">
        <f t="shared" si="7"/>
        <v>No Cumple</v>
      </c>
      <c r="N54" s="5">
        <f t="shared" si="8"/>
        <v>0</v>
      </c>
      <c r="O54" s="5">
        <f t="shared" si="15"/>
        <v>50000</v>
      </c>
      <c r="P54" s="4">
        <v>0.95</v>
      </c>
      <c r="Q54" s="5" t="str">
        <f t="shared" si="9"/>
        <v>Cumple</v>
      </c>
      <c r="R54" s="5">
        <f t="shared" si="10"/>
        <v>47500</v>
      </c>
      <c r="S54" s="5">
        <f t="shared" si="16"/>
        <v>50000</v>
      </c>
      <c r="T54" s="4">
        <f>+VLOOKUP(C54,Indicadores!B:V,21,FALSE)</f>
        <v>1</v>
      </c>
      <c r="U54" s="35" t="str">
        <f t="shared" si="11"/>
        <v>Cumple</v>
      </c>
      <c r="V54" s="2">
        <f t="shared" si="12"/>
        <v>50000</v>
      </c>
      <c r="W54" s="5" t="str">
        <f t="shared" si="17"/>
        <v>NO</v>
      </c>
      <c r="X54" s="5">
        <f t="shared" si="13"/>
        <v>0</v>
      </c>
      <c r="Y54" s="1"/>
    </row>
    <row r="55" spans="2:25" x14ac:dyDescent="0.25">
      <c r="B55" s="1" t="s">
        <v>234</v>
      </c>
      <c r="C55" s="1" t="s">
        <v>60</v>
      </c>
      <c r="D55" s="1" t="s">
        <v>243</v>
      </c>
      <c r="E55" s="1" t="s">
        <v>339</v>
      </c>
      <c r="F55" s="2">
        <f t="shared" si="4"/>
        <v>250000</v>
      </c>
      <c r="G55" s="4">
        <f>+VLOOKUP(C55,Indicadores!B:C,2,FALSE)</f>
        <v>0.74545454545454559</v>
      </c>
      <c r="H55" s="1" t="str">
        <f t="shared" si="5"/>
        <v>No Cumple</v>
      </c>
      <c r="I55" s="4">
        <f>+VLOOKUP(C55,Indicadores!B:F,5,FALSE)</f>
        <v>1</v>
      </c>
      <c r="J55" s="1" t="str">
        <f t="shared" si="6"/>
        <v>Cumple</v>
      </c>
      <c r="K55" s="9">
        <f t="shared" si="14"/>
        <v>150000</v>
      </c>
      <c r="L55" s="4">
        <f>+VLOOKUP(C55,Indicadores!B:P,15,FALSE)</f>
        <v>0.51333333333333331</v>
      </c>
      <c r="M55" s="1" t="str">
        <f t="shared" si="7"/>
        <v>No Cumple</v>
      </c>
      <c r="N55" s="5">
        <f t="shared" si="8"/>
        <v>0</v>
      </c>
      <c r="O55" s="5">
        <f t="shared" si="15"/>
        <v>50000</v>
      </c>
      <c r="P55" s="4">
        <v>0.95</v>
      </c>
      <c r="Q55" s="5" t="str">
        <f t="shared" si="9"/>
        <v>Cumple</v>
      </c>
      <c r="R55" s="5">
        <f t="shared" si="10"/>
        <v>47500</v>
      </c>
      <c r="S55" s="5">
        <f t="shared" si="16"/>
        <v>50000</v>
      </c>
      <c r="T55" s="4">
        <f>+VLOOKUP(C55,Indicadores!B:V,21,FALSE)</f>
        <v>0.49</v>
      </c>
      <c r="U55" s="35" t="str">
        <f t="shared" si="11"/>
        <v>No Cumple</v>
      </c>
      <c r="V55" s="2">
        <f t="shared" si="12"/>
        <v>0</v>
      </c>
      <c r="W55" s="5" t="str">
        <f t="shared" si="17"/>
        <v>NO</v>
      </c>
      <c r="X55" s="5">
        <f t="shared" si="13"/>
        <v>0</v>
      </c>
      <c r="Y55" s="1"/>
    </row>
    <row r="56" spans="2:25" x14ac:dyDescent="0.25">
      <c r="B56" s="1" t="s">
        <v>234</v>
      </c>
      <c r="C56" s="1" t="s">
        <v>61</v>
      </c>
      <c r="D56" s="1" t="s">
        <v>243</v>
      </c>
      <c r="E56" s="1" t="s">
        <v>339</v>
      </c>
      <c r="F56" s="2">
        <f t="shared" si="4"/>
        <v>250000</v>
      </c>
      <c r="G56" s="4">
        <f>+VLOOKUP(C56,Indicadores!B:C,2,FALSE)</f>
        <v>0.81584545454545454</v>
      </c>
      <c r="H56" s="1" t="str">
        <f t="shared" si="5"/>
        <v>No Cumple</v>
      </c>
      <c r="I56" s="4">
        <f>+VLOOKUP(C56,Indicadores!B:F,5,FALSE)</f>
        <v>1</v>
      </c>
      <c r="J56" s="1" t="str">
        <f t="shared" si="6"/>
        <v>Cumple</v>
      </c>
      <c r="K56" s="9">
        <f t="shared" si="14"/>
        <v>150000</v>
      </c>
      <c r="L56" s="4">
        <f>+VLOOKUP(C56,Indicadores!B:P,15,FALSE)</f>
        <v>0.57356666666666667</v>
      </c>
      <c r="M56" s="1" t="str">
        <f t="shared" si="7"/>
        <v>No Cumple</v>
      </c>
      <c r="N56" s="5">
        <f t="shared" si="8"/>
        <v>0</v>
      </c>
      <c r="O56" s="5">
        <f t="shared" si="15"/>
        <v>50000</v>
      </c>
      <c r="P56" s="4">
        <v>0.95</v>
      </c>
      <c r="Q56" s="5" t="str">
        <f t="shared" si="9"/>
        <v>Cumple</v>
      </c>
      <c r="R56" s="5">
        <f t="shared" si="10"/>
        <v>47500</v>
      </c>
      <c r="S56" s="5">
        <f t="shared" si="16"/>
        <v>50000</v>
      </c>
      <c r="T56" s="4">
        <f>+VLOOKUP(C56,Indicadores!B:V,21,FALSE)</f>
        <v>0.5</v>
      </c>
      <c r="U56" s="35" t="str">
        <f t="shared" si="11"/>
        <v>No Cumple</v>
      </c>
      <c r="V56" s="2">
        <f t="shared" si="12"/>
        <v>0</v>
      </c>
      <c r="W56" s="5" t="str">
        <f t="shared" si="17"/>
        <v>NO</v>
      </c>
      <c r="X56" s="5">
        <f t="shared" si="13"/>
        <v>0</v>
      </c>
      <c r="Y56" s="1"/>
    </row>
    <row r="57" spans="2:25" x14ac:dyDescent="0.25">
      <c r="B57" s="1" t="s">
        <v>234</v>
      </c>
      <c r="C57" s="1" t="s">
        <v>62</v>
      </c>
      <c r="D57" s="1" t="s">
        <v>243</v>
      </c>
      <c r="E57" s="1" t="s">
        <v>339</v>
      </c>
      <c r="F57" s="2">
        <f t="shared" si="4"/>
        <v>250000</v>
      </c>
      <c r="G57" s="4">
        <f>+VLOOKUP(C57,Indicadores!B:C,2,FALSE)</f>
        <v>0.85741818181818197</v>
      </c>
      <c r="H57" s="1" t="str">
        <f t="shared" si="5"/>
        <v>No Cumple</v>
      </c>
      <c r="I57" s="4">
        <f>+VLOOKUP(C57,Indicadores!B:F,5,FALSE)</f>
        <v>0.95</v>
      </c>
      <c r="J57" s="1" t="str">
        <f t="shared" si="6"/>
        <v>Cumple</v>
      </c>
      <c r="K57" s="9">
        <f t="shared" si="14"/>
        <v>150000</v>
      </c>
      <c r="L57" s="4">
        <f>+VLOOKUP(C57,Indicadores!B:P,15,FALSE)</f>
        <v>0.73606666666666676</v>
      </c>
      <c r="M57" s="1" t="str">
        <f t="shared" si="7"/>
        <v>No Cumple</v>
      </c>
      <c r="N57" s="5">
        <f t="shared" si="8"/>
        <v>0</v>
      </c>
      <c r="O57" s="5">
        <f t="shared" si="15"/>
        <v>50000</v>
      </c>
      <c r="P57" s="4">
        <v>0.95</v>
      </c>
      <c r="Q57" s="5" t="str">
        <f t="shared" si="9"/>
        <v>Cumple</v>
      </c>
      <c r="R57" s="5">
        <f t="shared" si="10"/>
        <v>47500</v>
      </c>
      <c r="S57" s="5">
        <f t="shared" si="16"/>
        <v>50000</v>
      </c>
      <c r="T57" s="4">
        <f>+VLOOKUP(C57,Indicadores!B:V,21,FALSE)</f>
        <v>0.5</v>
      </c>
      <c r="U57" s="35" t="str">
        <f t="shared" si="11"/>
        <v>No Cumple</v>
      </c>
      <c r="V57" s="2">
        <f t="shared" si="12"/>
        <v>0</v>
      </c>
      <c r="W57" s="5" t="str">
        <f t="shared" si="17"/>
        <v>NO</v>
      </c>
      <c r="X57" s="5">
        <f t="shared" si="13"/>
        <v>0</v>
      </c>
      <c r="Y57" s="1"/>
    </row>
    <row r="58" spans="2:25" x14ac:dyDescent="0.25">
      <c r="B58" s="1" t="s">
        <v>234</v>
      </c>
      <c r="C58" s="1" t="s">
        <v>63</v>
      </c>
      <c r="D58" s="1" t="s">
        <v>243</v>
      </c>
      <c r="E58" s="1" t="s">
        <v>339</v>
      </c>
      <c r="F58" s="2">
        <f t="shared" si="4"/>
        <v>250000</v>
      </c>
      <c r="G58" s="4">
        <f>+VLOOKUP(C58,Indicadores!B:C,2,FALSE)</f>
        <v>0.81049090909090904</v>
      </c>
      <c r="H58" s="1" t="str">
        <f t="shared" si="5"/>
        <v>No Cumple</v>
      </c>
      <c r="I58" s="4">
        <f>+VLOOKUP(C58,Indicadores!B:F,5,FALSE)</f>
        <v>1</v>
      </c>
      <c r="J58" s="1" t="str">
        <f t="shared" si="6"/>
        <v>Cumple</v>
      </c>
      <c r="K58" s="9">
        <f t="shared" si="14"/>
        <v>150000</v>
      </c>
      <c r="L58" s="4">
        <f>+VLOOKUP(C58,Indicadores!B:P,15,FALSE)</f>
        <v>0.46286666666666659</v>
      </c>
      <c r="M58" s="1" t="str">
        <f t="shared" si="7"/>
        <v>No Cumple</v>
      </c>
      <c r="N58" s="5">
        <f t="shared" si="8"/>
        <v>0</v>
      </c>
      <c r="O58" s="5">
        <f t="shared" si="15"/>
        <v>50000</v>
      </c>
      <c r="P58" s="4">
        <v>0.95</v>
      </c>
      <c r="Q58" s="5" t="str">
        <f t="shared" si="9"/>
        <v>Cumple</v>
      </c>
      <c r="R58" s="5">
        <f t="shared" si="10"/>
        <v>47500</v>
      </c>
      <c r="S58" s="5">
        <f t="shared" si="16"/>
        <v>50000</v>
      </c>
      <c r="T58" s="4">
        <f>+VLOOKUP(C58,Indicadores!B:V,21,FALSE)</f>
        <v>0.5</v>
      </c>
      <c r="U58" s="35" t="str">
        <f t="shared" si="11"/>
        <v>No Cumple</v>
      </c>
      <c r="V58" s="2">
        <f t="shared" si="12"/>
        <v>0</v>
      </c>
      <c r="W58" s="5" t="str">
        <f t="shared" si="17"/>
        <v>NO</v>
      </c>
      <c r="X58" s="5">
        <f t="shared" si="13"/>
        <v>0</v>
      </c>
      <c r="Y58" s="1"/>
    </row>
    <row r="59" spans="2:25" x14ac:dyDescent="0.25">
      <c r="B59" s="1" t="s">
        <v>234</v>
      </c>
      <c r="C59" s="1" t="s">
        <v>64</v>
      </c>
      <c r="D59" s="1" t="s">
        <v>243</v>
      </c>
      <c r="E59" s="1" t="s">
        <v>339</v>
      </c>
      <c r="F59" s="2">
        <f t="shared" si="4"/>
        <v>250000</v>
      </c>
      <c r="G59" s="4">
        <f>+VLOOKUP(C59,Indicadores!B:C,2,FALSE)</f>
        <v>0.79825454545454544</v>
      </c>
      <c r="H59" s="1" t="str">
        <f t="shared" si="5"/>
        <v>No Cumple</v>
      </c>
      <c r="I59" s="4">
        <f>+VLOOKUP(C59,Indicadores!B:F,5,FALSE)</f>
        <v>1</v>
      </c>
      <c r="J59" s="1" t="str">
        <f t="shared" si="6"/>
        <v>Cumple</v>
      </c>
      <c r="K59" s="9">
        <f t="shared" si="14"/>
        <v>150000</v>
      </c>
      <c r="L59" s="4">
        <f>+VLOOKUP(C59,Indicadores!B:P,15,FALSE)</f>
        <v>0.36109999999999998</v>
      </c>
      <c r="M59" s="1" t="str">
        <f t="shared" si="7"/>
        <v>No Cumple</v>
      </c>
      <c r="N59" s="5">
        <f t="shared" si="8"/>
        <v>0</v>
      </c>
      <c r="O59" s="5">
        <f t="shared" si="15"/>
        <v>50000</v>
      </c>
      <c r="P59" s="4">
        <v>0.95</v>
      </c>
      <c r="Q59" s="5" t="str">
        <f t="shared" si="9"/>
        <v>Cumple</v>
      </c>
      <c r="R59" s="5">
        <f t="shared" si="10"/>
        <v>47500</v>
      </c>
      <c r="S59" s="5">
        <f t="shared" si="16"/>
        <v>50000</v>
      </c>
      <c r="T59" s="4">
        <f>+VLOOKUP(C59,Indicadores!B:V,21,FALSE)</f>
        <v>1</v>
      </c>
      <c r="U59" s="35" t="str">
        <f t="shared" si="11"/>
        <v>Cumple</v>
      </c>
      <c r="V59" s="2">
        <f t="shared" si="12"/>
        <v>50000</v>
      </c>
      <c r="W59" s="5" t="str">
        <f t="shared" si="17"/>
        <v>NO</v>
      </c>
      <c r="X59" s="5">
        <f t="shared" si="13"/>
        <v>0</v>
      </c>
      <c r="Y59" s="1"/>
    </row>
    <row r="60" spans="2:25" x14ac:dyDescent="0.25">
      <c r="B60" s="1" t="s">
        <v>234</v>
      </c>
      <c r="C60" s="1" t="s">
        <v>65</v>
      </c>
      <c r="D60" s="1" t="s">
        <v>243</v>
      </c>
      <c r="E60" s="1" t="s">
        <v>339</v>
      </c>
      <c r="F60" s="2">
        <f t="shared" si="4"/>
        <v>250000</v>
      </c>
      <c r="G60" s="4">
        <f>+VLOOKUP(C60,Indicadores!B:C,2,FALSE)</f>
        <v>0.76489090909090907</v>
      </c>
      <c r="H60" s="1" t="str">
        <f t="shared" si="5"/>
        <v>No Cumple</v>
      </c>
      <c r="I60" s="4">
        <f>+VLOOKUP(C60,Indicadores!B:F,5,FALSE)</f>
        <v>0.92307692307692313</v>
      </c>
      <c r="J60" s="1" t="str">
        <f t="shared" si="6"/>
        <v>No Cumple</v>
      </c>
      <c r="K60" s="9">
        <f t="shared" si="14"/>
        <v>150000</v>
      </c>
      <c r="L60" s="4">
        <f>+VLOOKUP(C60,Indicadores!B:P,15,FALSE)</f>
        <v>0.50383333333333336</v>
      </c>
      <c r="M60" s="1" t="str">
        <f t="shared" si="7"/>
        <v>No Cumple</v>
      </c>
      <c r="N60" s="5">
        <f t="shared" si="8"/>
        <v>0</v>
      </c>
      <c r="O60" s="5">
        <f t="shared" si="15"/>
        <v>50000</v>
      </c>
      <c r="P60" s="4">
        <v>0.95</v>
      </c>
      <c r="Q60" s="5" t="str">
        <f t="shared" si="9"/>
        <v>Cumple</v>
      </c>
      <c r="R60" s="5">
        <f t="shared" si="10"/>
        <v>47500</v>
      </c>
      <c r="S60" s="5">
        <f t="shared" si="16"/>
        <v>50000</v>
      </c>
      <c r="T60" s="4">
        <f>+VLOOKUP(C60,Indicadores!B:V,21,FALSE)</f>
        <v>0.5</v>
      </c>
      <c r="U60" s="35" t="str">
        <f t="shared" si="11"/>
        <v>No Cumple</v>
      </c>
      <c r="V60" s="2">
        <f t="shared" si="12"/>
        <v>0</v>
      </c>
      <c r="W60" s="5" t="str">
        <f t="shared" si="17"/>
        <v>NO</v>
      </c>
      <c r="X60" s="5">
        <f t="shared" si="13"/>
        <v>0</v>
      </c>
      <c r="Y60" s="1"/>
    </row>
    <row r="61" spans="2:25" x14ac:dyDescent="0.25">
      <c r="B61" s="1" t="s">
        <v>234</v>
      </c>
      <c r="C61" s="1" t="s">
        <v>66</v>
      </c>
      <c r="D61" s="1" t="s">
        <v>243</v>
      </c>
      <c r="E61" s="1" t="s">
        <v>339</v>
      </c>
      <c r="F61" s="2">
        <f t="shared" si="4"/>
        <v>250000</v>
      </c>
      <c r="G61" s="4">
        <f>+VLOOKUP(C61,Indicadores!B:C,2,FALSE)</f>
        <v>0.79330909090909085</v>
      </c>
      <c r="H61" s="1" t="str">
        <f t="shared" si="5"/>
        <v>No Cumple</v>
      </c>
      <c r="I61" s="4">
        <f>+VLOOKUP(C61,Indicadores!B:F,5,FALSE)</f>
        <v>1</v>
      </c>
      <c r="J61" s="1" t="str">
        <f t="shared" si="6"/>
        <v>Cumple</v>
      </c>
      <c r="K61" s="9">
        <f t="shared" si="14"/>
        <v>150000</v>
      </c>
      <c r="L61" s="4">
        <f>+VLOOKUP(C61,Indicadores!B:P,15,FALSE)</f>
        <v>0.6166666666666667</v>
      </c>
      <c r="M61" s="1" t="str">
        <f t="shared" si="7"/>
        <v>No Cumple</v>
      </c>
      <c r="N61" s="5">
        <f t="shared" si="8"/>
        <v>0</v>
      </c>
      <c r="O61" s="5">
        <f t="shared" si="15"/>
        <v>50000</v>
      </c>
      <c r="P61" s="4">
        <v>0.95</v>
      </c>
      <c r="Q61" s="5" t="str">
        <f t="shared" si="9"/>
        <v>Cumple</v>
      </c>
      <c r="R61" s="5">
        <f t="shared" si="10"/>
        <v>47500</v>
      </c>
      <c r="S61" s="5">
        <f t="shared" si="16"/>
        <v>50000</v>
      </c>
      <c r="T61" s="4">
        <f>+VLOOKUP(C61,Indicadores!B:V,21,FALSE)</f>
        <v>1</v>
      </c>
      <c r="U61" s="35" t="str">
        <f t="shared" si="11"/>
        <v>Cumple</v>
      </c>
      <c r="V61" s="2">
        <f t="shared" si="12"/>
        <v>50000</v>
      </c>
      <c r="W61" s="5" t="str">
        <f t="shared" si="17"/>
        <v>NO</v>
      </c>
      <c r="X61" s="5">
        <f t="shared" si="13"/>
        <v>0</v>
      </c>
      <c r="Y61" s="1"/>
    </row>
    <row r="62" spans="2:25" x14ac:dyDescent="0.25">
      <c r="B62" s="1" t="s">
        <v>234</v>
      </c>
      <c r="C62" s="1" t="s">
        <v>67</v>
      </c>
      <c r="D62" s="1" t="s">
        <v>243</v>
      </c>
      <c r="E62" s="1" t="s">
        <v>339</v>
      </c>
      <c r="F62" s="2">
        <f t="shared" si="4"/>
        <v>250000</v>
      </c>
      <c r="G62" s="4">
        <f>+VLOOKUP(C62,Indicadores!B:C,2,FALSE)</f>
        <v>0.79930909090909086</v>
      </c>
      <c r="H62" s="1" t="str">
        <f t="shared" si="5"/>
        <v>No Cumple</v>
      </c>
      <c r="I62" s="4">
        <f>+VLOOKUP(C62,Indicadores!B:F,5,FALSE)</f>
        <v>1</v>
      </c>
      <c r="J62" s="1" t="str">
        <f t="shared" si="6"/>
        <v>Cumple</v>
      </c>
      <c r="K62" s="9">
        <f t="shared" si="14"/>
        <v>150000</v>
      </c>
      <c r="L62" s="4">
        <f>+VLOOKUP(C62,Indicadores!B:P,15,FALSE)</f>
        <v>0.68553333333333333</v>
      </c>
      <c r="M62" s="1" t="str">
        <f t="shared" si="7"/>
        <v>No Cumple</v>
      </c>
      <c r="N62" s="5">
        <f t="shared" si="8"/>
        <v>0</v>
      </c>
      <c r="O62" s="5">
        <f t="shared" si="15"/>
        <v>50000</v>
      </c>
      <c r="P62" s="4">
        <v>0.95</v>
      </c>
      <c r="Q62" s="5" t="str">
        <f t="shared" si="9"/>
        <v>Cumple</v>
      </c>
      <c r="R62" s="5">
        <f t="shared" si="10"/>
        <v>47500</v>
      </c>
      <c r="S62" s="5">
        <f t="shared" si="16"/>
        <v>50000</v>
      </c>
      <c r="T62" s="4">
        <f>+VLOOKUP(C62,Indicadores!B:V,21,FALSE)</f>
        <v>0.5</v>
      </c>
      <c r="U62" s="35" t="str">
        <f t="shared" si="11"/>
        <v>No Cumple</v>
      </c>
      <c r="V62" s="2">
        <f t="shared" si="12"/>
        <v>0</v>
      </c>
      <c r="W62" s="5" t="str">
        <f t="shared" si="17"/>
        <v>NO</v>
      </c>
      <c r="X62" s="5">
        <f t="shared" si="13"/>
        <v>0</v>
      </c>
      <c r="Y62" s="1"/>
    </row>
    <row r="63" spans="2:25" x14ac:dyDescent="0.25">
      <c r="B63" s="1" t="s">
        <v>234</v>
      </c>
      <c r="C63" s="1" t="s">
        <v>68</v>
      </c>
      <c r="D63" s="1" t="s">
        <v>243</v>
      </c>
      <c r="E63" s="1" t="s">
        <v>339</v>
      </c>
      <c r="F63" s="2">
        <f t="shared" si="4"/>
        <v>250000</v>
      </c>
      <c r="G63" s="4">
        <f>+VLOOKUP(C63,Indicadores!B:C,2,FALSE)</f>
        <v>0.79154545454545444</v>
      </c>
      <c r="H63" s="1" t="str">
        <f t="shared" si="5"/>
        <v>No Cumple</v>
      </c>
      <c r="I63" s="4">
        <f>+VLOOKUP(C63,Indicadores!B:F,5,FALSE)</f>
        <v>0.82352941176470584</v>
      </c>
      <c r="J63" s="1" t="str">
        <f t="shared" si="6"/>
        <v>No Cumple</v>
      </c>
      <c r="K63" s="9">
        <f t="shared" si="14"/>
        <v>150000</v>
      </c>
      <c r="L63" s="4">
        <f>+VLOOKUP(C63,Indicadores!B:P,15,FALSE)</f>
        <v>0.45789999999999997</v>
      </c>
      <c r="M63" s="1" t="str">
        <f t="shared" si="7"/>
        <v>No Cumple</v>
      </c>
      <c r="N63" s="5">
        <f t="shared" si="8"/>
        <v>0</v>
      </c>
      <c r="O63" s="5">
        <f t="shared" si="15"/>
        <v>50000</v>
      </c>
      <c r="P63" s="4">
        <v>0.95</v>
      </c>
      <c r="Q63" s="5" t="str">
        <f t="shared" si="9"/>
        <v>Cumple</v>
      </c>
      <c r="R63" s="5">
        <f t="shared" si="10"/>
        <v>47500</v>
      </c>
      <c r="S63" s="5">
        <f t="shared" si="16"/>
        <v>50000</v>
      </c>
      <c r="T63" s="4">
        <f>+VLOOKUP(C63,Indicadores!B:V,21,FALSE)</f>
        <v>0.5</v>
      </c>
      <c r="U63" s="35" t="str">
        <f t="shared" si="11"/>
        <v>No Cumple</v>
      </c>
      <c r="V63" s="2">
        <f t="shared" si="12"/>
        <v>0</v>
      </c>
      <c r="W63" s="5" t="str">
        <f t="shared" si="17"/>
        <v>NO</v>
      </c>
      <c r="X63" s="5">
        <f t="shared" si="13"/>
        <v>0</v>
      </c>
      <c r="Y63" s="1"/>
    </row>
    <row r="64" spans="2:25" x14ac:dyDescent="0.25">
      <c r="B64" s="1" t="s">
        <v>234</v>
      </c>
      <c r="C64" s="1" t="s">
        <v>69</v>
      </c>
      <c r="D64" s="1" t="s">
        <v>243</v>
      </c>
      <c r="E64" s="1" t="s">
        <v>339</v>
      </c>
      <c r="F64" s="2">
        <f t="shared" si="4"/>
        <v>250000</v>
      </c>
      <c r="G64" s="4">
        <f>+VLOOKUP(C64,Indicadores!B:C,2,FALSE)</f>
        <v>0.78886363636363643</v>
      </c>
      <c r="H64" s="1" t="str">
        <f t="shared" si="5"/>
        <v>No Cumple</v>
      </c>
      <c r="I64" s="4">
        <f>+VLOOKUP(C64,Indicadores!B:F,5,FALSE)</f>
        <v>1</v>
      </c>
      <c r="J64" s="1" t="str">
        <f t="shared" si="6"/>
        <v>Cumple</v>
      </c>
      <c r="K64" s="9">
        <f t="shared" si="14"/>
        <v>150000</v>
      </c>
      <c r="L64" s="4">
        <f>+VLOOKUP(C64,Indicadores!B:P,15,FALSE)</f>
        <v>0.57169999999999999</v>
      </c>
      <c r="M64" s="1" t="str">
        <f t="shared" si="7"/>
        <v>No Cumple</v>
      </c>
      <c r="N64" s="5">
        <f t="shared" si="8"/>
        <v>0</v>
      </c>
      <c r="O64" s="5">
        <f t="shared" si="15"/>
        <v>50000</v>
      </c>
      <c r="P64" s="4">
        <v>0.95</v>
      </c>
      <c r="Q64" s="5" t="str">
        <f t="shared" si="9"/>
        <v>Cumple</v>
      </c>
      <c r="R64" s="5">
        <f t="shared" si="10"/>
        <v>47500</v>
      </c>
      <c r="S64" s="5">
        <f t="shared" si="16"/>
        <v>50000</v>
      </c>
      <c r="T64" s="4">
        <f>+VLOOKUP(C64,Indicadores!B:V,21,FALSE)</f>
        <v>0.99195</v>
      </c>
      <c r="U64" s="35" t="str">
        <f t="shared" si="11"/>
        <v>No Cumple</v>
      </c>
      <c r="V64" s="2">
        <f t="shared" si="12"/>
        <v>0</v>
      </c>
      <c r="W64" s="5" t="str">
        <f t="shared" si="17"/>
        <v>NO</v>
      </c>
      <c r="X64" s="5">
        <f t="shared" si="13"/>
        <v>0</v>
      </c>
      <c r="Y64" s="1"/>
    </row>
    <row r="65" spans="2:25" x14ac:dyDescent="0.25">
      <c r="B65" s="1" t="s">
        <v>234</v>
      </c>
      <c r="C65" s="1" t="s">
        <v>70</v>
      </c>
      <c r="D65" s="1" t="s">
        <v>243</v>
      </c>
      <c r="E65" s="1" t="s">
        <v>339</v>
      </c>
      <c r="F65" s="2">
        <f t="shared" si="4"/>
        <v>250000</v>
      </c>
      <c r="G65" s="4">
        <f>+VLOOKUP(C65,Indicadores!B:C,2,FALSE)</f>
        <v>0.75610909090909084</v>
      </c>
      <c r="H65" s="1" t="str">
        <f t="shared" si="5"/>
        <v>No Cumple</v>
      </c>
      <c r="I65" s="4">
        <f>+VLOOKUP(C65,Indicadores!B:F,5,FALSE)</f>
        <v>1</v>
      </c>
      <c r="J65" s="1" t="str">
        <f t="shared" si="6"/>
        <v>Cumple</v>
      </c>
      <c r="K65" s="9">
        <f t="shared" si="14"/>
        <v>150000</v>
      </c>
      <c r="L65" s="4">
        <f>+VLOOKUP(C65,Indicadores!B:P,15,FALSE)</f>
        <v>0.36493333333333333</v>
      </c>
      <c r="M65" s="1" t="str">
        <f t="shared" si="7"/>
        <v>No Cumple</v>
      </c>
      <c r="N65" s="5">
        <f t="shared" si="8"/>
        <v>0</v>
      </c>
      <c r="O65" s="5">
        <f t="shared" si="15"/>
        <v>50000</v>
      </c>
      <c r="P65" s="4">
        <v>0.95</v>
      </c>
      <c r="Q65" s="5" t="str">
        <f t="shared" si="9"/>
        <v>Cumple</v>
      </c>
      <c r="R65" s="5">
        <f t="shared" si="10"/>
        <v>47500</v>
      </c>
      <c r="S65" s="5">
        <f t="shared" si="16"/>
        <v>50000</v>
      </c>
      <c r="T65" s="4">
        <f>+VLOOKUP(C65,Indicadores!B:V,21,FALSE)</f>
        <v>0.5</v>
      </c>
      <c r="U65" s="35" t="str">
        <f t="shared" si="11"/>
        <v>No Cumple</v>
      </c>
      <c r="V65" s="2">
        <f t="shared" si="12"/>
        <v>0</v>
      </c>
      <c r="W65" s="5" t="str">
        <f t="shared" si="17"/>
        <v>NO</v>
      </c>
      <c r="X65" s="5">
        <f t="shared" si="13"/>
        <v>0</v>
      </c>
      <c r="Y65" s="1"/>
    </row>
    <row r="66" spans="2:25" x14ac:dyDescent="0.25">
      <c r="B66" s="1" t="s">
        <v>234</v>
      </c>
      <c r="C66" s="1" t="s">
        <v>71</v>
      </c>
      <c r="D66" s="1" t="s">
        <v>243</v>
      </c>
      <c r="E66" s="1" t="s">
        <v>339</v>
      </c>
      <c r="F66" s="2">
        <f t="shared" si="4"/>
        <v>250000</v>
      </c>
      <c r="G66" s="4">
        <f>+VLOOKUP(C66,Indicadores!B:C,2,FALSE)</f>
        <v>0.84487272727272711</v>
      </c>
      <c r="H66" s="1" t="str">
        <f t="shared" si="5"/>
        <v>No Cumple</v>
      </c>
      <c r="I66" s="4">
        <f>+VLOOKUP(C66,Indicadores!B:F,5,FALSE)</f>
        <v>0.92307692307692313</v>
      </c>
      <c r="J66" s="1" t="str">
        <f t="shared" si="6"/>
        <v>No Cumple</v>
      </c>
      <c r="K66" s="9">
        <f t="shared" si="14"/>
        <v>150000</v>
      </c>
      <c r="L66" s="4">
        <f>+VLOOKUP(C66,Indicadores!B:P,15,FALSE)</f>
        <v>0.79596666666666671</v>
      </c>
      <c r="M66" s="1" t="str">
        <f t="shared" si="7"/>
        <v>No Cumple</v>
      </c>
      <c r="N66" s="5">
        <f t="shared" si="8"/>
        <v>0</v>
      </c>
      <c r="O66" s="5">
        <f t="shared" si="15"/>
        <v>50000</v>
      </c>
      <c r="P66" s="4">
        <v>0.95</v>
      </c>
      <c r="Q66" s="5" t="str">
        <f t="shared" si="9"/>
        <v>Cumple</v>
      </c>
      <c r="R66" s="5">
        <f t="shared" si="10"/>
        <v>47500</v>
      </c>
      <c r="S66" s="5">
        <f t="shared" si="16"/>
        <v>50000</v>
      </c>
      <c r="T66" s="4">
        <f>+VLOOKUP(C66,Indicadores!B:V,21,FALSE)</f>
        <v>0.49454999999999999</v>
      </c>
      <c r="U66" s="35" t="str">
        <f t="shared" si="11"/>
        <v>No Cumple</v>
      </c>
      <c r="V66" s="2">
        <f t="shared" si="12"/>
        <v>0</v>
      </c>
      <c r="W66" s="5" t="str">
        <f t="shared" si="17"/>
        <v>NO</v>
      </c>
      <c r="X66" s="5">
        <f t="shared" si="13"/>
        <v>0</v>
      </c>
      <c r="Y66" s="8"/>
    </row>
    <row r="67" spans="2:25" x14ac:dyDescent="0.25">
      <c r="B67" s="1" t="s">
        <v>234</v>
      </c>
      <c r="C67" s="1" t="s">
        <v>72</v>
      </c>
      <c r="D67" s="1" t="s">
        <v>243</v>
      </c>
      <c r="E67" s="1" t="s">
        <v>339</v>
      </c>
      <c r="F67" s="2">
        <f t="shared" si="4"/>
        <v>250000</v>
      </c>
      <c r="G67" s="4">
        <f>+VLOOKUP(C67,Indicadores!B:C,2,FALSE)</f>
        <v>0.80184545454545464</v>
      </c>
      <c r="H67" s="1" t="str">
        <f t="shared" si="5"/>
        <v>No Cumple</v>
      </c>
      <c r="I67" s="4">
        <f>+VLOOKUP(C67,Indicadores!B:F,5,FALSE)</f>
        <v>1</v>
      </c>
      <c r="J67" s="1" t="str">
        <f t="shared" si="6"/>
        <v>Cumple</v>
      </c>
      <c r="K67" s="9">
        <f t="shared" si="14"/>
        <v>150000</v>
      </c>
      <c r="L67" s="4">
        <f>+VLOOKUP(C67,Indicadores!B:P,15,FALSE)</f>
        <v>0.70413333333333339</v>
      </c>
      <c r="M67" s="1" t="str">
        <f t="shared" si="7"/>
        <v>No Cumple</v>
      </c>
      <c r="N67" s="5">
        <f t="shared" si="8"/>
        <v>0</v>
      </c>
      <c r="O67" s="5">
        <f t="shared" si="15"/>
        <v>50000</v>
      </c>
      <c r="P67" s="4">
        <v>0.95</v>
      </c>
      <c r="Q67" s="5" t="str">
        <f t="shared" si="9"/>
        <v>Cumple</v>
      </c>
      <c r="R67" s="5">
        <f t="shared" si="10"/>
        <v>47500</v>
      </c>
      <c r="S67" s="5">
        <f t="shared" si="16"/>
        <v>50000</v>
      </c>
      <c r="T67" s="4">
        <f>+VLOOKUP(C67,Indicadores!B:V,21,FALSE)</f>
        <v>0.5</v>
      </c>
      <c r="U67" s="35" t="str">
        <f t="shared" si="11"/>
        <v>No Cumple</v>
      </c>
      <c r="V67" s="2">
        <f t="shared" si="12"/>
        <v>0</v>
      </c>
      <c r="W67" s="5" t="str">
        <f t="shared" si="17"/>
        <v>NO</v>
      </c>
      <c r="X67" s="5">
        <f t="shared" si="13"/>
        <v>0</v>
      </c>
      <c r="Y67" s="1"/>
    </row>
    <row r="68" spans="2:25" x14ac:dyDescent="0.25">
      <c r="B68" s="1" t="s">
        <v>235</v>
      </c>
      <c r="C68" s="1" t="s">
        <v>73</v>
      </c>
      <c r="D68" s="1" t="s">
        <v>243</v>
      </c>
      <c r="E68" s="1" t="s">
        <v>340</v>
      </c>
      <c r="F68" s="2">
        <f t="shared" si="4"/>
        <v>250000</v>
      </c>
      <c r="G68" s="4">
        <f>+VLOOKUP(C68,Indicadores!B:C,2,FALSE)</f>
        <v>0.81913636363636355</v>
      </c>
      <c r="H68" s="1" t="str">
        <f t="shared" si="5"/>
        <v>No Cumple</v>
      </c>
      <c r="I68" s="4">
        <f>+VLOOKUP(C68,Indicadores!B:F,5,FALSE)</f>
        <v>0.90476190476190477</v>
      </c>
      <c r="J68" s="1" t="str">
        <f t="shared" si="6"/>
        <v>No Cumple</v>
      </c>
      <c r="K68" s="9">
        <f t="shared" si="14"/>
        <v>150000</v>
      </c>
      <c r="L68" s="4">
        <f>+VLOOKUP(C68,Indicadores!B:P,15,FALSE)</f>
        <v>0.53403333333333336</v>
      </c>
      <c r="M68" s="1" t="str">
        <f t="shared" si="7"/>
        <v>No Cumple</v>
      </c>
      <c r="N68" s="5">
        <f t="shared" si="8"/>
        <v>0</v>
      </c>
      <c r="O68" s="5">
        <f t="shared" si="15"/>
        <v>50000</v>
      </c>
      <c r="P68" s="4">
        <v>0.95</v>
      </c>
      <c r="Q68" s="5" t="str">
        <f t="shared" si="9"/>
        <v>Cumple</v>
      </c>
      <c r="R68" s="5">
        <f t="shared" si="10"/>
        <v>47500</v>
      </c>
      <c r="S68" s="5">
        <f t="shared" si="16"/>
        <v>50000</v>
      </c>
      <c r="T68" s="4">
        <f>+VLOOKUP(C68,Indicadores!B:V,21,FALSE)</f>
        <v>0.5</v>
      </c>
      <c r="U68" s="35" t="str">
        <f t="shared" si="11"/>
        <v>No Cumple</v>
      </c>
      <c r="V68" s="2">
        <f t="shared" si="12"/>
        <v>0</v>
      </c>
      <c r="W68" s="5" t="str">
        <f t="shared" si="17"/>
        <v>NO</v>
      </c>
      <c r="X68" s="5">
        <f t="shared" si="13"/>
        <v>0</v>
      </c>
      <c r="Y68" s="1"/>
    </row>
    <row r="69" spans="2:25" x14ac:dyDescent="0.25">
      <c r="B69" s="1" t="s">
        <v>235</v>
      </c>
      <c r="C69" s="1" t="s">
        <v>74</v>
      </c>
      <c r="D69" s="1" t="s">
        <v>243</v>
      </c>
      <c r="E69" s="1" t="s">
        <v>340</v>
      </c>
      <c r="F69" s="2">
        <f t="shared" si="4"/>
        <v>250000</v>
      </c>
      <c r="G69" s="4">
        <f>+VLOOKUP(C69,Indicadores!B:C,2,FALSE)</f>
        <v>0.81587272727272719</v>
      </c>
      <c r="H69" s="1" t="str">
        <f t="shared" si="5"/>
        <v>No Cumple</v>
      </c>
      <c r="I69" s="4">
        <f>+VLOOKUP(C69,Indicadores!B:F,5,FALSE)</f>
        <v>0.95454545454545459</v>
      </c>
      <c r="J69" s="1" t="str">
        <f t="shared" si="6"/>
        <v>Cumple</v>
      </c>
      <c r="K69" s="9">
        <f t="shared" si="14"/>
        <v>150000</v>
      </c>
      <c r="L69" s="4">
        <f>+VLOOKUP(C69,Indicadores!B:P,15,FALSE)</f>
        <v>0.5984666666666667</v>
      </c>
      <c r="M69" s="1" t="str">
        <f t="shared" si="7"/>
        <v>No Cumple</v>
      </c>
      <c r="N69" s="5">
        <f t="shared" si="8"/>
        <v>0</v>
      </c>
      <c r="O69" s="5">
        <f t="shared" si="15"/>
        <v>50000</v>
      </c>
      <c r="P69" s="4">
        <v>0.95</v>
      </c>
      <c r="Q69" s="5" t="str">
        <f t="shared" si="9"/>
        <v>Cumple</v>
      </c>
      <c r="R69" s="5">
        <f t="shared" si="10"/>
        <v>47500</v>
      </c>
      <c r="S69" s="5">
        <f t="shared" si="16"/>
        <v>50000</v>
      </c>
      <c r="T69" s="4">
        <f>+VLOOKUP(C69,Indicadores!B:V,21,FALSE)</f>
        <v>0.5</v>
      </c>
      <c r="U69" s="35" t="str">
        <f t="shared" si="11"/>
        <v>No Cumple</v>
      </c>
      <c r="V69" s="2">
        <f t="shared" si="12"/>
        <v>0</v>
      </c>
      <c r="W69" s="5" t="str">
        <f t="shared" si="17"/>
        <v>NO</v>
      </c>
      <c r="X69" s="5">
        <f t="shared" si="13"/>
        <v>0</v>
      </c>
      <c r="Y69" s="1"/>
    </row>
    <row r="70" spans="2:25" x14ac:dyDescent="0.25">
      <c r="B70" s="1" t="s">
        <v>235</v>
      </c>
      <c r="C70" s="1" t="s">
        <v>75</v>
      </c>
      <c r="D70" s="1" t="s">
        <v>243</v>
      </c>
      <c r="E70" s="1" t="s">
        <v>340</v>
      </c>
      <c r="F70" s="2">
        <f t="shared" si="4"/>
        <v>250000</v>
      </c>
      <c r="G70" s="4">
        <f>+VLOOKUP(C70,Indicadores!B:C,2,FALSE)</f>
        <v>0.88816363636363638</v>
      </c>
      <c r="H70" s="1" t="str">
        <f t="shared" si="5"/>
        <v>No Cumple</v>
      </c>
      <c r="I70" s="4">
        <f>+VLOOKUP(C70,Indicadores!B:F,5,FALSE)</f>
        <v>0.9642857142857143</v>
      </c>
      <c r="J70" s="1" t="str">
        <f t="shared" si="6"/>
        <v>Cumple</v>
      </c>
      <c r="K70" s="9">
        <f t="shared" ref="K70:K101" si="18">+$F$4*$K$3</f>
        <v>150000</v>
      </c>
      <c r="L70" s="4">
        <f>+VLOOKUP(C70,Indicadores!B:P,15,FALSE)</f>
        <v>0.91533333333333333</v>
      </c>
      <c r="M70" s="1" t="str">
        <f t="shared" si="7"/>
        <v>Cumple</v>
      </c>
      <c r="N70" s="5">
        <f t="shared" si="8"/>
        <v>135000</v>
      </c>
      <c r="O70" s="5">
        <f t="shared" ref="O70:O101" si="19">+$F$4*$O$3</f>
        <v>50000</v>
      </c>
      <c r="P70" s="4">
        <v>0.95</v>
      </c>
      <c r="Q70" s="5" t="str">
        <f t="shared" si="9"/>
        <v>Cumple</v>
      </c>
      <c r="R70" s="5">
        <f t="shared" si="10"/>
        <v>47500</v>
      </c>
      <c r="S70" s="5">
        <f t="shared" ref="S70:S101" si="20">+$F$4*$S$3</f>
        <v>50000</v>
      </c>
      <c r="T70" s="4">
        <f>+VLOOKUP(C70,Indicadores!B:V,21,FALSE)</f>
        <v>0.5</v>
      </c>
      <c r="U70" s="35" t="str">
        <f t="shared" si="11"/>
        <v>No Cumple</v>
      </c>
      <c r="V70" s="2">
        <f t="shared" si="12"/>
        <v>0</v>
      </c>
      <c r="W70" s="5" t="str">
        <f t="shared" ref="W70:W101" si="21">IF(AND(G70&gt;=95%,I70&gt;=95%),"SI","NO")</f>
        <v>NO</v>
      </c>
      <c r="X70" s="5">
        <f t="shared" si="13"/>
        <v>0</v>
      </c>
      <c r="Y70" s="1"/>
    </row>
    <row r="71" spans="2:25" x14ac:dyDescent="0.25">
      <c r="B71" s="1" t="s">
        <v>235</v>
      </c>
      <c r="C71" s="1" t="s">
        <v>76</v>
      </c>
      <c r="D71" s="1" t="s">
        <v>243</v>
      </c>
      <c r="E71" s="1" t="s">
        <v>340</v>
      </c>
      <c r="F71" s="2">
        <f t="shared" ref="F71:F134" si="22">+$F$4</f>
        <v>250000</v>
      </c>
      <c r="G71" s="4">
        <f>+VLOOKUP(C71,Indicadores!B:C,2,FALSE)</f>
        <v>0.80165454545454551</v>
      </c>
      <c r="H71" s="1" t="str">
        <f t="shared" ref="H71:H134" si="23">IF(G71&gt;=95%,"Cumple","No Cumple")</f>
        <v>No Cumple</v>
      </c>
      <c r="I71" s="4">
        <f>+VLOOKUP(C71,Indicadores!B:F,5,FALSE)</f>
        <v>1</v>
      </c>
      <c r="J71" s="1" t="str">
        <f t="shared" ref="J71:J134" si="24">IF(I71&gt;=95%,"Cumple","No Cumple")</f>
        <v>Cumple</v>
      </c>
      <c r="K71" s="9">
        <f t="shared" si="18"/>
        <v>150000</v>
      </c>
      <c r="L71" s="4">
        <f>+VLOOKUP(C71,Indicadores!B:P,15,FALSE)</f>
        <v>0.61340000000000006</v>
      </c>
      <c r="M71" s="1" t="str">
        <f t="shared" ref="M71:M134" si="25">IF(L71&gt;=80%,"Cumple","No Cumple")</f>
        <v>No Cumple</v>
      </c>
      <c r="N71" s="5">
        <f t="shared" ref="N71:N136" si="26">IF(L71=80%,K71*70%,IF(AND(L71&gt;=81%,L71&lt;=90%),K71*80%,IF(AND(L71&gt;=91%,L71&lt;=95%),K71*90%,IF(L71=96%,K71*96%,IF(L71=97%,K71*97%,IF(L71=98%,K71*98%,IF(L71=99%,K71*99%,IF(L71=100%,K71,0))))))))</f>
        <v>0</v>
      </c>
      <c r="O71" s="5">
        <f t="shared" si="19"/>
        <v>50000</v>
      </c>
      <c r="P71" s="4">
        <v>0.95</v>
      </c>
      <c r="Q71" s="5" t="str">
        <f t="shared" ref="Q71:Q134" si="27">IF(P71&gt;=80%,"Cumple","No Cumple")</f>
        <v>Cumple</v>
      </c>
      <c r="R71" s="5">
        <f t="shared" ref="R71:R134" si="28">+O71*95%</f>
        <v>47500</v>
      </c>
      <c r="S71" s="5">
        <f t="shared" si="20"/>
        <v>50000</v>
      </c>
      <c r="T71" s="4">
        <f>+VLOOKUP(C71,Indicadores!B:V,21,FALSE)</f>
        <v>0.5</v>
      </c>
      <c r="U71" s="35" t="str">
        <f t="shared" ref="U71:U134" si="29">IF(T71&gt;=100%,"Cumple","No Cumple")</f>
        <v>No Cumple</v>
      </c>
      <c r="V71" s="2">
        <f t="shared" ref="V71:V134" si="30">IF(T71=100%,S71,0)</f>
        <v>0</v>
      </c>
      <c r="W71" s="5" t="str">
        <f t="shared" si="21"/>
        <v>NO</v>
      </c>
      <c r="X71" s="5">
        <f t="shared" ref="X71:X134" si="31">+IF(W71="SI",N71+R71+V71,0)</f>
        <v>0</v>
      </c>
      <c r="Y71" s="1"/>
    </row>
    <row r="72" spans="2:25" x14ac:dyDescent="0.25">
      <c r="B72" s="1" t="s">
        <v>235</v>
      </c>
      <c r="C72" s="1" t="s">
        <v>77</v>
      </c>
      <c r="D72" s="1" t="s">
        <v>243</v>
      </c>
      <c r="E72" s="1" t="s">
        <v>340</v>
      </c>
      <c r="F72" s="2">
        <f t="shared" si="22"/>
        <v>250000</v>
      </c>
      <c r="G72" s="4">
        <f>+VLOOKUP(C72,Indicadores!B:C,2,FALSE)</f>
        <v>0.76715454545454553</v>
      </c>
      <c r="H72" s="1" t="str">
        <f t="shared" si="23"/>
        <v>No Cumple</v>
      </c>
      <c r="I72" s="4">
        <f>+VLOOKUP(C72,Indicadores!B:F,5,FALSE)</f>
        <v>0.88888888888888884</v>
      </c>
      <c r="J72" s="1" t="str">
        <f t="shared" si="24"/>
        <v>No Cumple</v>
      </c>
      <c r="K72" s="9">
        <f t="shared" si="18"/>
        <v>150000</v>
      </c>
      <c r="L72" s="4">
        <f>+VLOOKUP(C72,Indicadores!B:P,15,FALSE)</f>
        <v>0.44443333333333329</v>
      </c>
      <c r="M72" s="1" t="str">
        <f t="shared" si="25"/>
        <v>No Cumple</v>
      </c>
      <c r="N72" s="5">
        <f t="shared" si="26"/>
        <v>0</v>
      </c>
      <c r="O72" s="5">
        <f t="shared" si="19"/>
        <v>50000</v>
      </c>
      <c r="P72" s="4">
        <v>0.95</v>
      </c>
      <c r="Q72" s="5" t="str">
        <f t="shared" si="27"/>
        <v>Cumple</v>
      </c>
      <c r="R72" s="5">
        <f t="shared" si="28"/>
        <v>47500</v>
      </c>
      <c r="S72" s="5">
        <f t="shared" si="20"/>
        <v>50000</v>
      </c>
      <c r="T72" s="4">
        <f>+VLOOKUP(C72,Indicadores!B:V,21,FALSE)</f>
        <v>1</v>
      </c>
      <c r="U72" s="35" t="str">
        <f t="shared" si="29"/>
        <v>Cumple</v>
      </c>
      <c r="V72" s="2">
        <f t="shared" si="30"/>
        <v>50000</v>
      </c>
      <c r="W72" s="5" t="str">
        <f t="shared" si="21"/>
        <v>NO</v>
      </c>
      <c r="X72" s="5">
        <f t="shared" si="31"/>
        <v>0</v>
      </c>
      <c r="Y72" s="1"/>
    </row>
    <row r="73" spans="2:25" x14ac:dyDescent="0.25">
      <c r="B73" s="1" t="s">
        <v>236</v>
      </c>
      <c r="C73" s="1" t="s">
        <v>78</v>
      </c>
      <c r="D73" s="1" t="s">
        <v>243</v>
      </c>
      <c r="E73" s="1" t="s">
        <v>340</v>
      </c>
      <c r="F73" s="2">
        <f t="shared" si="22"/>
        <v>250000</v>
      </c>
      <c r="G73" s="4">
        <f>+VLOOKUP(C73,Indicadores!B:C,2,FALSE)</f>
        <v>0.85227272727272729</v>
      </c>
      <c r="H73" s="1" t="str">
        <f t="shared" si="23"/>
        <v>No Cumple</v>
      </c>
      <c r="I73" s="4">
        <f>+VLOOKUP(C73,Indicadores!B:F,5,FALSE)</f>
        <v>1</v>
      </c>
      <c r="J73" s="1" t="str">
        <f t="shared" si="24"/>
        <v>Cumple</v>
      </c>
      <c r="K73" s="9">
        <f t="shared" si="18"/>
        <v>150000</v>
      </c>
      <c r="L73" s="4">
        <f>+VLOOKUP(C73,Indicadores!B:P,15,FALSE)</f>
        <v>0.50556666666666672</v>
      </c>
      <c r="M73" s="1" t="str">
        <f t="shared" si="25"/>
        <v>No Cumple</v>
      </c>
      <c r="N73" s="5">
        <f t="shared" si="26"/>
        <v>0</v>
      </c>
      <c r="O73" s="5">
        <f t="shared" si="19"/>
        <v>50000</v>
      </c>
      <c r="P73" s="4">
        <v>0.95</v>
      </c>
      <c r="Q73" s="5" t="str">
        <f t="shared" si="27"/>
        <v>Cumple</v>
      </c>
      <c r="R73" s="5">
        <f t="shared" si="28"/>
        <v>47500</v>
      </c>
      <c r="S73" s="5">
        <f t="shared" si="20"/>
        <v>50000</v>
      </c>
      <c r="T73" s="4">
        <f>+VLOOKUP(C73,Indicadores!B:V,21,FALSE)</f>
        <v>0.5</v>
      </c>
      <c r="U73" s="35" t="str">
        <f t="shared" si="29"/>
        <v>No Cumple</v>
      </c>
      <c r="V73" s="2">
        <f t="shared" si="30"/>
        <v>0</v>
      </c>
      <c r="W73" s="5" t="str">
        <f t="shared" si="21"/>
        <v>NO</v>
      </c>
      <c r="X73" s="5">
        <f t="shared" si="31"/>
        <v>0</v>
      </c>
      <c r="Y73" s="1"/>
    </row>
    <row r="74" spans="2:25" x14ac:dyDescent="0.25">
      <c r="B74" s="1" t="s">
        <v>236</v>
      </c>
      <c r="C74" s="1" t="s">
        <v>79</v>
      </c>
      <c r="D74" s="1" t="s">
        <v>243</v>
      </c>
      <c r="E74" s="1" t="s">
        <v>340</v>
      </c>
      <c r="F74" s="2">
        <f t="shared" si="22"/>
        <v>250000</v>
      </c>
      <c r="G74" s="4">
        <f>+VLOOKUP(C74,Indicadores!B:C,2,FALSE)</f>
        <v>0.87129090909090923</v>
      </c>
      <c r="H74" s="1" t="str">
        <f t="shared" si="23"/>
        <v>No Cumple</v>
      </c>
      <c r="I74" s="4">
        <f>+VLOOKUP(C74,Indicadores!B:F,5,FALSE)</f>
        <v>0.96296296296296291</v>
      </c>
      <c r="J74" s="1" t="str">
        <f t="shared" si="24"/>
        <v>Cumple</v>
      </c>
      <c r="K74" s="9">
        <f t="shared" si="18"/>
        <v>150000</v>
      </c>
      <c r="L74" s="4">
        <f>+VLOOKUP(C74,Indicadores!B:P,15,FALSE)</f>
        <v>0.58183333333333331</v>
      </c>
      <c r="M74" s="1" t="str">
        <f t="shared" si="25"/>
        <v>No Cumple</v>
      </c>
      <c r="N74" s="5">
        <f t="shared" si="26"/>
        <v>0</v>
      </c>
      <c r="O74" s="5">
        <f t="shared" si="19"/>
        <v>50000</v>
      </c>
      <c r="P74" s="4">
        <v>0.95</v>
      </c>
      <c r="Q74" s="5" t="str">
        <f t="shared" si="27"/>
        <v>Cumple</v>
      </c>
      <c r="R74" s="5">
        <f t="shared" si="28"/>
        <v>47500</v>
      </c>
      <c r="S74" s="5">
        <f t="shared" si="20"/>
        <v>50000</v>
      </c>
      <c r="T74" s="4">
        <f>+VLOOKUP(C74,Indicadores!B:V,21,FALSE)</f>
        <v>0.5</v>
      </c>
      <c r="U74" s="35" t="str">
        <f t="shared" si="29"/>
        <v>No Cumple</v>
      </c>
      <c r="V74" s="2">
        <f t="shared" si="30"/>
        <v>0</v>
      </c>
      <c r="W74" s="5" t="str">
        <f t="shared" si="21"/>
        <v>NO</v>
      </c>
      <c r="X74" s="5">
        <f t="shared" si="31"/>
        <v>0</v>
      </c>
      <c r="Y74" s="1"/>
    </row>
    <row r="75" spans="2:25" x14ac:dyDescent="0.25">
      <c r="B75" s="1" t="s">
        <v>236</v>
      </c>
      <c r="C75" s="1" t="s">
        <v>80</v>
      </c>
      <c r="D75" s="1" t="s">
        <v>243</v>
      </c>
      <c r="E75" s="1" t="s">
        <v>340</v>
      </c>
      <c r="F75" s="2">
        <f t="shared" si="22"/>
        <v>250000</v>
      </c>
      <c r="G75" s="4">
        <f>+VLOOKUP(C75,Indicadores!B:C,2,FALSE)</f>
        <v>0.77189090909090907</v>
      </c>
      <c r="H75" s="1" t="str">
        <f t="shared" si="23"/>
        <v>No Cumple</v>
      </c>
      <c r="I75" s="4">
        <f>+VLOOKUP(C75,Indicadores!B:F,5,FALSE)</f>
        <v>0.96</v>
      </c>
      <c r="J75" s="1" t="str">
        <f t="shared" si="24"/>
        <v>Cumple</v>
      </c>
      <c r="K75" s="9">
        <f t="shared" si="18"/>
        <v>150000</v>
      </c>
      <c r="L75" s="4">
        <f>+VLOOKUP(C75,Indicadores!B:P,15,FALSE)</f>
        <v>0.44980000000000003</v>
      </c>
      <c r="M75" s="1" t="str">
        <f t="shared" si="25"/>
        <v>No Cumple</v>
      </c>
      <c r="N75" s="5">
        <f t="shared" si="26"/>
        <v>0</v>
      </c>
      <c r="O75" s="5">
        <f t="shared" si="19"/>
        <v>50000</v>
      </c>
      <c r="P75" s="4">
        <v>0.95</v>
      </c>
      <c r="Q75" s="5" t="str">
        <f t="shared" si="27"/>
        <v>Cumple</v>
      </c>
      <c r="R75" s="5">
        <f t="shared" si="28"/>
        <v>47500</v>
      </c>
      <c r="S75" s="5">
        <f t="shared" si="20"/>
        <v>50000</v>
      </c>
      <c r="T75" s="4">
        <f>+VLOOKUP(C75,Indicadores!B:V,21,FALSE)</f>
        <v>0.5</v>
      </c>
      <c r="U75" s="35" t="str">
        <f t="shared" si="29"/>
        <v>No Cumple</v>
      </c>
      <c r="V75" s="2">
        <f t="shared" si="30"/>
        <v>0</v>
      </c>
      <c r="W75" s="5" t="str">
        <f t="shared" si="21"/>
        <v>NO</v>
      </c>
      <c r="X75" s="5">
        <f t="shared" si="31"/>
        <v>0</v>
      </c>
      <c r="Y75" s="1"/>
    </row>
    <row r="76" spans="2:25" x14ac:dyDescent="0.25">
      <c r="B76" s="1" t="s">
        <v>236</v>
      </c>
      <c r="C76" s="1" t="s">
        <v>81</v>
      </c>
      <c r="D76" s="1" t="s">
        <v>243</v>
      </c>
      <c r="E76" s="1" t="s">
        <v>340</v>
      </c>
      <c r="F76" s="2">
        <f t="shared" si="22"/>
        <v>250000</v>
      </c>
      <c r="G76" s="4">
        <f>+VLOOKUP(C76,Indicadores!B:C,2,FALSE)</f>
        <v>0.79692727272727271</v>
      </c>
      <c r="H76" s="1" t="str">
        <f t="shared" si="23"/>
        <v>No Cumple</v>
      </c>
      <c r="I76" s="4">
        <f>+VLOOKUP(C76,Indicadores!B:F,5,FALSE)</f>
        <v>1</v>
      </c>
      <c r="J76" s="1" t="str">
        <f t="shared" si="24"/>
        <v>Cumple</v>
      </c>
      <c r="K76" s="9">
        <f t="shared" si="18"/>
        <v>150000</v>
      </c>
      <c r="L76" s="4">
        <f>+VLOOKUP(C76,Indicadores!B:P,15,FALSE)</f>
        <v>0.5949333333333332</v>
      </c>
      <c r="M76" s="1" t="str">
        <f t="shared" si="25"/>
        <v>No Cumple</v>
      </c>
      <c r="N76" s="5">
        <f t="shared" si="26"/>
        <v>0</v>
      </c>
      <c r="O76" s="5">
        <f t="shared" si="19"/>
        <v>50000</v>
      </c>
      <c r="P76" s="4">
        <v>0.95</v>
      </c>
      <c r="Q76" s="5" t="str">
        <f t="shared" si="27"/>
        <v>Cumple</v>
      </c>
      <c r="R76" s="5">
        <f t="shared" si="28"/>
        <v>47500</v>
      </c>
      <c r="S76" s="5">
        <f t="shared" si="20"/>
        <v>50000</v>
      </c>
      <c r="T76" s="4">
        <f>+VLOOKUP(C76,Indicadores!B:V,21,FALSE)</f>
        <v>0.49469999999999997</v>
      </c>
      <c r="U76" s="35" t="str">
        <f t="shared" si="29"/>
        <v>No Cumple</v>
      </c>
      <c r="V76" s="2">
        <f t="shared" si="30"/>
        <v>0</v>
      </c>
      <c r="W76" s="5" t="str">
        <f t="shared" si="21"/>
        <v>NO</v>
      </c>
      <c r="X76" s="5">
        <f t="shared" si="31"/>
        <v>0</v>
      </c>
      <c r="Y76" s="1"/>
    </row>
    <row r="77" spans="2:25" x14ac:dyDescent="0.25">
      <c r="B77" s="1" t="s">
        <v>236</v>
      </c>
      <c r="C77" s="1" t="s">
        <v>82</v>
      </c>
      <c r="D77" s="1" t="s">
        <v>243</v>
      </c>
      <c r="E77" s="1" t="s">
        <v>340</v>
      </c>
      <c r="F77" s="2">
        <f t="shared" si="22"/>
        <v>250000</v>
      </c>
      <c r="G77" s="4">
        <f>+VLOOKUP(C77,Indicadores!B:C,2,FALSE)</f>
        <v>0.76105454545454554</v>
      </c>
      <c r="H77" s="1" t="str">
        <f t="shared" si="23"/>
        <v>No Cumple</v>
      </c>
      <c r="I77" s="4">
        <f>+VLOOKUP(C77,Indicadores!B:F,5,FALSE)</f>
        <v>1</v>
      </c>
      <c r="J77" s="1" t="str">
        <f t="shared" si="24"/>
        <v>Cumple</v>
      </c>
      <c r="K77" s="9">
        <f t="shared" si="18"/>
        <v>150000</v>
      </c>
      <c r="L77" s="4">
        <f>+VLOOKUP(C77,Indicadores!B:P,15,FALSE)</f>
        <v>0.51383333333333336</v>
      </c>
      <c r="M77" s="1" t="str">
        <f t="shared" si="25"/>
        <v>No Cumple</v>
      </c>
      <c r="N77" s="5">
        <f t="shared" si="26"/>
        <v>0</v>
      </c>
      <c r="O77" s="5">
        <f t="shared" si="19"/>
        <v>50000</v>
      </c>
      <c r="P77" s="4">
        <v>0.95</v>
      </c>
      <c r="Q77" s="5" t="str">
        <f t="shared" si="27"/>
        <v>Cumple</v>
      </c>
      <c r="R77" s="5">
        <f t="shared" si="28"/>
        <v>47500</v>
      </c>
      <c r="S77" s="5">
        <f t="shared" si="20"/>
        <v>50000</v>
      </c>
      <c r="T77" s="4">
        <f>+VLOOKUP(C77,Indicadores!B:V,21,FALSE)</f>
        <v>0.5</v>
      </c>
      <c r="U77" s="35" t="str">
        <f t="shared" si="29"/>
        <v>No Cumple</v>
      </c>
      <c r="V77" s="2">
        <f t="shared" si="30"/>
        <v>0</v>
      </c>
      <c r="W77" s="5" t="str">
        <f t="shared" si="21"/>
        <v>NO</v>
      </c>
      <c r="X77" s="5">
        <f t="shared" si="31"/>
        <v>0</v>
      </c>
      <c r="Y77" s="1"/>
    </row>
    <row r="78" spans="2:25" x14ac:dyDescent="0.25">
      <c r="B78" s="1" t="s">
        <v>235</v>
      </c>
      <c r="C78" s="1" t="s">
        <v>83</v>
      </c>
      <c r="D78" s="1" t="s">
        <v>243</v>
      </c>
      <c r="E78" s="1" t="s">
        <v>340</v>
      </c>
      <c r="F78" s="2">
        <f t="shared" si="22"/>
        <v>250000</v>
      </c>
      <c r="G78" s="4">
        <f>+VLOOKUP(C78,Indicadores!B:C,2,FALSE)</f>
        <v>0.79361818181818211</v>
      </c>
      <c r="H78" s="1" t="str">
        <f t="shared" si="23"/>
        <v>No Cumple</v>
      </c>
      <c r="I78" s="4">
        <f>+VLOOKUP(C78,Indicadores!B:F,5,FALSE)</f>
        <v>1</v>
      </c>
      <c r="J78" s="1" t="str">
        <f t="shared" si="24"/>
        <v>Cumple</v>
      </c>
      <c r="K78" s="9">
        <f t="shared" si="18"/>
        <v>150000</v>
      </c>
      <c r="L78" s="4">
        <f>+VLOOKUP(C78,Indicadores!B:P,15,FALSE)</f>
        <v>0.41783333333333333</v>
      </c>
      <c r="M78" s="1" t="str">
        <f t="shared" si="25"/>
        <v>No Cumple</v>
      </c>
      <c r="N78" s="5">
        <f t="shared" si="26"/>
        <v>0</v>
      </c>
      <c r="O78" s="5">
        <f t="shared" si="19"/>
        <v>50000</v>
      </c>
      <c r="P78" s="4">
        <v>0.95</v>
      </c>
      <c r="Q78" s="5" t="str">
        <f t="shared" si="27"/>
        <v>Cumple</v>
      </c>
      <c r="R78" s="5">
        <f t="shared" si="28"/>
        <v>47500</v>
      </c>
      <c r="S78" s="5">
        <f t="shared" si="20"/>
        <v>50000</v>
      </c>
      <c r="T78" s="4">
        <f>+VLOOKUP(C78,Indicadores!B:V,21,FALSE)</f>
        <v>0.99324999999999997</v>
      </c>
      <c r="U78" s="35" t="str">
        <f t="shared" si="29"/>
        <v>No Cumple</v>
      </c>
      <c r="V78" s="2">
        <f t="shared" si="30"/>
        <v>0</v>
      </c>
      <c r="W78" s="5" t="str">
        <f t="shared" si="21"/>
        <v>NO</v>
      </c>
      <c r="X78" s="5">
        <f t="shared" si="31"/>
        <v>0</v>
      </c>
      <c r="Y78" s="1"/>
    </row>
    <row r="79" spans="2:25" x14ac:dyDescent="0.25">
      <c r="B79" s="1" t="s">
        <v>237</v>
      </c>
      <c r="C79" s="1" t="s">
        <v>84</v>
      </c>
      <c r="D79" s="1" t="s">
        <v>242</v>
      </c>
      <c r="E79" s="1" t="s">
        <v>341</v>
      </c>
      <c r="F79" s="2">
        <f t="shared" si="22"/>
        <v>250000</v>
      </c>
      <c r="G79" s="4">
        <f>+VLOOKUP(C79,Indicadores!B:C,2,FALSE)</f>
        <v>0.82598181818181826</v>
      </c>
      <c r="H79" s="1" t="str">
        <f t="shared" si="23"/>
        <v>No Cumple</v>
      </c>
      <c r="I79" s="4">
        <f>+VLOOKUP(C79,Indicadores!B:F,5,FALSE)</f>
        <v>0.875</v>
      </c>
      <c r="J79" s="1" t="str">
        <f t="shared" si="24"/>
        <v>No Cumple</v>
      </c>
      <c r="K79" s="9">
        <f t="shared" si="18"/>
        <v>150000</v>
      </c>
      <c r="L79" s="4">
        <f>+VLOOKUP(C79,Indicadores!B:P,15,FALSE)</f>
        <v>0.63683333333333336</v>
      </c>
      <c r="M79" s="1" t="str">
        <f t="shared" si="25"/>
        <v>No Cumple</v>
      </c>
      <c r="N79" s="5">
        <f t="shared" si="26"/>
        <v>0</v>
      </c>
      <c r="O79" s="5">
        <f t="shared" si="19"/>
        <v>50000</v>
      </c>
      <c r="P79" s="4">
        <v>0.95</v>
      </c>
      <c r="Q79" s="5" t="str">
        <f t="shared" si="27"/>
        <v>Cumple</v>
      </c>
      <c r="R79" s="5">
        <f t="shared" si="28"/>
        <v>47500</v>
      </c>
      <c r="S79" s="5">
        <f t="shared" si="20"/>
        <v>50000</v>
      </c>
      <c r="T79" s="4">
        <f>+VLOOKUP(C79,Indicadores!B:V,21,FALSE)</f>
        <v>1</v>
      </c>
      <c r="U79" s="35" t="str">
        <f t="shared" si="29"/>
        <v>Cumple</v>
      </c>
      <c r="V79" s="2">
        <f t="shared" si="30"/>
        <v>50000</v>
      </c>
      <c r="W79" s="5" t="str">
        <f t="shared" si="21"/>
        <v>NO</v>
      </c>
      <c r="X79" s="5">
        <f t="shared" si="31"/>
        <v>0</v>
      </c>
      <c r="Y79" s="1"/>
    </row>
    <row r="80" spans="2:25" x14ac:dyDescent="0.25">
      <c r="B80" s="1" t="s">
        <v>237</v>
      </c>
      <c r="C80" s="1" t="s">
        <v>85</v>
      </c>
      <c r="D80" s="1" t="s">
        <v>242</v>
      </c>
      <c r="E80" s="1" t="s">
        <v>341</v>
      </c>
      <c r="F80" s="2">
        <f t="shared" si="22"/>
        <v>250000</v>
      </c>
      <c r="G80" s="4">
        <f>+VLOOKUP(C80,Indicadores!B:C,2,FALSE)</f>
        <v>0.76119999999999988</v>
      </c>
      <c r="H80" s="1" t="str">
        <f t="shared" si="23"/>
        <v>No Cumple</v>
      </c>
      <c r="I80" s="4">
        <f>+VLOOKUP(C80,Indicadores!B:F,5,FALSE)</f>
        <v>0.77777777777777779</v>
      </c>
      <c r="J80" s="1" t="str">
        <f t="shared" si="24"/>
        <v>No Cumple</v>
      </c>
      <c r="K80" s="9">
        <f t="shared" si="18"/>
        <v>150000</v>
      </c>
      <c r="L80" s="4">
        <f>+VLOOKUP(C80,Indicadores!B:P,15,FALSE)</f>
        <v>0.36109999999999998</v>
      </c>
      <c r="M80" s="1" t="str">
        <f t="shared" si="25"/>
        <v>No Cumple</v>
      </c>
      <c r="N80" s="5">
        <f t="shared" si="26"/>
        <v>0</v>
      </c>
      <c r="O80" s="5">
        <f t="shared" si="19"/>
        <v>50000</v>
      </c>
      <c r="P80" s="4">
        <v>0.95</v>
      </c>
      <c r="Q80" s="5" t="str">
        <f t="shared" si="27"/>
        <v>Cumple</v>
      </c>
      <c r="R80" s="5">
        <f t="shared" si="28"/>
        <v>47500</v>
      </c>
      <c r="S80" s="5">
        <f t="shared" si="20"/>
        <v>50000</v>
      </c>
      <c r="T80" s="4">
        <f>+VLOOKUP(C80,Indicadores!B:V,21,FALSE)</f>
        <v>0.99255000000000004</v>
      </c>
      <c r="U80" s="35" t="str">
        <f t="shared" si="29"/>
        <v>No Cumple</v>
      </c>
      <c r="V80" s="2">
        <f t="shared" si="30"/>
        <v>0</v>
      </c>
      <c r="W80" s="5" t="str">
        <f t="shared" si="21"/>
        <v>NO</v>
      </c>
      <c r="X80" s="5">
        <f t="shared" si="31"/>
        <v>0</v>
      </c>
      <c r="Y80" s="1"/>
    </row>
    <row r="81" spans="2:25" x14ac:dyDescent="0.25">
      <c r="B81" s="1" t="s">
        <v>237</v>
      </c>
      <c r="C81" s="1" t="s">
        <v>86</v>
      </c>
      <c r="D81" s="1" t="s">
        <v>242</v>
      </c>
      <c r="E81" s="1" t="s">
        <v>341</v>
      </c>
      <c r="F81" s="2">
        <f t="shared" si="22"/>
        <v>250000</v>
      </c>
      <c r="G81" s="4">
        <f>+VLOOKUP(C81,Indicadores!B:C,2,FALSE)</f>
        <v>0.82840000000000014</v>
      </c>
      <c r="H81" s="1" t="str">
        <f t="shared" si="23"/>
        <v>No Cumple</v>
      </c>
      <c r="I81" s="4">
        <f>+VLOOKUP(C81,Indicadores!B:F,5,FALSE)</f>
        <v>1</v>
      </c>
      <c r="J81" s="1" t="str">
        <f t="shared" si="24"/>
        <v>Cumple</v>
      </c>
      <c r="K81" s="9">
        <f t="shared" si="18"/>
        <v>150000</v>
      </c>
      <c r="L81" s="4">
        <f>+VLOOKUP(C81,Indicadores!B:P,15,FALSE)</f>
        <v>0.76429999999999998</v>
      </c>
      <c r="M81" s="1" t="str">
        <f t="shared" si="25"/>
        <v>No Cumple</v>
      </c>
      <c r="N81" s="5">
        <f t="shared" si="26"/>
        <v>0</v>
      </c>
      <c r="O81" s="5">
        <f t="shared" si="19"/>
        <v>50000</v>
      </c>
      <c r="P81" s="4">
        <v>0.95</v>
      </c>
      <c r="Q81" s="5" t="str">
        <f t="shared" si="27"/>
        <v>Cumple</v>
      </c>
      <c r="R81" s="5">
        <f t="shared" si="28"/>
        <v>47500</v>
      </c>
      <c r="S81" s="5">
        <f t="shared" si="20"/>
        <v>50000</v>
      </c>
      <c r="T81" s="4">
        <f>+VLOOKUP(C81,Indicadores!B:V,21,FALSE)</f>
        <v>1</v>
      </c>
      <c r="U81" s="35" t="str">
        <f t="shared" si="29"/>
        <v>Cumple</v>
      </c>
      <c r="V81" s="2">
        <f t="shared" si="30"/>
        <v>50000</v>
      </c>
      <c r="W81" s="5" t="str">
        <f t="shared" si="21"/>
        <v>NO</v>
      </c>
      <c r="X81" s="5">
        <f t="shared" si="31"/>
        <v>0</v>
      </c>
      <c r="Y81" s="1"/>
    </row>
    <row r="82" spans="2:25" x14ac:dyDescent="0.25">
      <c r="B82" s="1" t="s">
        <v>237</v>
      </c>
      <c r="C82" s="1" t="s">
        <v>87</v>
      </c>
      <c r="D82" s="1" t="s">
        <v>242</v>
      </c>
      <c r="E82" s="1" t="s">
        <v>341</v>
      </c>
      <c r="F82" s="2">
        <f t="shared" si="22"/>
        <v>250000</v>
      </c>
      <c r="G82" s="4">
        <f>+VLOOKUP(C82,Indicadores!B:C,2,FALSE)</f>
        <v>0.74914545454545456</v>
      </c>
      <c r="H82" s="1" t="str">
        <f t="shared" si="23"/>
        <v>No Cumple</v>
      </c>
      <c r="I82" s="4">
        <f>+VLOOKUP(C82,Indicadores!B:F,5,FALSE)</f>
        <v>0.91666666666666663</v>
      </c>
      <c r="J82" s="1" t="str">
        <f t="shared" si="24"/>
        <v>No Cumple</v>
      </c>
      <c r="K82" s="9">
        <f t="shared" si="18"/>
        <v>150000</v>
      </c>
      <c r="L82" s="4">
        <f>+VLOOKUP(C82,Indicadores!B:P,15,FALSE)</f>
        <v>0.39433333333333337</v>
      </c>
      <c r="M82" s="1" t="str">
        <f t="shared" si="25"/>
        <v>No Cumple</v>
      </c>
      <c r="N82" s="5">
        <f t="shared" si="26"/>
        <v>0</v>
      </c>
      <c r="O82" s="5">
        <f t="shared" si="19"/>
        <v>50000</v>
      </c>
      <c r="P82" s="4">
        <v>0.95</v>
      </c>
      <c r="Q82" s="5" t="str">
        <f t="shared" si="27"/>
        <v>Cumple</v>
      </c>
      <c r="R82" s="5">
        <f t="shared" si="28"/>
        <v>47500</v>
      </c>
      <c r="S82" s="5">
        <f t="shared" si="20"/>
        <v>50000</v>
      </c>
      <c r="T82" s="4">
        <f>+VLOOKUP(C82,Indicadores!B:V,21,FALSE)</f>
        <v>0.96199999999999997</v>
      </c>
      <c r="U82" s="35" t="str">
        <f t="shared" si="29"/>
        <v>No Cumple</v>
      </c>
      <c r="V82" s="2">
        <f t="shared" si="30"/>
        <v>0</v>
      </c>
      <c r="W82" s="5" t="str">
        <f t="shared" si="21"/>
        <v>NO</v>
      </c>
      <c r="X82" s="5">
        <f t="shared" si="31"/>
        <v>0</v>
      </c>
      <c r="Y82" s="1"/>
    </row>
    <row r="83" spans="2:25" x14ac:dyDescent="0.25">
      <c r="B83" s="1" t="s">
        <v>237</v>
      </c>
      <c r="C83" s="1" t="s">
        <v>88</v>
      </c>
      <c r="D83" s="1" t="s">
        <v>242</v>
      </c>
      <c r="E83" s="1" t="s">
        <v>341</v>
      </c>
      <c r="F83" s="2">
        <f t="shared" si="22"/>
        <v>250000</v>
      </c>
      <c r="G83" s="4">
        <f>+VLOOKUP(C83,Indicadores!B:C,2,FALSE)</f>
        <v>0.78275454545454548</v>
      </c>
      <c r="H83" s="1" t="str">
        <f t="shared" si="23"/>
        <v>No Cumple</v>
      </c>
      <c r="I83" s="4">
        <f>+VLOOKUP(C83,Indicadores!B:F,5,FALSE)</f>
        <v>0.875</v>
      </c>
      <c r="J83" s="1" t="str">
        <f t="shared" si="24"/>
        <v>No Cumple</v>
      </c>
      <c r="K83" s="9">
        <f t="shared" si="18"/>
        <v>150000</v>
      </c>
      <c r="L83" s="4">
        <f>+VLOOKUP(C83,Indicadores!B:P,15,FALSE)</f>
        <v>0.40563333333333335</v>
      </c>
      <c r="M83" s="1" t="str">
        <f t="shared" si="25"/>
        <v>No Cumple</v>
      </c>
      <c r="N83" s="5">
        <f t="shared" si="26"/>
        <v>0</v>
      </c>
      <c r="O83" s="5">
        <f t="shared" si="19"/>
        <v>50000</v>
      </c>
      <c r="P83" s="4">
        <v>0.95</v>
      </c>
      <c r="Q83" s="5" t="str">
        <f t="shared" si="27"/>
        <v>Cumple</v>
      </c>
      <c r="R83" s="5">
        <f t="shared" si="28"/>
        <v>47500</v>
      </c>
      <c r="S83" s="5">
        <f t="shared" si="20"/>
        <v>50000</v>
      </c>
      <c r="T83" s="4">
        <f>+VLOOKUP(C83,Indicadores!B:V,21,FALSE)</f>
        <v>1</v>
      </c>
      <c r="U83" s="35" t="str">
        <f t="shared" si="29"/>
        <v>Cumple</v>
      </c>
      <c r="V83" s="2">
        <f t="shared" si="30"/>
        <v>50000</v>
      </c>
      <c r="W83" s="5" t="str">
        <f t="shared" si="21"/>
        <v>NO</v>
      </c>
      <c r="X83" s="5">
        <f t="shared" si="31"/>
        <v>0</v>
      </c>
      <c r="Y83" s="1"/>
    </row>
    <row r="84" spans="2:25" x14ac:dyDescent="0.25">
      <c r="B84" s="1" t="s">
        <v>237</v>
      </c>
      <c r="C84" s="1" t="s">
        <v>89</v>
      </c>
      <c r="D84" s="1" t="s">
        <v>242</v>
      </c>
      <c r="E84" s="1" t="s">
        <v>341</v>
      </c>
      <c r="F84" s="2">
        <f t="shared" si="22"/>
        <v>250000</v>
      </c>
      <c r="G84" s="4">
        <f>+VLOOKUP(C84,Indicadores!B:C,2,FALSE)</f>
        <v>0.72260000000000002</v>
      </c>
      <c r="H84" s="1" t="str">
        <f t="shared" si="23"/>
        <v>No Cumple</v>
      </c>
      <c r="I84" s="4">
        <f>+VLOOKUP(C84,Indicadores!B:F,5,FALSE)</f>
        <v>0.8</v>
      </c>
      <c r="J84" s="1" t="str">
        <f t="shared" si="24"/>
        <v>No Cumple</v>
      </c>
      <c r="K84" s="9">
        <f t="shared" si="18"/>
        <v>150000</v>
      </c>
      <c r="L84" s="4">
        <f>+VLOOKUP(C84,Indicadores!B:P,15,FALSE)</f>
        <v>0.3276</v>
      </c>
      <c r="M84" s="1" t="str">
        <f t="shared" si="25"/>
        <v>No Cumple</v>
      </c>
      <c r="N84" s="5">
        <f t="shared" si="26"/>
        <v>0</v>
      </c>
      <c r="O84" s="5">
        <f t="shared" si="19"/>
        <v>50000</v>
      </c>
      <c r="P84" s="4">
        <v>0.95</v>
      </c>
      <c r="Q84" s="5" t="str">
        <f t="shared" si="27"/>
        <v>Cumple</v>
      </c>
      <c r="R84" s="5">
        <f t="shared" si="28"/>
        <v>47500</v>
      </c>
      <c r="S84" s="5">
        <f t="shared" si="20"/>
        <v>50000</v>
      </c>
      <c r="T84" s="4">
        <f>+VLOOKUP(C84,Indicadores!B:V,21,FALSE)</f>
        <v>0.98280000000000001</v>
      </c>
      <c r="U84" s="35" t="str">
        <f t="shared" si="29"/>
        <v>No Cumple</v>
      </c>
      <c r="V84" s="2">
        <f t="shared" si="30"/>
        <v>0</v>
      </c>
      <c r="W84" s="5" t="str">
        <f t="shared" si="21"/>
        <v>NO</v>
      </c>
      <c r="X84" s="5">
        <f t="shared" si="31"/>
        <v>0</v>
      </c>
      <c r="Y84" s="1"/>
    </row>
    <row r="85" spans="2:25" x14ac:dyDescent="0.25">
      <c r="B85" s="1" t="s">
        <v>237</v>
      </c>
      <c r="C85" s="1" t="s">
        <v>90</v>
      </c>
      <c r="D85" s="1" t="s">
        <v>242</v>
      </c>
      <c r="E85" s="1" t="s">
        <v>341</v>
      </c>
      <c r="F85" s="2">
        <f t="shared" si="22"/>
        <v>250000</v>
      </c>
      <c r="G85" s="4">
        <f>+VLOOKUP(C85,Indicadores!B:C,2,FALSE)</f>
        <v>0.74503636363636361</v>
      </c>
      <c r="H85" s="1" t="str">
        <f t="shared" si="23"/>
        <v>No Cumple</v>
      </c>
      <c r="I85" s="4">
        <f>+VLOOKUP(C85,Indicadores!B:F,5,FALSE)</f>
        <v>0.94117647058823528</v>
      </c>
      <c r="J85" s="1" t="str">
        <f t="shared" si="24"/>
        <v>No Cumple</v>
      </c>
      <c r="K85" s="9">
        <f t="shared" si="18"/>
        <v>150000</v>
      </c>
      <c r="L85" s="4">
        <f>+VLOOKUP(C85,Indicadores!B:P,15,FALSE)</f>
        <v>0.33333333333333331</v>
      </c>
      <c r="M85" s="1" t="str">
        <f t="shared" si="25"/>
        <v>No Cumple</v>
      </c>
      <c r="N85" s="5">
        <f t="shared" si="26"/>
        <v>0</v>
      </c>
      <c r="O85" s="5">
        <f t="shared" si="19"/>
        <v>50000</v>
      </c>
      <c r="P85" s="4">
        <v>0.95</v>
      </c>
      <c r="Q85" s="5" t="str">
        <f t="shared" si="27"/>
        <v>Cumple</v>
      </c>
      <c r="R85" s="5">
        <f t="shared" si="28"/>
        <v>47500</v>
      </c>
      <c r="S85" s="5">
        <f t="shared" si="20"/>
        <v>50000</v>
      </c>
      <c r="T85" s="4">
        <f>+VLOOKUP(C85,Indicadores!B:V,21,FALSE)</f>
        <v>1</v>
      </c>
      <c r="U85" s="35" t="str">
        <f t="shared" si="29"/>
        <v>Cumple</v>
      </c>
      <c r="V85" s="2">
        <f t="shared" si="30"/>
        <v>50000</v>
      </c>
      <c r="W85" s="5" t="str">
        <f t="shared" si="21"/>
        <v>NO</v>
      </c>
      <c r="X85" s="5">
        <f t="shared" si="31"/>
        <v>0</v>
      </c>
      <c r="Y85" s="1"/>
    </row>
    <row r="86" spans="2:25" x14ac:dyDescent="0.25">
      <c r="B86" s="1" t="s">
        <v>237</v>
      </c>
      <c r="C86" s="1" t="s">
        <v>91</v>
      </c>
      <c r="D86" s="1" t="s">
        <v>242</v>
      </c>
      <c r="E86" s="1" t="s">
        <v>341</v>
      </c>
      <c r="F86" s="2">
        <f t="shared" si="22"/>
        <v>250000</v>
      </c>
      <c r="G86" s="4">
        <f>+VLOOKUP(C86,Indicadores!B:C,2,FALSE)</f>
        <v>0.79571818181818188</v>
      </c>
      <c r="H86" s="1" t="str">
        <f t="shared" si="23"/>
        <v>No Cumple</v>
      </c>
      <c r="I86" s="4">
        <f>+VLOOKUP(C86,Indicadores!B:F,5,FALSE)</f>
        <v>0.94117647058823528</v>
      </c>
      <c r="J86" s="1" t="str">
        <f t="shared" si="24"/>
        <v>No Cumple</v>
      </c>
      <c r="K86" s="9">
        <f t="shared" si="18"/>
        <v>150000</v>
      </c>
      <c r="L86" s="4">
        <f>+VLOOKUP(C86,Indicadores!B:P,15,FALSE)</f>
        <v>0.42996666666666666</v>
      </c>
      <c r="M86" s="1" t="str">
        <f t="shared" si="25"/>
        <v>No Cumple</v>
      </c>
      <c r="N86" s="5">
        <f t="shared" si="26"/>
        <v>0</v>
      </c>
      <c r="O86" s="5">
        <f t="shared" si="19"/>
        <v>50000</v>
      </c>
      <c r="P86" s="4">
        <v>0.95</v>
      </c>
      <c r="Q86" s="5" t="str">
        <f t="shared" si="27"/>
        <v>Cumple</v>
      </c>
      <c r="R86" s="5">
        <f t="shared" si="28"/>
        <v>47500</v>
      </c>
      <c r="S86" s="5">
        <f t="shared" si="20"/>
        <v>50000</v>
      </c>
      <c r="T86" s="4">
        <f>+VLOOKUP(C86,Indicadores!B:V,21,FALSE)</f>
        <v>1</v>
      </c>
      <c r="U86" s="35" t="str">
        <f t="shared" si="29"/>
        <v>Cumple</v>
      </c>
      <c r="V86" s="2">
        <f t="shared" si="30"/>
        <v>50000</v>
      </c>
      <c r="W86" s="5" t="str">
        <f t="shared" si="21"/>
        <v>NO</v>
      </c>
      <c r="X86" s="5">
        <f t="shared" si="31"/>
        <v>0</v>
      </c>
      <c r="Y86" s="1"/>
    </row>
    <row r="87" spans="2:25" x14ac:dyDescent="0.25">
      <c r="B87" s="1" t="s">
        <v>237</v>
      </c>
      <c r="C87" s="1" t="s">
        <v>92</v>
      </c>
      <c r="D87" s="1" t="s">
        <v>242</v>
      </c>
      <c r="E87" s="1" t="s">
        <v>341</v>
      </c>
      <c r="F87" s="2">
        <f t="shared" si="22"/>
        <v>250000</v>
      </c>
      <c r="G87" s="4">
        <f>+VLOOKUP(C87,Indicadores!B:C,2,FALSE)</f>
        <v>0.82714545454545452</v>
      </c>
      <c r="H87" s="1" t="str">
        <f t="shared" si="23"/>
        <v>No Cumple</v>
      </c>
      <c r="I87" s="4">
        <f>+VLOOKUP(C87,Indicadores!B:F,5,FALSE)</f>
        <v>0.84615384615384615</v>
      </c>
      <c r="J87" s="1" t="str">
        <f t="shared" si="24"/>
        <v>No Cumple</v>
      </c>
      <c r="K87" s="9">
        <f t="shared" si="18"/>
        <v>150000</v>
      </c>
      <c r="L87" s="4">
        <f>+VLOOKUP(C87,Indicadores!B:P,15,FALSE)</f>
        <v>0.42756666666666665</v>
      </c>
      <c r="M87" s="1" t="str">
        <f t="shared" si="25"/>
        <v>No Cumple</v>
      </c>
      <c r="N87" s="5">
        <f t="shared" si="26"/>
        <v>0</v>
      </c>
      <c r="O87" s="5">
        <f t="shared" si="19"/>
        <v>50000</v>
      </c>
      <c r="P87" s="4">
        <v>0.95</v>
      </c>
      <c r="Q87" s="5" t="str">
        <f t="shared" si="27"/>
        <v>Cumple</v>
      </c>
      <c r="R87" s="5">
        <f t="shared" si="28"/>
        <v>47500</v>
      </c>
      <c r="S87" s="5">
        <f t="shared" si="20"/>
        <v>50000</v>
      </c>
      <c r="T87" s="4">
        <f>+VLOOKUP(C87,Indicadores!B:V,21,FALSE)</f>
        <v>1</v>
      </c>
      <c r="U87" s="35" t="str">
        <f t="shared" si="29"/>
        <v>Cumple</v>
      </c>
      <c r="V87" s="2">
        <f t="shared" si="30"/>
        <v>50000</v>
      </c>
      <c r="W87" s="5" t="str">
        <f t="shared" si="21"/>
        <v>NO</v>
      </c>
      <c r="X87" s="5">
        <f t="shared" si="31"/>
        <v>0</v>
      </c>
      <c r="Y87" s="1"/>
    </row>
    <row r="88" spans="2:25" x14ac:dyDescent="0.25">
      <c r="B88" s="1" t="s">
        <v>237</v>
      </c>
      <c r="C88" s="1" t="s">
        <v>93</v>
      </c>
      <c r="D88" s="1" t="s">
        <v>242</v>
      </c>
      <c r="E88" s="1" t="s">
        <v>341</v>
      </c>
      <c r="F88" s="2">
        <f t="shared" si="22"/>
        <v>250000</v>
      </c>
      <c r="G88" s="4">
        <f>+VLOOKUP(C88,Indicadores!B:C,2,FALSE)</f>
        <v>0.86898181818181797</v>
      </c>
      <c r="H88" s="1" t="str">
        <f t="shared" si="23"/>
        <v>No Cumple</v>
      </c>
      <c r="I88" s="4">
        <f>+VLOOKUP(C88,Indicadores!B:F,5,FALSE)</f>
        <v>1</v>
      </c>
      <c r="J88" s="1" t="str">
        <f t="shared" si="24"/>
        <v>Cumple</v>
      </c>
      <c r="K88" s="9">
        <f t="shared" si="18"/>
        <v>150000</v>
      </c>
      <c r="L88" s="4">
        <f>+VLOOKUP(C88,Indicadores!B:P,15,FALSE)</f>
        <v>0.85293333333333321</v>
      </c>
      <c r="M88" s="1" t="str">
        <f t="shared" si="25"/>
        <v>Cumple</v>
      </c>
      <c r="N88" s="5">
        <f t="shared" si="26"/>
        <v>120000</v>
      </c>
      <c r="O88" s="5">
        <f t="shared" si="19"/>
        <v>50000</v>
      </c>
      <c r="P88" s="4">
        <v>0.95</v>
      </c>
      <c r="Q88" s="5" t="str">
        <f t="shared" si="27"/>
        <v>Cumple</v>
      </c>
      <c r="R88" s="5">
        <f t="shared" si="28"/>
        <v>47500</v>
      </c>
      <c r="S88" s="5">
        <f t="shared" si="20"/>
        <v>50000</v>
      </c>
      <c r="T88" s="4">
        <f>+VLOOKUP(C88,Indicadores!B:V,21,FALSE)</f>
        <v>1</v>
      </c>
      <c r="U88" s="35" t="str">
        <f t="shared" si="29"/>
        <v>Cumple</v>
      </c>
      <c r="V88" s="2">
        <f t="shared" si="30"/>
        <v>50000</v>
      </c>
      <c r="W88" s="5" t="str">
        <f t="shared" si="21"/>
        <v>NO</v>
      </c>
      <c r="X88" s="5">
        <f t="shared" si="31"/>
        <v>0</v>
      </c>
      <c r="Y88" s="1"/>
    </row>
    <row r="89" spans="2:25" x14ac:dyDescent="0.25">
      <c r="B89" s="1" t="s">
        <v>237</v>
      </c>
      <c r="C89" s="1" t="s">
        <v>94</v>
      </c>
      <c r="D89" s="1" t="s">
        <v>242</v>
      </c>
      <c r="E89" s="1" t="s">
        <v>341</v>
      </c>
      <c r="F89" s="2">
        <f t="shared" si="22"/>
        <v>250000</v>
      </c>
      <c r="G89" s="4">
        <f>+VLOOKUP(C89,Indicadores!B:C,2,FALSE)</f>
        <v>0.74595454545454554</v>
      </c>
      <c r="H89" s="1" t="str">
        <f t="shared" si="23"/>
        <v>No Cumple</v>
      </c>
      <c r="I89" s="4">
        <f>+VLOOKUP(C89,Indicadores!B:F,5,FALSE)</f>
        <v>1</v>
      </c>
      <c r="J89" s="1" t="str">
        <f t="shared" si="24"/>
        <v>Cumple</v>
      </c>
      <c r="K89" s="9">
        <f t="shared" si="18"/>
        <v>150000</v>
      </c>
      <c r="L89" s="4">
        <f>+VLOOKUP(C89,Indicadores!B:P,15,FALSE)</f>
        <v>0.37683333333333335</v>
      </c>
      <c r="M89" s="1" t="str">
        <f t="shared" si="25"/>
        <v>No Cumple</v>
      </c>
      <c r="N89" s="5">
        <f t="shared" si="26"/>
        <v>0</v>
      </c>
      <c r="O89" s="5">
        <f t="shared" si="19"/>
        <v>50000</v>
      </c>
      <c r="P89" s="4">
        <v>0.95</v>
      </c>
      <c r="Q89" s="5" t="str">
        <f t="shared" si="27"/>
        <v>Cumple</v>
      </c>
      <c r="R89" s="5">
        <f t="shared" si="28"/>
        <v>47500</v>
      </c>
      <c r="S89" s="5">
        <f t="shared" si="20"/>
        <v>50000</v>
      </c>
      <c r="T89" s="4">
        <f>+VLOOKUP(C89,Indicadores!B:V,21,FALSE)</f>
        <v>1</v>
      </c>
      <c r="U89" s="35" t="str">
        <f t="shared" si="29"/>
        <v>Cumple</v>
      </c>
      <c r="V89" s="2">
        <f t="shared" si="30"/>
        <v>50000</v>
      </c>
      <c r="W89" s="5" t="str">
        <f t="shared" si="21"/>
        <v>NO</v>
      </c>
      <c r="X89" s="5">
        <f t="shared" si="31"/>
        <v>0</v>
      </c>
      <c r="Y89" s="1"/>
    </row>
    <row r="90" spans="2:25" x14ac:dyDescent="0.25">
      <c r="B90" s="1" t="s">
        <v>237</v>
      </c>
      <c r="C90" s="1" t="s">
        <v>95</v>
      </c>
      <c r="D90" s="1" t="s">
        <v>242</v>
      </c>
      <c r="E90" s="1" t="s">
        <v>341</v>
      </c>
      <c r="F90" s="2">
        <f t="shared" si="22"/>
        <v>250000</v>
      </c>
      <c r="G90" s="4">
        <f>+VLOOKUP(C90,Indicadores!B:C,2,FALSE)</f>
        <v>0.67727272727272714</v>
      </c>
      <c r="H90" s="1" t="str">
        <f t="shared" si="23"/>
        <v>No Cumple</v>
      </c>
      <c r="I90" s="4">
        <f>+VLOOKUP(C90,Indicadores!B:F,5,FALSE)</f>
        <v>1</v>
      </c>
      <c r="J90" s="1" t="str">
        <f t="shared" si="24"/>
        <v>Cumple</v>
      </c>
      <c r="K90" s="9">
        <f t="shared" si="18"/>
        <v>150000</v>
      </c>
      <c r="L90" s="4">
        <f>+VLOOKUP(C90,Indicadores!B:P,15,FALSE)</f>
        <v>0.31109999999999999</v>
      </c>
      <c r="M90" s="1" t="str">
        <f t="shared" si="25"/>
        <v>No Cumple</v>
      </c>
      <c r="N90" s="5">
        <f t="shared" si="26"/>
        <v>0</v>
      </c>
      <c r="O90" s="5">
        <f t="shared" si="19"/>
        <v>50000</v>
      </c>
      <c r="P90" s="4">
        <v>0.95</v>
      </c>
      <c r="Q90" s="5" t="str">
        <f t="shared" si="27"/>
        <v>Cumple</v>
      </c>
      <c r="R90" s="5">
        <f t="shared" si="28"/>
        <v>47500</v>
      </c>
      <c r="S90" s="5">
        <f t="shared" si="20"/>
        <v>50000</v>
      </c>
      <c r="T90" s="4">
        <f>+VLOOKUP(C90,Indicadores!B:V,21,FALSE)</f>
        <v>0.97499999999999998</v>
      </c>
      <c r="U90" s="35" t="str">
        <f t="shared" si="29"/>
        <v>No Cumple</v>
      </c>
      <c r="V90" s="2">
        <f t="shared" si="30"/>
        <v>0</v>
      </c>
      <c r="W90" s="5" t="str">
        <f t="shared" si="21"/>
        <v>NO</v>
      </c>
      <c r="X90" s="5">
        <f t="shared" si="31"/>
        <v>0</v>
      </c>
      <c r="Y90" s="1"/>
    </row>
    <row r="91" spans="2:25" x14ac:dyDescent="0.25">
      <c r="B91" s="1" t="s">
        <v>237</v>
      </c>
      <c r="C91" s="1" t="s">
        <v>96</v>
      </c>
      <c r="D91" s="1" t="s">
        <v>242</v>
      </c>
      <c r="E91" s="1" t="s">
        <v>341</v>
      </c>
      <c r="F91" s="2">
        <f t="shared" si="22"/>
        <v>250000</v>
      </c>
      <c r="G91" s="4">
        <f>+VLOOKUP(C91,Indicadores!B:C,2,FALSE)</f>
        <v>0.38425454545454546</v>
      </c>
      <c r="H91" s="1" t="str">
        <f t="shared" si="23"/>
        <v>No Cumple</v>
      </c>
      <c r="I91" s="4">
        <f>+VLOOKUP(C91,Indicadores!B:F,5,FALSE)</f>
        <v>0.88235294117647056</v>
      </c>
      <c r="J91" s="1" t="str">
        <f t="shared" si="24"/>
        <v>No Cumple</v>
      </c>
      <c r="K91" s="9">
        <f t="shared" si="18"/>
        <v>150000</v>
      </c>
      <c r="L91" s="4">
        <f>+VLOOKUP(C91,Indicadores!B:P,15,FALSE)</f>
        <v>0.17169999999999999</v>
      </c>
      <c r="M91" s="1" t="str">
        <f t="shared" si="25"/>
        <v>No Cumple</v>
      </c>
      <c r="N91" s="5">
        <f t="shared" si="26"/>
        <v>0</v>
      </c>
      <c r="O91" s="5">
        <f t="shared" si="19"/>
        <v>50000</v>
      </c>
      <c r="P91" s="4">
        <v>0.95</v>
      </c>
      <c r="Q91" s="5" t="str">
        <f t="shared" si="27"/>
        <v>Cumple</v>
      </c>
      <c r="R91" s="5">
        <f t="shared" si="28"/>
        <v>47500</v>
      </c>
      <c r="S91" s="5">
        <f t="shared" si="20"/>
        <v>50000</v>
      </c>
      <c r="T91" s="4">
        <f>+VLOOKUP(C91,Indicadores!B:V,21,FALSE)</f>
        <v>0.94664999999999999</v>
      </c>
      <c r="U91" s="35" t="str">
        <f t="shared" si="29"/>
        <v>No Cumple</v>
      </c>
      <c r="V91" s="2">
        <f t="shared" si="30"/>
        <v>0</v>
      </c>
      <c r="W91" s="5" t="str">
        <f t="shared" si="21"/>
        <v>NO</v>
      </c>
      <c r="X91" s="5">
        <f t="shared" si="31"/>
        <v>0</v>
      </c>
      <c r="Y91" s="1"/>
    </row>
    <row r="92" spans="2:25" x14ac:dyDescent="0.25">
      <c r="B92" s="1" t="s">
        <v>237</v>
      </c>
      <c r="C92" s="1" t="s">
        <v>97</v>
      </c>
      <c r="D92" s="1" t="s">
        <v>242</v>
      </c>
      <c r="E92" s="1" t="s">
        <v>341</v>
      </c>
      <c r="F92" s="2">
        <f t="shared" si="22"/>
        <v>250000</v>
      </c>
      <c r="G92" s="4">
        <f>+VLOOKUP(C92,Indicadores!B:C,2,FALSE)</f>
        <v>0.82099999999999984</v>
      </c>
      <c r="H92" s="1" t="str">
        <f t="shared" si="23"/>
        <v>No Cumple</v>
      </c>
      <c r="I92" s="4">
        <f>+VLOOKUP(C92,Indicadores!B:F,5,FALSE)</f>
        <v>1</v>
      </c>
      <c r="J92" s="1" t="str">
        <f t="shared" si="24"/>
        <v>Cumple</v>
      </c>
      <c r="K92" s="9">
        <f t="shared" si="18"/>
        <v>150000</v>
      </c>
      <c r="L92" s="4">
        <f>+VLOOKUP(C92,Indicadores!B:P,15,FALSE)</f>
        <v>0.68066666666666664</v>
      </c>
      <c r="M92" s="1" t="str">
        <f t="shared" si="25"/>
        <v>No Cumple</v>
      </c>
      <c r="N92" s="5">
        <f t="shared" si="26"/>
        <v>0</v>
      </c>
      <c r="O92" s="5">
        <f t="shared" si="19"/>
        <v>50000</v>
      </c>
      <c r="P92" s="4">
        <v>0.95</v>
      </c>
      <c r="Q92" s="5" t="str">
        <f t="shared" si="27"/>
        <v>Cumple</v>
      </c>
      <c r="R92" s="5">
        <f t="shared" si="28"/>
        <v>47500</v>
      </c>
      <c r="S92" s="5">
        <f t="shared" si="20"/>
        <v>50000</v>
      </c>
      <c r="T92" s="4">
        <f>+VLOOKUP(C92,Indicadores!B:V,21,FALSE)</f>
        <v>1</v>
      </c>
      <c r="U92" s="35" t="str">
        <f t="shared" si="29"/>
        <v>Cumple</v>
      </c>
      <c r="V92" s="2">
        <f t="shared" si="30"/>
        <v>50000</v>
      </c>
      <c r="W92" s="5" t="str">
        <f t="shared" si="21"/>
        <v>NO</v>
      </c>
      <c r="X92" s="5">
        <f t="shared" si="31"/>
        <v>0</v>
      </c>
      <c r="Y92" s="1"/>
    </row>
    <row r="93" spans="2:25" x14ac:dyDescent="0.25">
      <c r="B93" s="1" t="s">
        <v>237</v>
      </c>
      <c r="C93" s="1" t="s">
        <v>98</v>
      </c>
      <c r="D93" s="1" t="s">
        <v>242</v>
      </c>
      <c r="E93" s="1" t="s">
        <v>341</v>
      </c>
      <c r="F93" s="2">
        <f t="shared" si="22"/>
        <v>250000</v>
      </c>
      <c r="G93" s="4">
        <f>+VLOOKUP(C93,Indicadores!B:C,2,FALSE)</f>
        <v>0.76918181818181819</v>
      </c>
      <c r="H93" s="1" t="str">
        <f t="shared" si="23"/>
        <v>No Cumple</v>
      </c>
      <c r="I93" s="4">
        <f>+VLOOKUP(C93,Indicadores!B:F,5,FALSE)</f>
        <v>1</v>
      </c>
      <c r="J93" s="1" t="str">
        <f t="shared" si="24"/>
        <v>Cumple</v>
      </c>
      <c r="K93" s="9">
        <f t="shared" si="18"/>
        <v>150000</v>
      </c>
      <c r="L93" s="4">
        <f>+VLOOKUP(C93,Indicadores!B:P,15,FALSE)</f>
        <v>0.59393333333333331</v>
      </c>
      <c r="M93" s="1" t="str">
        <f t="shared" si="25"/>
        <v>No Cumple</v>
      </c>
      <c r="N93" s="5">
        <f t="shared" si="26"/>
        <v>0</v>
      </c>
      <c r="O93" s="5">
        <f t="shared" si="19"/>
        <v>50000</v>
      </c>
      <c r="P93" s="4">
        <v>0.95</v>
      </c>
      <c r="Q93" s="5" t="str">
        <f t="shared" si="27"/>
        <v>Cumple</v>
      </c>
      <c r="R93" s="5">
        <f t="shared" si="28"/>
        <v>47500</v>
      </c>
      <c r="S93" s="5">
        <f t="shared" si="20"/>
        <v>50000</v>
      </c>
      <c r="T93" s="4">
        <f>+VLOOKUP(C93,Indicadores!B:V,21,FALSE)</f>
        <v>1</v>
      </c>
      <c r="U93" s="35" t="str">
        <f t="shared" si="29"/>
        <v>Cumple</v>
      </c>
      <c r="V93" s="2">
        <f t="shared" si="30"/>
        <v>50000</v>
      </c>
      <c r="W93" s="5" t="str">
        <f t="shared" si="21"/>
        <v>NO</v>
      </c>
      <c r="X93" s="5">
        <f t="shared" si="31"/>
        <v>0</v>
      </c>
      <c r="Y93" s="1"/>
    </row>
    <row r="94" spans="2:25" x14ac:dyDescent="0.25">
      <c r="B94" s="1" t="s">
        <v>237</v>
      </c>
      <c r="C94" s="1" t="s">
        <v>99</v>
      </c>
      <c r="D94" s="1" t="s">
        <v>242</v>
      </c>
      <c r="E94" s="1" t="s">
        <v>341</v>
      </c>
      <c r="F94" s="2">
        <f t="shared" si="22"/>
        <v>250000</v>
      </c>
      <c r="G94" s="4">
        <f>+VLOOKUP(C94,Indicadores!B:C,2,FALSE)</f>
        <v>0.79091818181818185</v>
      </c>
      <c r="H94" s="1" t="str">
        <f t="shared" si="23"/>
        <v>No Cumple</v>
      </c>
      <c r="I94" s="4">
        <f>+VLOOKUP(C94,Indicadores!B:F,5,FALSE)</f>
        <v>0.9</v>
      </c>
      <c r="J94" s="1" t="str">
        <f t="shared" si="24"/>
        <v>No Cumple</v>
      </c>
      <c r="K94" s="9">
        <f t="shared" si="18"/>
        <v>150000</v>
      </c>
      <c r="L94" s="4">
        <f>+VLOOKUP(C94,Indicadores!B:P,15,FALSE)</f>
        <v>0.33333333333333331</v>
      </c>
      <c r="M94" s="1" t="str">
        <f t="shared" si="25"/>
        <v>No Cumple</v>
      </c>
      <c r="N94" s="5">
        <f t="shared" si="26"/>
        <v>0</v>
      </c>
      <c r="O94" s="5">
        <f t="shared" si="19"/>
        <v>50000</v>
      </c>
      <c r="P94" s="4">
        <v>0.95</v>
      </c>
      <c r="Q94" s="5" t="str">
        <f t="shared" si="27"/>
        <v>Cumple</v>
      </c>
      <c r="R94" s="5">
        <f t="shared" si="28"/>
        <v>47500</v>
      </c>
      <c r="S94" s="5">
        <f t="shared" si="20"/>
        <v>50000</v>
      </c>
      <c r="T94" s="4">
        <f>+VLOOKUP(C94,Indicadores!B:V,21,FALSE)</f>
        <v>1</v>
      </c>
      <c r="U94" s="35" t="str">
        <f t="shared" si="29"/>
        <v>Cumple</v>
      </c>
      <c r="V94" s="2">
        <f t="shared" si="30"/>
        <v>50000</v>
      </c>
      <c r="W94" s="5" t="str">
        <f t="shared" si="21"/>
        <v>NO</v>
      </c>
      <c r="X94" s="5">
        <f t="shared" si="31"/>
        <v>0</v>
      </c>
      <c r="Y94" s="1"/>
    </row>
    <row r="95" spans="2:25" x14ac:dyDescent="0.25">
      <c r="B95" s="1" t="s">
        <v>237</v>
      </c>
      <c r="C95" s="1" t="s">
        <v>100</v>
      </c>
      <c r="D95" s="1" t="s">
        <v>242</v>
      </c>
      <c r="E95" s="1" t="s">
        <v>341</v>
      </c>
      <c r="F95" s="2">
        <f t="shared" si="22"/>
        <v>250000</v>
      </c>
      <c r="G95" s="4">
        <f>+VLOOKUP(C95,Indicadores!B:C,2,FALSE)</f>
        <v>0.54912727272727269</v>
      </c>
      <c r="H95" s="1" t="str">
        <f t="shared" si="23"/>
        <v>No Cumple</v>
      </c>
      <c r="I95" s="4">
        <f>+VLOOKUP(C95,Indicadores!B:F,5,FALSE)</f>
        <v>1</v>
      </c>
      <c r="J95" s="1" t="str">
        <f t="shared" si="24"/>
        <v>Cumple</v>
      </c>
      <c r="K95" s="9">
        <f t="shared" si="18"/>
        <v>150000</v>
      </c>
      <c r="L95" s="4">
        <f>+VLOOKUP(C95,Indicadores!B:P,15,FALSE)</f>
        <v>0.32163333333333333</v>
      </c>
      <c r="M95" s="1" t="str">
        <f t="shared" si="25"/>
        <v>No Cumple</v>
      </c>
      <c r="N95" s="5">
        <f t="shared" si="26"/>
        <v>0</v>
      </c>
      <c r="O95" s="5">
        <f t="shared" si="19"/>
        <v>50000</v>
      </c>
      <c r="P95" s="4">
        <v>0.95</v>
      </c>
      <c r="Q95" s="5" t="str">
        <f t="shared" si="27"/>
        <v>Cumple</v>
      </c>
      <c r="R95" s="5">
        <f t="shared" si="28"/>
        <v>47500</v>
      </c>
      <c r="S95" s="5">
        <f t="shared" si="20"/>
        <v>50000</v>
      </c>
      <c r="T95" s="4">
        <f>+VLOOKUP(C95,Indicadores!B:V,21,FALSE)</f>
        <v>0.80200000000000005</v>
      </c>
      <c r="U95" s="35" t="str">
        <f t="shared" si="29"/>
        <v>No Cumple</v>
      </c>
      <c r="V95" s="2">
        <f t="shared" si="30"/>
        <v>0</v>
      </c>
      <c r="W95" s="5" t="str">
        <f t="shared" si="21"/>
        <v>NO</v>
      </c>
      <c r="X95" s="5">
        <f t="shared" si="31"/>
        <v>0</v>
      </c>
      <c r="Y95" s="1"/>
    </row>
    <row r="96" spans="2:25" x14ac:dyDescent="0.25">
      <c r="B96" s="1" t="s">
        <v>238</v>
      </c>
      <c r="C96" s="1" t="s">
        <v>101</v>
      </c>
      <c r="D96" s="1" t="s">
        <v>243</v>
      </c>
      <c r="E96" s="1" t="s">
        <v>342</v>
      </c>
      <c r="F96" s="2">
        <f t="shared" si="22"/>
        <v>250000</v>
      </c>
      <c r="G96" s="4">
        <f>+VLOOKUP(C96,Indicadores!B:C,2,FALSE)</f>
        <v>0.79049090909090902</v>
      </c>
      <c r="H96" s="1" t="str">
        <f t="shared" si="23"/>
        <v>No Cumple</v>
      </c>
      <c r="I96" s="4">
        <v>0.9</v>
      </c>
      <c r="J96" s="1" t="str">
        <f t="shared" si="24"/>
        <v>No Cumple</v>
      </c>
      <c r="K96" s="9">
        <f t="shared" si="18"/>
        <v>150000</v>
      </c>
      <c r="L96" s="4">
        <f>+VLOOKUP(C96,Indicadores!B:P,15,FALSE)</f>
        <v>0.71229999999999993</v>
      </c>
      <c r="M96" s="1" t="str">
        <f t="shared" si="25"/>
        <v>No Cumple</v>
      </c>
      <c r="N96" s="5">
        <f t="shared" si="26"/>
        <v>0</v>
      </c>
      <c r="O96" s="5">
        <f t="shared" si="19"/>
        <v>50000</v>
      </c>
      <c r="P96" s="4">
        <v>0.95</v>
      </c>
      <c r="Q96" s="5" t="str">
        <f t="shared" si="27"/>
        <v>Cumple</v>
      </c>
      <c r="R96" s="5">
        <f t="shared" si="28"/>
        <v>47500</v>
      </c>
      <c r="S96" s="5">
        <f t="shared" si="20"/>
        <v>50000</v>
      </c>
      <c r="T96" s="4">
        <f>+VLOOKUP(C96,Indicadores!B:V,21,FALSE)</f>
        <v>0.5</v>
      </c>
      <c r="U96" s="35" t="str">
        <f t="shared" si="29"/>
        <v>No Cumple</v>
      </c>
      <c r="V96" s="2">
        <f t="shared" si="30"/>
        <v>0</v>
      </c>
      <c r="W96" s="5" t="str">
        <f t="shared" si="21"/>
        <v>NO</v>
      </c>
      <c r="X96" s="5">
        <f t="shared" si="31"/>
        <v>0</v>
      </c>
      <c r="Y96" s="1"/>
    </row>
    <row r="97" spans="2:25" x14ac:dyDescent="0.25">
      <c r="B97" s="1" t="s">
        <v>238</v>
      </c>
      <c r="C97" s="1" t="s">
        <v>102</v>
      </c>
      <c r="D97" s="1" t="s">
        <v>243</v>
      </c>
      <c r="E97" s="1" t="s">
        <v>342</v>
      </c>
      <c r="F97" s="2">
        <f t="shared" si="22"/>
        <v>250000</v>
      </c>
      <c r="G97" s="4">
        <f>+VLOOKUP(C97,Indicadores!B:C,2,FALSE)</f>
        <v>0.80227272727272725</v>
      </c>
      <c r="H97" s="1" t="str">
        <f t="shared" si="23"/>
        <v>No Cumple</v>
      </c>
      <c r="I97" s="4">
        <v>0.9</v>
      </c>
      <c r="J97" s="1" t="str">
        <f t="shared" si="24"/>
        <v>No Cumple</v>
      </c>
      <c r="K97" s="9">
        <f t="shared" si="18"/>
        <v>150000</v>
      </c>
      <c r="L97" s="4">
        <f>+VLOOKUP(C97,Indicadores!B:P,15,FALSE)</f>
        <v>0.71583333333333332</v>
      </c>
      <c r="M97" s="1" t="str">
        <f t="shared" si="25"/>
        <v>No Cumple</v>
      </c>
      <c r="N97" s="5">
        <f t="shared" si="26"/>
        <v>0</v>
      </c>
      <c r="O97" s="5">
        <f t="shared" si="19"/>
        <v>50000</v>
      </c>
      <c r="P97" s="4">
        <v>0.95</v>
      </c>
      <c r="Q97" s="5" t="str">
        <f t="shared" si="27"/>
        <v>Cumple</v>
      </c>
      <c r="R97" s="5">
        <f t="shared" si="28"/>
        <v>47500</v>
      </c>
      <c r="S97" s="5">
        <f t="shared" si="20"/>
        <v>50000</v>
      </c>
      <c r="T97" s="4">
        <f>+VLOOKUP(C97,Indicadores!B:V,21,FALSE)</f>
        <v>0.5</v>
      </c>
      <c r="U97" s="35" t="str">
        <f t="shared" si="29"/>
        <v>No Cumple</v>
      </c>
      <c r="V97" s="2">
        <f t="shared" si="30"/>
        <v>0</v>
      </c>
      <c r="W97" s="5" t="str">
        <f t="shared" si="21"/>
        <v>NO</v>
      </c>
      <c r="X97" s="5">
        <f t="shared" si="31"/>
        <v>0</v>
      </c>
      <c r="Y97" s="1"/>
    </row>
    <row r="98" spans="2:25" x14ac:dyDescent="0.25">
      <c r="B98" s="1" t="s">
        <v>238</v>
      </c>
      <c r="C98" s="1" t="s">
        <v>103</v>
      </c>
      <c r="D98" s="1" t="s">
        <v>243</v>
      </c>
      <c r="E98" s="1" t="s">
        <v>342</v>
      </c>
      <c r="F98" s="2">
        <f t="shared" si="22"/>
        <v>250000</v>
      </c>
      <c r="G98" s="4">
        <f>+VLOOKUP(C98,Indicadores!B:C,2,FALSE)</f>
        <v>0.77805454545454533</v>
      </c>
      <c r="H98" s="1" t="str">
        <f t="shared" si="23"/>
        <v>No Cumple</v>
      </c>
      <c r="I98" s="4">
        <f>+VLOOKUP(C98,Indicadores!B:F,5,FALSE)</f>
        <v>0.94736842105263153</v>
      </c>
      <c r="J98" s="1" t="str">
        <f t="shared" si="24"/>
        <v>No Cumple</v>
      </c>
      <c r="K98" s="9">
        <f t="shared" si="18"/>
        <v>150000</v>
      </c>
      <c r="L98" s="4">
        <f>+VLOOKUP(C98,Indicadores!B:P,15,FALSE)</f>
        <v>0.70289999999999997</v>
      </c>
      <c r="M98" s="1" t="str">
        <f t="shared" si="25"/>
        <v>No Cumple</v>
      </c>
      <c r="N98" s="5">
        <f t="shared" si="26"/>
        <v>0</v>
      </c>
      <c r="O98" s="5">
        <f t="shared" si="19"/>
        <v>50000</v>
      </c>
      <c r="P98" s="4">
        <v>0.95</v>
      </c>
      <c r="Q98" s="5" t="str">
        <f t="shared" si="27"/>
        <v>Cumple</v>
      </c>
      <c r="R98" s="5">
        <f t="shared" si="28"/>
        <v>47500</v>
      </c>
      <c r="S98" s="5">
        <f t="shared" si="20"/>
        <v>50000</v>
      </c>
      <c r="T98" s="4">
        <f>+VLOOKUP(C98,Indicadores!B:V,21,FALSE)</f>
        <v>0.5</v>
      </c>
      <c r="U98" s="35" t="str">
        <f t="shared" si="29"/>
        <v>No Cumple</v>
      </c>
      <c r="V98" s="2">
        <f t="shared" si="30"/>
        <v>0</v>
      </c>
      <c r="W98" s="5" t="str">
        <f t="shared" si="21"/>
        <v>NO</v>
      </c>
      <c r="X98" s="5">
        <f t="shared" si="31"/>
        <v>0</v>
      </c>
      <c r="Y98" s="1"/>
    </row>
    <row r="99" spans="2:25" x14ac:dyDescent="0.25">
      <c r="B99" s="1" t="s">
        <v>238</v>
      </c>
      <c r="C99" s="1" t="s">
        <v>104</v>
      </c>
      <c r="D99" s="1" t="s">
        <v>243</v>
      </c>
      <c r="E99" s="1" t="s">
        <v>342</v>
      </c>
      <c r="F99" s="2">
        <f t="shared" si="22"/>
        <v>250000</v>
      </c>
      <c r="G99" s="4">
        <f>+VLOOKUP(C99,Indicadores!B:C,2,FALSE)</f>
        <v>0.53720909090909086</v>
      </c>
      <c r="H99" s="1" t="str">
        <f t="shared" si="23"/>
        <v>No Cumple</v>
      </c>
      <c r="I99" s="4">
        <f>+VLOOKUP(C99,Indicadores!B:F,5,FALSE)</f>
        <v>1</v>
      </c>
      <c r="J99" s="1" t="str">
        <f t="shared" si="24"/>
        <v>Cumple</v>
      </c>
      <c r="K99" s="9">
        <f t="shared" si="18"/>
        <v>150000</v>
      </c>
      <c r="L99" s="4">
        <f>+VLOOKUP(C99,Indicadores!B:P,15,FALSE)</f>
        <v>0.57576666666666665</v>
      </c>
      <c r="M99" s="1" t="str">
        <f t="shared" si="25"/>
        <v>No Cumple</v>
      </c>
      <c r="N99" s="5">
        <f t="shared" si="26"/>
        <v>0</v>
      </c>
      <c r="O99" s="5">
        <f t="shared" si="19"/>
        <v>50000</v>
      </c>
      <c r="P99" s="4">
        <v>0.95</v>
      </c>
      <c r="Q99" s="5" t="str">
        <f t="shared" si="27"/>
        <v>Cumple</v>
      </c>
      <c r="R99" s="5">
        <f t="shared" si="28"/>
        <v>47500</v>
      </c>
      <c r="S99" s="5">
        <f t="shared" si="20"/>
        <v>50000</v>
      </c>
      <c r="T99" s="4">
        <f>+VLOOKUP(C99,Indicadores!B:V,21,FALSE)</f>
        <v>0.72729999999999995</v>
      </c>
      <c r="U99" s="35" t="str">
        <f t="shared" si="29"/>
        <v>No Cumple</v>
      </c>
      <c r="V99" s="2">
        <f t="shared" si="30"/>
        <v>0</v>
      </c>
      <c r="W99" s="5" t="str">
        <f t="shared" si="21"/>
        <v>NO</v>
      </c>
      <c r="X99" s="5">
        <f t="shared" si="31"/>
        <v>0</v>
      </c>
      <c r="Y99" s="1"/>
    </row>
    <row r="100" spans="2:25" x14ac:dyDescent="0.25">
      <c r="B100" s="1" t="s">
        <v>238</v>
      </c>
      <c r="C100" s="1" t="s">
        <v>105</v>
      </c>
      <c r="D100" s="1" t="s">
        <v>243</v>
      </c>
      <c r="E100" s="1" t="s">
        <v>342</v>
      </c>
      <c r="F100" s="2">
        <f t="shared" si="22"/>
        <v>250000</v>
      </c>
      <c r="G100" s="4">
        <f>+VLOOKUP(C100,Indicadores!B:C,2,FALSE)</f>
        <v>0.78260909090909081</v>
      </c>
      <c r="H100" s="1" t="str">
        <f t="shared" si="23"/>
        <v>No Cumple</v>
      </c>
      <c r="I100" s="4">
        <f>+VLOOKUP(C100,Indicadores!B:F,5,FALSE)</f>
        <v>0.88235294117647056</v>
      </c>
      <c r="J100" s="1" t="str">
        <f t="shared" si="24"/>
        <v>No Cumple</v>
      </c>
      <c r="K100" s="9">
        <f t="shared" si="18"/>
        <v>150000</v>
      </c>
      <c r="L100" s="4">
        <f>+VLOOKUP(C100,Indicadores!B:P,15,FALSE)</f>
        <v>0.51633333333333331</v>
      </c>
      <c r="M100" s="1" t="str">
        <f t="shared" si="25"/>
        <v>No Cumple</v>
      </c>
      <c r="N100" s="5">
        <f t="shared" si="26"/>
        <v>0</v>
      </c>
      <c r="O100" s="5">
        <f t="shared" si="19"/>
        <v>50000</v>
      </c>
      <c r="P100" s="4">
        <v>0.95</v>
      </c>
      <c r="Q100" s="5" t="str">
        <f t="shared" si="27"/>
        <v>Cumple</v>
      </c>
      <c r="R100" s="5">
        <f t="shared" si="28"/>
        <v>47500</v>
      </c>
      <c r="S100" s="5">
        <f t="shared" si="20"/>
        <v>50000</v>
      </c>
      <c r="T100" s="4">
        <f>+VLOOKUP(C100,Indicadores!B:V,21,FALSE)</f>
        <v>0.5</v>
      </c>
      <c r="U100" s="35" t="str">
        <f t="shared" si="29"/>
        <v>No Cumple</v>
      </c>
      <c r="V100" s="2">
        <f t="shared" si="30"/>
        <v>0</v>
      </c>
      <c r="W100" s="5" t="str">
        <f t="shared" si="21"/>
        <v>NO</v>
      </c>
      <c r="X100" s="5">
        <f t="shared" si="31"/>
        <v>0</v>
      </c>
      <c r="Y100" s="1"/>
    </row>
    <row r="101" spans="2:25" x14ac:dyDescent="0.25">
      <c r="B101" s="1" t="s">
        <v>238</v>
      </c>
      <c r="C101" s="1" t="s">
        <v>106</v>
      </c>
      <c r="D101" s="1" t="s">
        <v>243</v>
      </c>
      <c r="E101" s="1" t="s">
        <v>342</v>
      </c>
      <c r="F101" s="2">
        <f t="shared" si="22"/>
        <v>250000</v>
      </c>
      <c r="G101" s="4">
        <f>+VLOOKUP(C101,Indicadores!B:C,2,FALSE)</f>
        <v>0.8538</v>
      </c>
      <c r="H101" s="1" t="str">
        <f t="shared" si="23"/>
        <v>No Cumple</v>
      </c>
      <c r="I101" s="4">
        <f>+VLOOKUP(C101,Indicadores!B:F,5,FALSE)</f>
        <v>0.94736842105263153</v>
      </c>
      <c r="J101" s="1" t="str">
        <f t="shared" si="24"/>
        <v>No Cumple</v>
      </c>
      <c r="K101" s="9">
        <f t="shared" si="18"/>
        <v>150000</v>
      </c>
      <c r="L101" s="4">
        <f>+VLOOKUP(C101,Indicadores!B:P,15,FALSE)</f>
        <v>0.84723333333333339</v>
      </c>
      <c r="M101" s="1" t="str">
        <f t="shared" si="25"/>
        <v>Cumple</v>
      </c>
      <c r="N101" s="5">
        <f t="shared" si="26"/>
        <v>120000</v>
      </c>
      <c r="O101" s="5">
        <f t="shared" si="19"/>
        <v>50000</v>
      </c>
      <c r="P101" s="4">
        <v>0.95</v>
      </c>
      <c r="Q101" s="5" t="str">
        <f t="shared" si="27"/>
        <v>Cumple</v>
      </c>
      <c r="R101" s="5">
        <f t="shared" si="28"/>
        <v>47500</v>
      </c>
      <c r="S101" s="5">
        <f t="shared" si="20"/>
        <v>50000</v>
      </c>
      <c r="T101" s="4">
        <f>+VLOOKUP(C101,Indicadores!B:V,21,FALSE)</f>
        <v>0.5</v>
      </c>
      <c r="U101" s="35" t="str">
        <f t="shared" si="29"/>
        <v>No Cumple</v>
      </c>
      <c r="V101" s="2">
        <f t="shared" si="30"/>
        <v>0</v>
      </c>
      <c r="W101" s="5" t="str">
        <f t="shared" si="21"/>
        <v>NO</v>
      </c>
      <c r="X101" s="5">
        <f t="shared" si="31"/>
        <v>0</v>
      </c>
      <c r="Y101" s="1"/>
    </row>
    <row r="102" spans="2:25" x14ac:dyDescent="0.25">
      <c r="B102" s="1" t="s">
        <v>238</v>
      </c>
      <c r="C102" s="1" t="s">
        <v>107</v>
      </c>
      <c r="D102" s="1" t="s">
        <v>243</v>
      </c>
      <c r="E102" s="1" t="s">
        <v>342</v>
      </c>
      <c r="F102" s="2">
        <f t="shared" si="22"/>
        <v>250000</v>
      </c>
      <c r="G102" s="4">
        <f>+VLOOKUP(C102,Indicadores!B:C,2,FALSE)</f>
        <v>0.7662363636363636</v>
      </c>
      <c r="H102" s="1" t="str">
        <f t="shared" si="23"/>
        <v>No Cumple</v>
      </c>
      <c r="I102" s="4">
        <f>+VLOOKUP(C102,Indicadores!B:F,5,FALSE)</f>
        <v>0.94444444444444442</v>
      </c>
      <c r="J102" s="1" t="str">
        <f t="shared" si="24"/>
        <v>No Cumple</v>
      </c>
      <c r="K102" s="9">
        <f t="shared" ref="K102:K133" si="32">+$F$4*$K$3</f>
        <v>150000</v>
      </c>
      <c r="L102" s="4">
        <f>+VLOOKUP(C102,Indicadores!B:P,15,FALSE)</f>
        <v>0.60383333333333333</v>
      </c>
      <c r="M102" s="1" t="str">
        <f t="shared" si="25"/>
        <v>No Cumple</v>
      </c>
      <c r="N102" s="5">
        <f t="shared" si="26"/>
        <v>0</v>
      </c>
      <c r="O102" s="5">
        <f t="shared" ref="O102:O133" si="33">+$F$4*$O$3</f>
        <v>50000</v>
      </c>
      <c r="P102" s="4">
        <v>0.95</v>
      </c>
      <c r="Q102" s="5" t="str">
        <f t="shared" si="27"/>
        <v>Cumple</v>
      </c>
      <c r="R102" s="5">
        <f t="shared" si="28"/>
        <v>47500</v>
      </c>
      <c r="S102" s="5">
        <f t="shared" ref="S102:S133" si="34">+$F$4*$S$3</f>
        <v>50000</v>
      </c>
      <c r="T102" s="4">
        <f>+VLOOKUP(C102,Indicadores!B:V,21,FALSE)</f>
        <v>0.5</v>
      </c>
      <c r="U102" s="35" t="str">
        <f t="shared" si="29"/>
        <v>No Cumple</v>
      </c>
      <c r="V102" s="2">
        <f t="shared" si="30"/>
        <v>0</v>
      </c>
      <c r="W102" s="5" t="str">
        <f t="shared" ref="W102:W133" si="35">IF(AND(G102&gt;=95%,I102&gt;=95%),"SI","NO")</f>
        <v>NO</v>
      </c>
      <c r="X102" s="5">
        <f t="shared" si="31"/>
        <v>0</v>
      </c>
      <c r="Y102" s="1"/>
    </row>
    <row r="103" spans="2:25" x14ac:dyDescent="0.25">
      <c r="B103" s="1" t="s">
        <v>238</v>
      </c>
      <c r="C103" s="1" t="s">
        <v>108</v>
      </c>
      <c r="D103" s="1" t="s">
        <v>243</v>
      </c>
      <c r="E103" s="1" t="s">
        <v>342</v>
      </c>
      <c r="F103" s="2">
        <f t="shared" si="22"/>
        <v>250000</v>
      </c>
      <c r="G103" s="4">
        <f>+VLOOKUP(C103,Indicadores!B:C,2,FALSE)</f>
        <v>0.79444545454545434</v>
      </c>
      <c r="H103" s="1" t="str">
        <f t="shared" si="23"/>
        <v>No Cumple</v>
      </c>
      <c r="I103" s="4">
        <f>+VLOOKUP(C103,Indicadores!B:F,5,FALSE)</f>
        <v>0.88235294117647056</v>
      </c>
      <c r="J103" s="1" t="str">
        <f t="shared" si="24"/>
        <v>No Cumple</v>
      </c>
      <c r="K103" s="9">
        <f t="shared" si="32"/>
        <v>150000</v>
      </c>
      <c r="L103" s="4">
        <f>+VLOOKUP(C103,Indicadores!B:P,15,FALSE)</f>
        <v>0.61863333333333337</v>
      </c>
      <c r="M103" s="1" t="str">
        <f t="shared" si="25"/>
        <v>No Cumple</v>
      </c>
      <c r="N103" s="5">
        <f t="shared" si="26"/>
        <v>0</v>
      </c>
      <c r="O103" s="5">
        <f t="shared" si="33"/>
        <v>50000</v>
      </c>
      <c r="P103" s="4">
        <v>0.95</v>
      </c>
      <c r="Q103" s="5" t="str">
        <f t="shared" si="27"/>
        <v>Cumple</v>
      </c>
      <c r="R103" s="5">
        <f t="shared" si="28"/>
        <v>47500</v>
      </c>
      <c r="S103" s="5">
        <f t="shared" si="34"/>
        <v>50000</v>
      </c>
      <c r="T103" s="4">
        <f>+VLOOKUP(C103,Indicadores!B:V,21,FALSE)</f>
        <v>0.99099999999999999</v>
      </c>
      <c r="U103" s="35" t="str">
        <f t="shared" si="29"/>
        <v>No Cumple</v>
      </c>
      <c r="V103" s="2">
        <f t="shared" si="30"/>
        <v>0</v>
      </c>
      <c r="W103" s="5" t="str">
        <f t="shared" si="35"/>
        <v>NO</v>
      </c>
      <c r="X103" s="5">
        <f t="shared" si="31"/>
        <v>0</v>
      </c>
      <c r="Y103" s="1"/>
    </row>
    <row r="104" spans="2:25" x14ac:dyDescent="0.25">
      <c r="B104" s="1" t="s">
        <v>238</v>
      </c>
      <c r="C104" s="1" t="s">
        <v>109</v>
      </c>
      <c r="D104" s="1" t="s">
        <v>243</v>
      </c>
      <c r="E104" s="1" t="s">
        <v>342</v>
      </c>
      <c r="F104" s="2">
        <f t="shared" si="22"/>
        <v>250000</v>
      </c>
      <c r="G104" s="4">
        <f>+VLOOKUP(C104,Indicadores!B:C,2,FALSE)</f>
        <v>0.75879090909090907</v>
      </c>
      <c r="H104" s="1" t="str">
        <f t="shared" si="23"/>
        <v>No Cumple</v>
      </c>
      <c r="I104" s="4">
        <f>+VLOOKUP(C104,Indicadores!B:F,5,FALSE)</f>
        <v>1</v>
      </c>
      <c r="J104" s="1" t="str">
        <f t="shared" si="24"/>
        <v>Cumple</v>
      </c>
      <c r="K104" s="9">
        <f t="shared" si="32"/>
        <v>150000</v>
      </c>
      <c r="L104" s="4">
        <f>+VLOOKUP(C104,Indicadores!B:P,15,FALSE)</f>
        <v>0.62816666666666665</v>
      </c>
      <c r="M104" s="1" t="str">
        <f t="shared" si="25"/>
        <v>No Cumple</v>
      </c>
      <c r="N104" s="5">
        <f t="shared" si="26"/>
        <v>0</v>
      </c>
      <c r="O104" s="5">
        <f t="shared" si="33"/>
        <v>50000</v>
      </c>
      <c r="P104" s="4">
        <v>0.95</v>
      </c>
      <c r="Q104" s="5" t="str">
        <f t="shared" si="27"/>
        <v>Cumple</v>
      </c>
      <c r="R104" s="5">
        <f t="shared" si="28"/>
        <v>47500</v>
      </c>
      <c r="S104" s="5">
        <f t="shared" si="34"/>
        <v>50000</v>
      </c>
      <c r="T104" s="4">
        <f>+VLOOKUP(C104,Indicadores!B:V,21,FALSE)</f>
        <v>0.5</v>
      </c>
      <c r="U104" s="35" t="str">
        <f t="shared" si="29"/>
        <v>No Cumple</v>
      </c>
      <c r="V104" s="2">
        <f t="shared" si="30"/>
        <v>0</v>
      </c>
      <c r="W104" s="5" t="str">
        <f t="shared" si="35"/>
        <v>NO</v>
      </c>
      <c r="X104" s="5">
        <f t="shared" si="31"/>
        <v>0</v>
      </c>
      <c r="Y104" s="1"/>
    </row>
    <row r="105" spans="2:25" x14ac:dyDescent="0.25">
      <c r="B105" s="1" t="s">
        <v>238</v>
      </c>
      <c r="C105" s="1" t="s">
        <v>110</v>
      </c>
      <c r="D105" s="1" t="s">
        <v>243</v>
      </c>
      <c r="E105" s="1" t="s">
        <v>342</v>
      </c>
      <c r="F105" s="2">
        <f t="shared" si="22"/>
        <v>250000</v>
      </c>
      <c r="G105" s="4">
        <f>+VLOOKUP(C105,Indicadores!B:C,2,FALSE)</f>
        <v>0.76104545454545469</v>
      </c>
      <c r="H105" s="1" t="str">
        <f t="shared" si="23"/>
        <v>No Cumple</v>
      </c>
      <c r="I105" s="4">
        <f>+VLOOKUP(C105,Indicadores!B:F,5,FALSE)</f>
        <v>1</v>
      </c>
      <c r="J105" s="1" t="str">
        <f t="shared" si="24"/>
        <v>Cumple</v>
      </c>
      <c r="K105" s="9">
        <f t="shared" si="32"/>
        <v>150000</v>
      </c>
      <c r="L105" s="4">
        <f>+VLOOKUP(C105,Indicadores!B:P,15,FALSE)</f>
        <v>0.59576666666666667</v>
      </c>
      <c r="M105" s="1" t="str">
        <f t="shared" si="25"/>
        <v>No Cumple</v>
      </c>
      <c r="N105" s="5">
        <f t="shared" si="26"/>
        <v>0</v>
      </c>
      <c r="O105" s="5">
        <f t="shared" si="33"/>
        <v>50000</v>
      </c>
      <c r="P105" s="4">
        <v>0.95</v>
      </c>
      <c r="Q105" s="5" t="str">
        <f t="shared" si="27"/>
        <v>Cumple</v>
      </c>
      <c r="R105" s="5">
        <f t="shared" si="28"/>
        <v>47500</v>
      </c>
      <c r="S105" s="5">
        <f t="shared" si="34"/>
        <v>50000</v>
      </c>
      <c r="T105" s="4">
        <f>+VLOOKUP(C105,Indicadores!B:V,21,FALSE)</f>
        <v>0.5</v>
      </c>
      <c r="U105" s="35" t="str">
        <f t="shared" si="29"/>
        <v>No Cumple</v>
      </c>
      <c r="V105" s="2">
        <f t="shared" si="30"/>
        <v>0</v>
      </c>
      <c r="W105" s="5" t="str">
        <f t="shared" si="35"/>
        <v>NO</v>
      </c>
      <c r="X105" s="5">
        <f t="shared" si="31"/>
        <v>0</v>
      </c>
      <c r="Y105" s="1"/>
    </row>
    <row r="106" spans="2:25" x14ac:dyDescent="0.25">
      <c r="B106" s="1" t="s">
        <v>239</v>
      </c>
      <c r="C106" s="1" t="s">
        <v>111</v>
      </c>
      <c r="D106" s="1" t="s">
        <v>243</v>
      </c>
      <c r="E106" s="1" t="s">
        <v>343</v>
      </c>
      <c r="F106" s="2">
        <f t="shared" si="22"/>
        <v>250000</v>
      </c>
      <c r="G106" s="4">
        <f>+VLOOKUP(C106,Indicadores!B:C,2,FALSE)</f>
        <v>0.78153636363636358</v>
      </c>
      <c r="H106" s="1" t="str">
        <f t="shared" si="23"/>
        <v>No Cumple</v>
      </c>
      <c r="I106" s="4">
        <f>+VLOOKUP(C106,Indicadores!B:F,5,FALSE)</f>
        <v>0.92307692307692313</v>
      </c>
      <c r="J106" s="1" t="str">
        <f t="shared" si="24"/>
        <v>No Cumple</v>
      </c>
      <c r="K106" s="9">
        <f t="shared" si="32"/>
        <v>150000</v>
      </c>
      <c r="L106" s="4">
        <f>+VLOOKUP(C106,Indicadores!B:P,15,FALSE)</f>
        <v>0.38013333333333338</v>
      </c>
      <c r="M106" s="1" t="str">
        <f t="shared" si="25"/>
        <v>No Cumple</v>
      </c>
      <c r="N106" s="5">
        <f t="shared" si="26"/>
        <v>0</v>
      </c>
      <c r="O106" s="5">
        <f t="shared" si="33"/>
        <v>50000</v>
      </c>
      <c r="P106" s="4">
        <v>0.95</v>
      </c>
      <c r="Q106" s="5" t="str">
        <f t="shared" si="27"/>
        <v>Cumple</v>
      </c>
      <c r="R106" s="5">
        <f t="shared" si="28"/>
        <v>47500</v>
      </c>
      <c r="S106" s="5">
        <f t="shared" si="34"/>
        <v>50000</v>
      </c>
      <c r="T106" s="4">
        <f>+VLOOKUP(C106,Indicadores!B:V,21,FALSE)</f>
        <v>0.98250000000000004</v>
      </c>
      <c r="U106" s="35" t="str">
        <f t="shared" si="29"/>
        <v>No Cumple</v>
      </c>
      <c r="V106" s="2">
        <f t="shared" si="30"/>
        <v>0</v>
      </c>
      <c r="W106" s="5" t="str">
        <f t="shared" si="35"/>
        <v>NO</v>
      </c>
      <c r="X106" s="5">
        <f t="shared" si="31"/>
        <v>0</v>
      </c>
      <c r="Y106" s="1"/>
    </row>
    <row r="107" spans="2:25" x14ac:dyDescent="0.25">
      <c r="B107" s="1" t="s">
        <v>239</v>
      </c>
      <c r="C107" s="1" t="s">
        <v>112</v>
      </c>
      <c r="D107" s="1" t="s">
        <v>243</v>
      </c>
      <c r="E107" s="1" t="s">
        <v>343</v>
      </c>
      <c r="F107" s="2">
        <f t="shared" si="22"/>
        <v>250000</v>
      </c>
      <c r="G107" s="4">
        <f>+VLOOKUP(C107,Indicadores!B:C,2,FALSE)</f>
        <v>0.73636363636363633</v>
      </c>
      <c r="H107" s="1" t="str">
        <f t="shared" si="23"/>
        <v>No Cumple</v>
      </c>
      <c r="I107" s="4">
        <f>+VLOOKUP(C107,Indicadores!B:F,5,FALSE)</f>
        <v>0.66666666666666663</v>
      </c>
      <c r="J107" s="1" t="str">
        <f t="shared" si="24"/>
        <v>No Cumple</v>
      </c>
      <c r="K107" s="9">
        <f t="shared" si="32"/>
        <v>150000</v>
      </c>
      <c r="L107" s="4">
        <f>+VLOOKUP(C107,Indicadores!B:P,15,FALSE)</f>
        <v>0.36109999999999998</v>
      </c>
      <c r="M107" s="1" t="str">
        <f t="shared" si="25"/>
        <v>No Cumple</v>
      </c>
      <c r="N107" s="5">
        <f t="shared" si="26"/>
        <v>0</v>
      </c>
      <c r="O107" s="5">
        <f t="shared" si="33"/>
        <v>50000</v>
      </c>
      <c r="P107" s="4">
        <v>0.95</v>
      </c>
      <c r="Q107" s="5" t="str">
        <f t="shared" si="27"/>
        <v>Cumple</v>
      </c>
      <c r="R107" s="5">
        <f t="shared" si="28"/>
        <v>47500</v>
      </c>
      <c r="S107" s="5">
        <f t="shared" si="34"/>
        <v>50000</v>
      </c>
      <c r="T107" s="4">
        <f>+VLOOKUP(C107,Indicadores!B:V,21,FALSE)</f>
        <v>1</v>
      </c>
      <c r="U107" s="35" t="str">
        <f t="shared" si="29"/>
        <v>Cumple</v>
      </c>
      <c r="V107" s="2">
        <f t="shared" si="30"/>
        <v>50000</v>
      </c>
      <c r="W107" s="5" t="str">
        <f t="shared" si="35"/>
        <v>NO</v>
      </c>
      <c r="X107" s="5">
        <f t="shared" si="31"/>
        <v>0</v>
      </c>
      <c r="Y107" s="1"/>
    </row>
    <row r="108" spans="2:25" x14ac:dyDescent="0.25">
      <c r="B108" s="1" t="s">
        <v>239</v>
      </c>
      <c r="C108" s="1" t="s">
        <v>113</v>
      </c>
      <c r="D108" s="1" t="s">
        <v>243</v>
      </c>
      <c r="E108" s="1" t="s">
        <v>343</v>
      </c>
      <c r="F108" s="2">
        <f t="shared" si="22"/>
        <v>250000</v>
      </c>
      <c r="G108" s="4">
        <f>+VLOOKUP(C108,Indicadores!B:C,2,FALSE)</f>
        <v>0.8077545454545455</v>
      </c>
      <c r="H108" s="1" t="str">
        <f t="shared" si="23"/>
        <v>No Cumple</v>
      </c>
      <c r="I108" s="4">
        <f>+VLOOKUP(C108,Indicadores!B:F,5,FALSE)</f>
        <v>1</v>
      </c>
      <c r="J108" s="1" t="str">
        <f t="shared" si="24"/>
        <v>Cumple</v>
      </c>
      <c r="K108" s="9">
        <f t="shared" si="32"/>
        <v>150000</v>
      </c>
      <c r="L108" s="4">
        <f>+VLOOKUP(C108,Indicadores!B:P,15,FALSE)</f>
        <v>0.35520000000000002</v>
      </c>
      <c r="M108" s="1" t="str">
        <f t="shared" si="25"/>
        <v>No Cumple</v>
      </c>
      <c r="N108" s="5">
        <f t="shared" si="26"/>
        <v>0</v>
      </c>
      <c r="O108" s="5">
        <f t="shared" si="33"/>
        <v>50000</v>
      </c>
      <c r="P108" s="4">
        <v>0.95</v>
      </c>
      <c r="Q108" s="5" t="str">
        <f t="shared" si="27"/>
        <v>Cumple</v>
      </c>
      <c r="R108" s="5">
        <f t="shared" si="28"/>
        <v>47500</v>
      </c>
      <c r="S108" s="5">
        <f t="shared" si="34"/>
        <v>50000</v>
      </c>
      <c r="T108" s="4">
        <f>+VLOOKUP(C108,Indicadores!B:V,21,FALSE)</f>
        <v>0.5</v>
      </c>
      <c r="U108" s="35" t="str">
        <f t="shared" si="29"/>
        <v>No Cumple</v>
      </c>
      <c r="V108" s="2">
        <f t="shared" si="30"/>
        <v>0</v>
      </c>
      <c r="W108" s="5" t="str">
        <f t="shared" si="35"/>
        <v>NO</v>
      </c>
      <c r="X108" s="5">
        <f t="shared" si="31"/>
        <v>0</v>
      </c>
      <c r="Y108" s="1"/>
    </row>
    <row r="109" spans="2:25" x14ac:dyDescent="0.25">
      <c r="B109" s="1" t="s">
        <v>239</v>
      </c>
      <c r="C109" s="1" t="s">
        <v>114</v>
      </c>
      <c r="D109" s="1" t="s">
        <v>243</v>
      </c>
      <c r="E109" s="1" t="s">
        <v>343</v>
      </c>
      <c r="F109" s="2">
        <f t="shared" si="22"/>
        <v>250000</v>
      </c>
      <c r="G109" s="4">
        <f>+VLOOKUP(C109,Indicadores!B:C,2,FALSE)</f>
        <v>0.77181818181818196</v>
      </c>
      <c r="H109" s="1" t="str">
        <f t="shared" si="23"/>
        <v>No Cumple</v>
      </c>
      <c r="I109" s="4">
        <f>+VLOOKUP(C109,Indicadores!B:F,5,FALSE)</f>
        <v>1</v>
      </c>
      <c r="J109" s="1" t="str">
        <f t="shared" si="24"/>
        <v>Cumple</v>
      </c>
      <c r="K109" s="9">
        <f t="shared" si="32"/>
        <v>150000</v>
      </c>
      <c r="L109" s="4">
        <f>+VLOOKUP(C109,Indicadores!B:P,15,FALSE)</f>
        <v>0.4129666666666667</v>
      </c>
      <c r="M109" s="1" t="str">
        <f t="shared" si="25"/>
        <v>No Cumple</v>
      </c>
      <c r="N109" s="5">
        <f t="shared" si="26"/>
        <v>0</v>
      </c>
      <c r="O109" s="5">
        <f t="shared" si="33"/>
        <v>50000</v>
      </c>
      <c r="P109" s="4">
        <v>0.95</v>
      </c>
      <c r="Q109" s="5" t="str">
        <f t="shared" si="27"/>
        <v>Cumple</v>
      </c>
      <c r="R109" s="5">
        <f t="shared" si="28"/>
        <v>47500</v>
      </c>
      <c r="S109" s="5">
        <f t="shared" si="34"/>
        <v>50000</v>
      </c>
      <c r="T109" s="4">
        <f>+VLOOKUP(C109,Indicadores!B:V,21,FALSE)</f>
        <v>1</v>
      </c>
      <c r="U109" s="35" t="str">
        <f t="shared" si="29"/>
        <v>Cumple</v>
      </c>
      <c r="V109" s="2">
        <f t="shared" si="30"/>
        <v>50000</v>
      </c>
      <c r="W109" s="5" t="str">
        <f t="shared" si="35"/>
        <v>NO</v>
      </c>
      <c r="X109" s="5">
        <f t="shared" si="31"/>
        <v>0</v>
      </c>
      <c r="Y109" s="1"/>
    </row>
    <row r="110" spans="2:25" x14ac:dyDescent="0.25">
      <c r="B110" s="1" t="s">
        <v>239</v>
      </c>
      <c r="C110" s="1" t="s">
        <v>115</v>
      </c>
      <c r="D110" s="1" t="s">
        <v>243</v>
      </c>
      <c r="E110" s="1" t="s">
        <v>343</v>
      </c>
      <c r="F110" s="2">
        <f t="shared" si="22"/>
        <v>250000</v>
      </c>
      <c r="G110" s="4">
        <f>+VLOOKUP(C110,Indicadores!B:C,2,FALSE)</f>
        <v>0.75952727272727261</v>
      </c>
      <c r="H110" s="1" t="str">
        <f t="shared" si="23"/>
        <v>No Cumple</v>
      </c>
      <c r="I110" s="4">
        <f>+VLOOKUP(C110,Indicadores!B:F,5,FALSE)</f>
        <v>1</v>
      </c>
      <c r="J110" s="1" t="str">
        <f t="shared" si="24"/>
        <v>Cumple</v>
      </c>
      <c r="K110" s="9">
        <f t="shared" si="32"/>
        <v>150000</v>
      </c>
      <c r="L110" s="4">
        <f>+VLOOKUP(C110,Indicadores!B:P,15,FALSE)</f>
        <v>0.36210000000000003</v>
      </c>
      <c r="M110" s="1" t="str">
        <f t="shared" si="25"/>
        <v>No Cumple</v>
      </c>
      <c r="N110" s="5">
        <f t="shared" si="26"/>
        <v>0</v>
      </c>
      <c r="O110" s="5">
        <f t="shared" si="33"/>
        <v>50000</v>
      </c>
      <c r="P110" s="4">
        <v>0.95</v>
      </c>
      <c r="Q110" s="5" t="str">
        <f t="shared" si="27"/>
        <v>Cumple</v>
      </c>
      <c r="R110" s="5">
        <f t="shared" si="28"/>
        <v>47500</v>
      </c>
      <c r="S110" s="5">
        <f t="shared" si="34"/>
        <v>50000</v>
      </c>
      <c r="T110" s="4">
        <f>+VLOOKUP(C110,Indicadores!B:V,21,FALSE)</f>
        <v>0.5</v>
      </c>
      <c r="U110" s="35" t="str">
        <f t="shared" si="29"/>
        <v>No Cumple</v>
      </c>
      <c r="V110" s="2">
        <f t="shared" si="30"/>
        <v>0</v>
      </c>
      <c r="W110" s="5" t="str">
        <f t="shared" si="35"/>
        <v>NO</v>
      </c>
      <c r="X110" s="5">
        <f t="shared" si="31"/>
        <v>0</v>
      </c>
      <c r="Y110" s="1"/>
    </row>
    <row r="111" spans="2:25" x14ac:dyDescent="0.25">
      <c r="B111" s="1" t="s">
        <v>239</v>
      </c>
      <c r="C111" s="1" t="s">
        <v>116</v>
      </c>
      <c r="D111" s="1" t="s">
        <v>243</v>
      </c>
      <c r="E111" s="1" t="s">
        <v>343</v>
      </c>
      <c r="F111" s="2">
        <f t="shared" si="22"/>
        <v>250000</v>
      </c>
      <c r="G111" s="4">
        <f>+VLOOKUP(C111,Indicadores!B:C,2,FALSE)</f>
        <v>0.74268181818181811</v>
      </c>
      <c r="H111" s="1" t="str">
        <f t="shared" si="23"/>
        <v>No Cumple</v>
      </c>
      <c r="I111" s="4">
        <f>+VLOOKUP(C111,Indicadores!B:F,5,FALSE)</f>
        <v>1</v>
      </c>
      <c r="J111" s="1" t="str">
        <f t="shared" si="24"/>
        <v>Cumple</v>
      </c>
      <c r="K111" s="9">
        <f t="shared" si="32"/>
        <v>150000</v>
      </c>
      <c r="L111" s="4">
        <f>+VLOOKUP(C111,Indicadores!B:P,15,FALSE)</f>
        <v>0.48333333333333334</v>
      </c>
      <c r="M111" s="1" t="str">
        <f t="shared" si="25"/>
        <v>No Cumple</v>
      </c>
      <c r="N111" s="5">
        <f t="shared" si="26"/>
        <v>0</v>
      </c>
      <c r="O111" s="5">
        <f t="shared" si="33"/>
        <v>50000</v>
      </c>
      <c r="P111" s="4">
        <v>0.95</v>
      </c>
      <c r="Q111" s="5" t="str">
        <f t="shared" si="27"/>
        <v>Cumple</v>
      </c>
      <c r="R111" s="5">
        <f t="shared" si="28"/>
        <v>47500</v>
      </c>
      <c r="S111" s="5">
        <f t="shared" si="34"/>
        <v>50000</v>
      </c>
      <c r="T111" s="4">
        <f>+VLOOKUP(C111,Indicadores!B:V,21,FALSE)</f>
        <v>0.48304999999999998</v>
      </c>
      <c r="U111" s="35" t="str">
        <f t="shared" si="29"/>
        <v>No Cumple</v>
      </c>
      <c r="V111" s="2">
        <f t="shared" si="30"/>
        <v>0</v>
      </c>
      <c r="W111" s="5" t="str">
        <f t="shared" si="35"/>
        <v>NO</v>
      </c>
      <c r="X111" s="5">
        <f t="shared" si="31"/>
        <v>0</v>
      </c>
      <c r="Y111" s="1"/>
    </row>
    <row r="112" spans="2:25" x14ac:dyDescent="0.25">
      <c r="B112" s="1" t="s">
        <v>239</v>
      </c>
      <c r="C112" s="1" t="s">
        <v>117</v>
      </c>
      <c r="D112" s="1" t="s">
        <v>243</v>
      </c>
      <c r="E112" s="1" t="s">
        <v>343</v>
      </c>
      <c r="F112" s="2">
        <f t="shared" si="22"/>
        <v>250000</v>
      </c>
      <c r="G112" s="4">
        <f>+VLOOKUP(C112,Indicadores!B:C,2,FALSE)</f>
        <v>0.76329999999999998</v>
      </c>
      <c r="H112" s="1" t="str">
        <f t="shared" si="23"/>
        <v>No Cumple</v>
      </c>
      <c r="I112" s="4">
        <f>+VLOOKUP(C112,Indicadores!B:F,5,FALSE)</f>
        <v>0.8</v>
      </c>
      <c r="J112" s="1" t="str">
        <f t="shared" si="24"/>
        <v>No Cumple</v>
      </c>
      <c r="K112" s="9">
        <f t="shared" si="32"/>
        <v>150000</v>
      </c>
      <c r="L112" s="4">
        <f>+VLOOKUP(C112,Indicadores!B:P,15,FALSE)</f>
        <v>0.33333333333333331</v>
      </c>
      <c r="M112" s="1" t="str">
        <f t="shared" si="25"/>
        <v>No Cumple</v>
      </c>
      <c r="N112" s="5">
        <f t="shared" si="26"/>
        <v>0</v>
      </c>
      <c r="O112" s="5">
        <f t="shared" si="33"/>
        <v>50000</v>
      </c>
      <c r="P112" s="4">
        <v>0.95</v>
      </c>
      <c r="Q112" s="5" t="str">
        <f t="shared" si="27"/>
        <v>Cumple</v>
      </c>
      <c r="R112" s="5">
        <f t="shared" si="28"/>
        <v>47500</v>
      </c>
      <c r="S112" s="5">
        <f t="shared" si="34"/>
        <v>50000</v>
      </c>
      <c r="T112" s="4">
        <f>+VLOOKUP(C112,Indicadores!B:V,21,FALSE)</f>
        <v>1</v>
      </c>
      <c r="U112" s="35" t="str">
        <f t="shared" si="29"/>
        <v>Cumple</v>
      </c>
      <c r="V112" s="2">
        <f t="shared" si="30"/>
        <v>50000</v>
      </c>
      <c r="W112" s="5" t="str">
        <f t="shared" si="35"/>
        <v>NO</v>
      </c>
      <c r="X112" s="5">
        <f t="shared" si="31"/>
        <v>0</v>
      </c>
      <c r="Y112" s="1"/>
    </row>
    <row r="113" spans="2:25" x14ac:dyDescent="0.25">
      <c r="B113" s="1" t="s">
        <v>239</v>
      </c>
      <c r="C113" s="1" t="s">
        <v>118</v>
      </c>
      <c r="D113" s="1" t="s">
        <v>243</v>
      </c>
      <c r="E113" s="1" t="s">
        <v>343</v>
      </c>
      <c r="F113" s="2">
        <f t="shared" si="22"/>
        <v>250000</v>
      </c>
      <c r="G113" s="4">
        <f>+VLOOKUP(C113,Indicadores!B:C,2,FALSE)</f>
        <v>0.48588181818181814</v>
      </c>
      <c r="H113" s="1" t="str">
        <f t="shared" si="23"/>
        <v>No Cumple</v>
      </c>
      <c r="I113" s="4">
        <f>+VLOOKUP(C113,Indicadores!B:F,5,FALSE)</f>
        <v>0.6</v>
      </c>
      <c r="J113" s="1" t="str">
        <f t="shared" si="24"/>
        <v>No Cumple</v>
      </c>
      <c r="K113" s="9">
        <f t="shared" si="32"/>
        <v>150000</v>
      </c>
      <c r="L113" s="4">
        <f>+VLOOKUP(C113,Indicadores!B:P,15,FALSE)</f>
        <v>0.47746666666666665</v>
      </c>
      <c r="M113" s="1" t="str">
        <f t="shared" si="25"/>
        <v>No Cumple</v>
      </c>
      <c r="N113" s="5">
        <f t="shared" si="26"/>
        <v>0</v>
      </c>
      <c r="O113" s="5">
        <f t="shared" si="33"/>
        <v>50000</v>
      </c>
      <c r="P113" s="4">
        <v>0.95</v>
      </c>
      <c r="Q113" s="5" t="str">
        <f t="shared" si="27"/>
        <v>Cumple</v>
      </c>
      <c r="R113" s="5">
        <f t="shared" si="28"/>
        <v>47500</v>
      </c>
      <c r="S113" s="5">
        <f t="shared" si="34"/>
        <v>50000</v>
      </c>
      <c r="T113" s="4">
        <f>+VLOOKUP(C113,Indicadores!B:V,21,FALSE)</f>
        <v>0.58620000000000005</v>
      </c>
      <c r="U113" s="35" t="str">
        <f t="shared" si="29"/>
        <v>No Cumple</v>
      </c>
      <c r="V113" s="2">
        <f t="shared" si="30"/>
        <v>0</v>
      </c>
      <c r="W113" s="5" t="str">
        <f t="shared" si="35"/>
        <v>NO</v>
      </c>
      <c r="X113" s="5">
        <f t="shared" si="31"/>
        <v>0</v>
      </c>
      <c r="Y113" s="1"/>
    </row>
    <row r="114" spans="2:25" x14ac:dyDescent="0.25">
      <c r="B114" s="1" t="s">
        <v>239</v>
      </c>
      <c r="C114" s="1" t="s">
        <v>119</v>
      </c>
      <c r="D114" s="1" t="s">
        <v>243</v>
      </c>
      <c r="E114" s="1" t="s">
        <v>343</v>
      </c>
      <c r="F114" s="2">
        <f t="shared" si="22"/>
        <v>250000</v>
      </c>
      <c r="G114" s="4">
        <f>+VLOOKUP(C114,Indicadores!B:C,2,FALSE)</f>
        <v>0.73012727272727274</v>
      </c>
      <c r="H114" s="1" t="str">
        <f t="shared" si="23"/>
        <v>No Cumple</v>
      </c>
      <c r="I114" s="4">
        <f>+VLOOKUP(C114,Indicadores!B:F,5,FALSE)</f>
        <v>1</v>
      </c>
      <c r="J114" s="1" t="str">
        <f t="shared" si="24"/>
        <v>Cumple</v>
      </c>
      <c r="K114" s="9">
        <f t="shared" si="32"/>
        <v>150000</v>
      </c>
      <c r="L114" s="4">
        <f>+VLOOKUP(C114,Indicadores!B:P,15,FALSE)</f>
        <v>0.3404666666666667</v>
      </c>
      <c r="M114" s="1" t="str">
        <f t="shared" si="25"/>
        <v>No Cumple</v>
      </c>
      <c r="N114" s="5">
        <f t="shared" si="26"/>
        <v>0</v>
      </c>
      <c r="O114" s="5">
        <f t="shared" si="33"/>
        <v>50000</v>
      </c>
      <c r="P114" s="4">
        <v>0.95</v>
      </c>
      <c r="Q114" s="5" t="str">
        <f t="shared" si="27"/>
        <v>Cumple</v>
      </c>
      <c r="R114" s="5">
        <f t="shared" si="28"/>
        <v>47500</v>
      </c>
      <c r="S114" s="5">
        <f t="shared" si="34"/>
        <v>50000</v>
      </c>
      <c r="T114" s="4">
        <f>+VLOOKUP(C114,Indicadores!B:V,21,FALSE)</f>
        <v>0.98440000000000005</v>
      </c>
      <c r="U114" s="35" t="str">
        <f t="shared" si="29"/>
        <v>No Cumple</v>
      </c>
      <c r="V114" s="2">
        <f t="shared" si="30"/>
        <v>0</v>
      </c>
      <c r="W114" s="5" t="str">
        <f t="shared" si="35"/>
        <v>NO</v>
      </c>
      <c r="X114" s="5">
        <f t="shared" si="31"/>
        <v>0</v>
      </c>
      <c r="Y114" s="8"/>
    </row>
    <row r="115" spans="2:25" x14ac:dyDescent="0.25">
      <c r="B115" s="1" t="s">
        <v>239</v>
      </c>
      <c r="C115" s="1" t="s">
        <v>120</v>
      </c>
      <c r="D115" s="1" t="s">
        <v>243</v>
      </c>
      <c r="E115" s="1" t="s">
        <v>343</v>
      </c>
      <c r="F115" s="2">
        <f t="shared" si="22"/>
        <v>250000</v>
      </c>
      <c r="G115" s="4">
        <f>+VLOOKUP(C115,Indicadores!B:C,2,FALSE)</f>
        <v>0.76107272727272735</v>
      </c>
      <c r="H115" s="1" t="str">
        <f t="shared" si="23"/>
        <v>No Cumple</v>
      </c>
      <c r="I115" s="4">
        <f>+VLOOKUP(C115,Indicadores!B:F,5,FALSE)</f>
        <v>0.88888888888888884</v>
      </c>
      <c r="J115" s="1" t="str">
        <f t="shared" si="24"/>
        <v>No Cumple</v>
      </c>
      <c r="K115" s="9">
        <f t="shared" si="32"/>
        <v>150000</v>
      </c>
      <c r="L115" s="4">
        <f>+VLOOKUP(C115,Indicadores!B:P,15,FALSE)</f>
        <v>0.52253333333333341</v>
      </c>
      <c r="M115" s="1" t="str">
        <f t="shared" si="25"/>
        <v>No Cumple</v>
      </c>
      <c r="N115" s="5">
        <f t="shared" si="26"/>
        <v>0</v>
      </c>
      <c r="O115" s="5">
        <f t="shared" si="33"/>
        <v>50000</v>
      </c>
      <c r="P115" s="4">
        <v>0.95</v>
      </c>
      <c r="Q115" s="5" t="str">
        <f t="shared" si="27"/>
        <v>Cumple</v>
      </c>
      <c r="R115" s="5">
        <f t="shared" si="28"/>
        <v>47500</v>
      </c>
      <c r="S115" s="5">
        <f t="shared" si="34"/>
        <v>50000</v>
      </c>
      <c r="T115" s="4">
        <f>+VLOOKUP(C115,Indicadores!B:V,21,FALSE)</f>
        <v>0.97670000000000001</v>
      </c>
      <c r="U115" s="35" t="str">
        <f t="shared" si="29"/>
        <v>No Cumple</v>
      </c>
      <c r="V115" s="2">
        <f t="shared" si="30"/>
        <v>0</v>
      </c>
      <c r="W115" s="5" t="str">
        <f t="shared" si="35"/>
        <v>NO</v>
      </c>
      <c r="X115" s="5">
        <f t="shared" si="31"/>
        <v>0</v>
      </c>
      <c r="Y115" s="1"/>
    </row>
    <row r="116" spans="2:25" x14ac:dyDescent="0.25">
      <c r="B116" s="1" t="s">
        <v>239</v>
      </c>
      <c r="C116" s="1" t="s">
        <v>121</v>
      </c>
      <c r="D116" s="1" t="s">
        <v>243</v>
      </c>
      <c r="E116" s="1" t="s">
        <v>343</v>
      </c>
      <c r="F116" s="2">
        <f t="shared" si="22"/>
        <v>250000</v>
      </c>
      <c r="G116" s="4">
        <f>+VLOOKUP(C116,Indicadores!B:C,2,FALSE)</f>
        <v>0.81439090909090905</v>
      </c>
      <c r="H116" s="1" t="str">
        <f t="shared" si="23"/>
        <v>No Cumple</v>
      </c>
      <c r="I116" s="4">
        <f>+VLOOKUP(C116,Indicadores!B:F,5,FALSE)</f>
        <v>0.83333333333333337</v>
      </c>
      <c r="J116" s="1" t="str">
        <f t="shared" si="24"/>
        <v>No Cumple</v>
      </c>
      <c r="K116" s="9">
        <f t="shared" si="32"/>
        <v>150000</v>
      </c>
      <c r="L116" s="4">
        <f>+VLOOKUP(C116,Indicadores!B:P,15,FALSE)</f>
        <v>0.41310000000000002</v>
      </c>
      <c r="M116" s="1" t="str">
        <f t="shared" si="25"/>
        <v>No Cumple</v>
      </c>
      <c r="N116" s="5">
        <f t="shared" si="26"/>
        <v>0</v>
      </c>
      <c r="O116" s="5">
        <f t="shared" si="33"/>
        <v>50000</v>
      </c>
      <c r="P116" s="4">
        <v>0.95</v>
      </c>
      <c r="Q116" s="5" t="str">
        <f t="shared" si="27"/>
        <v>Cumple</v>
      </c>
      <c r="R116" s="5">
        <f t="shared" si="28"/>
        <v>47500</v>
      </c>
      <c r="S116" s="5">
        <f t="shared" si="34"/>
        <v>50000</v>
      </c>
      <c r="T116" s="4">
        <f>+VLOOKUP(C116,Indicadores!B:V,21,FALSE)</f>
        <v>0.5</v>
      </c>
      <c r="U116" s="35" t="str">
        <f t="shared" si="29"/>
        <v>No Cumple</v>
      </c>
      <c r="V116" s="2">
        <f t="shared" si="30"/>
        <v>0</v>
      </c>
      <c r="W116" s="5" t="str">
        <f t="shared" si="35"/>
        <v>NO</v>
      </c>
      <c r="X116" s="5">
        <f t="shared" si="31"/>
        <v>0</v>
      </c>
      <c r="Y116" s="1"/>
    </row>
    <row r="117" spans="2:25" x14ac:dyDescent="0.25">
      <c r="B117" s="1" t="s">
        <v>239</v>
      </c>
      <c r="C117" s="1" t="s">
        <v>122</v>
      </c>
      <c r="D117" s="1" t="s">
        <v>243</v>
      </c>
      <c r="E117" s="1" t="s">
        <v>343</v>
      </c>
      <c r="F117" s="2">
        <f t="shared" si="22"/>
        <v>250000</v>
      </c>
      <c r="G117" s="4">
        <f>+VLOOKUP(C117,Indicadores!B:C,2,FALSE)</f>
        <v>0.81191818181818176</v>
      </c>
      <c r="H117" s="1" t="str">
        <f t="shared" si="23"/>
        <v>No Cumple</v>
      </c>
      <c r="I117" s="4">
        <f>+VLOOKUP(C117,Indicadores!B:F,5,FALSE)</f>
        <v>1</v>
      </c>
      <c r="J117" s="1" t="str">
        <f t="shared" si="24"/>
        <v>Cumple</v>
      </c>
      <c r="K117" s="9">
        <f t="shared" si="32"/>
        <v>150000</v>
      </c>
      <c r="L117" s="4">
        <f>+VLOOKUP(C117,Indicadores!B:P,15,FALSE)</f>
        <v>0.46429999999999999</v>
      </c>
      <c r="M117" s="1" t="str">
        <f t="shared" si="25"/>
        <v>No Cumple</v>
      </c>
      <c r="N117" s="5">
        <f t="shared" si="26"/>
        <v>0</v>
      </c>
      <c r="O117" s="5">
        <f t="shared" si="33"/>
        <v>50000</v>
      </c>
      <c r="P117" s="4">
        <v>0.95</v>
      </c>
      <c r="Q117" s="5" t="str">
        <f t="shared" si="27"/>
        <v>Cumple</v>
      </c>
      <c r="R117" s="5">
        <f t="shared" si="28"/>
        <v>47500</v>
      </c>
      <c r="S117" s="5">
        <f t="shared" si="34"/>
        <v>50000</v>
      </c>
      <c r="T117" s="4">
        <f>+VLOOKUP(C117,Indicadores!B:V,21,FALSE)</f>
        <v>1</v>
      </c>
      <c r="U117" s="35" t="str">
        <f t="shared" si="29"/>
        <v>Cumple</v>
      </c>
      <c r="V117" s="2">
        <f t="shared" si="30"/>
        <v>50000</v>
      </c>
      <c r="W117" s="5" t="str">
        <f t="shared" si="35"/>
        <v>NO</v>
      </c>
      <c r="X117" s="5">
        <f t="shared" si="31"/>
        <v>0</v>
      </c>
      <c r="Y117" s="1"/>
    </row>
    <row r="118" spans="2:25" x14ac:dyDescent="0.25">
      <c r="B118" s="1" t="s">
        <v>239</v>
      </c>
      <c r="C118" s="1" t="s">
        <v>123</v>
      </c>
      <c r="D118" s="1" t="s">
        <v>243</v>
      </c>
      <c r="E118" s="1" t="s">
        <v>343</v>
      </c>
      <c r="F118" s="2">
        <f t="shared" si="22"/>
        <v>250000</v>
      </c>
      <c r="G118" s="4">
        <f>+VLOOKUP(C118,Indicadores!B:C,2,FALSE)</f>
        <v>0.75828181818181806</v>
      </c>
      <c r="H118" s="1" t="str">
        <f t="shared" si="23"/>
        <v>No Cumple</v>
      </c>
      <c r="I118" s="4">
        <f>+VLOOKUP(C118,Indicadores!B:F,5,FALSE)</f>
        <v>1</v>
      </c>
      <c r="J118" s="1" t="str">
        <f t="shared" si="24"/>
        <v>Cumple</v>
      </c>
      <c r="K118" s="9">
        <f t="shared" si="32"/>
        <v>150000</v>
      </c>
      <c r="L118" s="4">
        <f>+VLOOKUP(C118,Indicadores!B:P,15,FALSE)</f>
        <v>0.3358666666666667</v>
      </c>
      <c r="M118" s="1" t="str">
        <f t="shared" si="25"/>
        <v>No Cumple</v>
      </c>
      <c r="N118" s="5">
        <f t="shared" si="26"/>
        <v>0</v>
      </c>
      <c r="O118" s="5">
        <f t="shared" si="33"/>
        <v>50000</v>
      </c>
      <c r="P118" s="4">
        <v>0.95</v>
      </c>
      <c r="Q118" s="5" t="str">
        <f t="shared" si="27"/>
        <v>Cumple</v>
      </c>
      <c r="R118" s="5">
        <f t="shared" si="28"/>
        <v>47500</v>
      </c>
      <c r="S118" s="5">
        <f t="shared" si="34"/>
        <v>50000</v>
      </c>
      <c r="T118" s="4">
        <f>+VLOOKUP(C118,Indicadores!B:V,21,FALSE)</f>
        <v>0.97729999999999995</v>
      </c>
      <c r="U118" s="35" t="str">
        <f t="shared" si="29"/>
        <v>No Cumple</v>
      </c>
      <c r="V118" s="2">
        <f t="shared" si="30"/>
        <v>0</v>
      </c>
      <c r="W118" s="5" t="str">
        <f t="shared" si="35"/>
        <v>NO</v>
      </c>
      <c r="X118" s="5">
        <f t="shared" si="31"/>
        <v>0</v>
      </c>
      <c r="Y118" s="1"/>
    </row>
    <row r="119" spans="2:25" x14ac:dyDescent="0.25">
      <c r="B119" s="1" t="s">
        <v>233</v>
      </c>
      <c r="C119" s="1" t="s">
        <v>124</v>
      </c>
      <c r="D119" s="1" t="s">
        <v>241</v>
      </c>
      <c r="E119" s="1" t="s">
        <v>338</v>
      </c>
      <c r="F119" s="2">
        <f t="shared" si="22"/>
        <v>250000</v>
      </c>
      <c r="G119" s="4">
        <f>+VLOOKUP(C119,Indicadores!B:C,2,FALSE)</f>
        <v>0.77711818181818171</v>
      </c>
      <c r="H119" s="1" t="str">
        <f t="shared" si="23"/>
        <v>No Cumple</v>
      </c>
      <c r="I119" s="4">
        <f>+VLOOKUP(C119,Indicadores!B:F,5,FALSE)</f>
        <v>1</v>
      </c>
      <c r="J119" s="1" t="str">
        <f t="shared" si="24"/>
        <v>Cumple</v>
      </c>
      <c r="K119" s="9">
        <f t="shared" si="32"/>
        <v>150000</v>
      </c>
      <c r="L119" s="4">
        <f>+VLOOKUP(C119,Indicadores!B:P,15,FALSE)</f>
        <v>0.59856666666666669</v>
      </c>
      <c r="M119" s="1" t="str">
        <f t="shared" si="25"/>
        <v>No Cumple</v>
      </c>
      <c r="N119" s="5">
        <f t="shared" si="26"/>
        <v>0</v>
      </c>
      <c r="O119" s="5">
        <f t="shared" si="33"/>
        <v>50000</v>
      </c>
      <c r="P119" s="4">
        <v>0.95</v>
      </c>
      <c r="Q119" s="5" t="str">
        <f t="shared" si="27"/>
        <v>Cumple</v>
      </c>
      <c r="R119" s="5">
        <f t="shared" si="28"/>
        <v>47500</v>
      </c>
      <c r="S119" s="5">
        <f t="shared" si="34"/>
        <v>50000</v>
      </c>
      <c r="T119" s="4">
        <f>+VLOOKUP(C119,Indicadores!B:V,21,FALSE)</f>
        <v>0.5</v>
      </c>
      <c r="U119" s="35" t="str">
        <f t="shared" si="29"/>
        <v>No Cumple</v>
      </c>
      <c r="V119" s="2">
        <f t="shared" si="30"/>
        <v>0</v>
      </c>
      <c r="W119" s="5" t="str">
        <f t="shared" si="35"/>
        <v>NO</v>
      </c>
      <c r="X119" s="5">
        <f t="shared" si="31"/>
        <v>0</v>
      </c>
      <c r="Y119" s="1"/>
    </row>
    <row r="120" spans="2:25" x14ac:dyDescent="0.25">
      <c r="B120" s="1" t="s">
        <v>233</v>
      </c>
      <c r="C120" s="1" t="s">
        <v>125</v>
      </c>
      <c r="D120" s="1" t="s">
        <v>241</v>
      </c>
      <c r="E120" s="1" t="s">
        <v>338</v>
      </c>
      <c r="F120" s="2">
        <f t="shared" si="22"/>
        <v>250000</v>
      </c>
      <c r="G120" s="4">
        <f>+VLOOKUP(C120,Indicadores!B:C,2,FALSE)</f>
        <v>0.82110909090909101</v>
      </c>
      <c r="H120" s="1" t="str">
        <f t="shared" si="23"/>
        <v>No Cumple</v>
      </c>
      <c r="I120" s="4">
        <f>+VLOOKUP(C120,Indicadores!B:F,5,FALSE)</f>
        <v>1</v>
      </c>
      <c r="J120" s="1" t="str">
        <f t="shared" si="24"/>
        <v>Cumple</v>
      </c>
      <c r="K120" s="9">
        <f t="shared" si="32"/>
        <v>150000</v>
      </c>
      <c r="L120" s="4">
        <f>+VLOOKUP(C120,Indicadores!B:P,15,FALSE)</f>
        <v>0.7161333333333334</v>
      </c>
      <c r="M120" s="1" t="str">
        <f t="shared" si="25"/>
        <v>No Cumple</v>
      </c>
      <c r="N120" s="5">
        <f t="shared" si="26"/>
        <v>0</v>
      </c>
      <c r="O120" s="5">
        <f t="shared" si="33"/>
        <v>50000</v>
      </c>
      <c r="P120" s="4">
        <v>0.95</v>
      </c>
      <c r="Q120" s="5" t="str">
        <f t="shared" si="27"/>
        <v>Cumple</v>
      </c>
      <c r="R120" s="5">
        <f t="shared" si="28"/>
        <v>47500</v>
      </c>
      <c r="S120" s="5">
        <f t="shared" si="34"/>
        <v>50000</v>
      </c>
      <c r="T120" s="4">
        <f>+VLOOKUP(C120,Indicadores!B:V,21,FALSE)</f>
        <v>0.5</v>
      </c>
      <c r="U120" s="35" t="str">
        <f t="shared" si="29"/>
        <v>No Cumple</v>
      </c>
      <c r="V120" s="2">
        <f t="shared" si="30"/>
        <v>0</v>
      </c>
      <c r="W120" s="5" t="str">
        <f t="shared" si="35"/>
        <v>NO</v>
      </c>
      <c r="X120" s="5">
        <f t="shared" si="31"/>
        <v>0</v>
      </c>
      <c r="Y120" s="1"/>
    </row>
    <row r="121" spans="2:25" x14ac:dyDescent="0.25">
      <c r="B121" s="1" t="s">
        <v>233</v>
      </c>
      <c r="C121" s="1" t="s">
        <v>126</v>
      </c>
      <c r="D121" s="1" t="s">
        <v>241</v>
      </c>
      <c r="E121" s="1" t="s">
        <v>338</v>
      </c>
      <c r="F121" s="2">
        <f t="shared" si="22"/>
        <v>250000</v>
      </c>
      <c r="G121" s="4">
        <f>+VLOOKUP(C121,Indicadores!B:C,2,FALSE)</f>
        <v>0.7461363636363636</v>
      </c>
      <c r="H121" s="1" t="str">
        <f t="shared" si="23"/>
        <v>No Cumple</v>
      </c>
      <c r="I121" s="4">
        <f>+VLOOKUP(C121,Indicadores!B:F,5,FALSE)</f>
        <v>1</v>
      </c>
      <c r="J121" s="1" t="str">
        <f t="shared" si="24"/>
        <v>Cumple</v>
      </c>
      <c r="K121" s="9">
        <f t="shared" si="32"/>
        <v>150000</v>
      </c>
      <c r="L121" s="4">
        <f>+VLOOKUP(C121,Indicadores!B:P,15,FALSE)</f>
        <v>0.68493333333333328</v>
      </c>
      <c r="M121" s="1" t="str">
        <f t="shared" si="25"/>
        <v>No Cumple</v>
      </c>
      <c r="N121" s="5">
        <f t="shared" si="26"/>
        <v>0</v>
      </c>
      <c r="O121" s="5">
        <f t="shared" si="33"/>
        <v>50000</v>
      </c>
      <c r="P121" s="4">
        <v>0.95</v>
      </c>
      <c r="Q121" s="5" t="str">
        <f t="shared" si="27"/>
        <v>Cumple</v>
      </c>
      <c r="R121" s="5">
        <f t="shared" si="28"/>
        <v>47500</v>
      </c>
      <c r="S121" s="5">
        <f t="shared" si="34"/>
        <v>50000</v>
      </c>
      <c r="T121" s="4">
        <f>+VLOOKUP(C121,Indicadores!B:V,21,FALSE)</f>
        <v>0.93504999999999994</v>
      </c>
      <c r="U121" s="35" t="str">
        <f t="shared" si="29"/>
        <v>No Cumple</v>
      </c>
      <c r="V121" s="2">
        <f t="shared" si="30"/>
        <v>0</v>
      </c>
      <c r="W121" s="5" t="str">
        <f t="shared" si="35"/>
        <v>NO</v>
      </c>
      <c r="X121" s="5">
        <f t="shared" si="31"/>
        <v>0</v>
      </c>
      <c r="Y121" s="1"/>
    </row>
    <row r="122" spans="2:25" x14ac:dyDescent="0.25">
      <c r="B122" s="1" t="s">
        <v>233</v>
      </c>
      <c r="C122" s="1" t="s">
        <v>127</v>
      </c>
      <c r="D122" s="1" t="s">
        <v>241</v>
      </c>
      <c r="E122" s="1" t="s">
        <v>338</v>
      </c>
      <c r="F122" s="2">
        <f t="shared" si="22"/>
        <v>250000</v>
      </c>
      <c r="G122" s="4">
        <f>+VLOOKUP(C122,Indicadores!B:C,2,FALSE)</f>
        <v>0.80471818181818189</v>
      </c>
      <c r="H122" s="1" t="str">
        <f t="shared" si="23"/>
        <v>No Cumple</v>
      </c>
      <c r="I122" s="4">
        <f>+VLOOKUP(C122,Indicadores!B:F,5,FALSE)</f>
        <v>1</v>
      </c>
      <c r="J122" s="1" t="str">
        <f t="shared" si="24"/>
        <v>Cumple</v>
      </c>
      <c r="K122" s="9">
        <f t="shared" si="32"/>
        <v>150000</v>
      </c>
      <c r="L122" s="4">
        <f>+VLOOKUP(C122,Indicadores!B:P,15,FALSE)</f>
        <v>0.35803333333333337</v>
      </c>
      <c r="M122" s="1" t="str">
        <f t="shared" si="25"/>
        <v>No Cumple</v>
      </c>
      <c r="N122" s="5">
        <f t="shared" si="26"/>
        <v>0</v>
      </c>
      <c r="O122" s="5">
        <f t="shared" si="33"/>
        <v>50000</v>
      </c>
      <c r="P122" s="4">
        <v>0.95</v>
      </c>
      <c r="Q122" s="5" t="str">
        <f t="shared" si="27"/>
        <v>Cumple</v>
      </c>
      <c r="R122" s="5">
        <f t="shared" si="28"/>
        <v>47500</v>
      </c>
      <c r="S122" s="5">
        <f t="shared" si="34"/>
        <v>50000</v>
      </c>
      <c r="T122" s="4">
        <f>+VLOOKUP(C122,Indicadores!B:V,21,FALSE)</f>
        <v>1</v>
      </c>
      <c r="U122" s="35" t="str">
        <f t="shared" si="29"/>
        <v>Cumple</v>
      </c>
      <c r="V122" s="2">
        <f t="shared" si="30"/>
        <v>50000</v>
      </c>
      <c r="W122" s="5" t="str">
        <f t="shared" si="35"/>
        <v>NO</v>
      </c>
      <c r="X122" s="5">
        <f t="shared" si="31"/>
        <v>0</v>
      </c>
      <c r="Y122" s="1"/>
    </row>
    <row r="123" spans="2:25" x14ac:dyDescent="0.25">
      <c r="B123" s="1" t="s">
        <v>233</v>
      </c>
      <c r="C123" s="1" t="s">
        <v>128</v>
      </c>
      <c r="D123" s="1" t="s">
        <v>241</v>
      </c>
      <c r="E123" s="1" t="s">
        <v>338</v>
      </c>
      <c r="F123" s="2">
        <f t="shared" si="22"/>
        <v>250000</v>
      </c>
      <c r="G123" s="4">
        <f>+VLOOKUP(C123,Indicadores!B:C,2,FALSE)</f>
        <v>0.8561727272727272</v>
      </c>
      <c r="H123" s="1" t="str">
        <f t="shared" si="23"/>
        <v>No Cumple</v>
      </c>
      <c r="I123" s="4">
        <f>+VLOOKUP(C123,Indicadores!B:F,5,FALSE)</f>
        <v>1</v>
      </c>
      <c r="J123" s="1" t="str">
        <f t="shared" si="24"/>
        <v>Cumple</v>
      </c>
      <c r="K123" s="9">
        <f t="shared" si="32"/>
        <v>150000</v>
      </c>
      <c r="L123" s="4">
        <f>+VLOOKUP(C123,Indicadores!B:P,15,FALSE)</f>
        <v>0.65063333333333329</v>
      </c>
      <c r="M123" s="1" t="str">
        <f t="shared" si="25"/>
        <v>No Cumple</v>
      </c>
      <c r="N123" s="5">
        <f t="shared" si="26"/>
        <v>0</v>
      </c>
      <c r="O123" s="5">
        <f t="shared" si="33"/>
        <v>50000</v>
      </c>
      <c r="P123" s="4">
        <v>0.95</v>
      </c>
      <c r="Q123" s="5" t="str">
        <f t="shared" si="27"/>
        <v>Cumple</v>
      </c>
      <c r="R123" s="5">
        <f t="shared" si="28"/>
        <v>47500</v>
      </c>
      <c r="S123" s="5">
        <f t="shared" si="34"/>
        <v>50000</v>
      </c>
      <c r="T123" s="4">
        <f>+VLOOKUP(C123,Indicadores!B:V,21,FALSE)</f>
        <v>1</v>
      </c>
      <c r="U123" s="35" t="str">
        <f t="shared" si="29"/>
        <v>Cumple</v>
      </c>
      <c r="V123" s="2">
        <f t="shared" si="30"/>
        <v>50000</v>
      </c>
      <c r="W123" s="5" t="str">
        <f t="shared" si="35"/>
        <v>NO</v>
      </c>
      <c r="X123" s="5">
        <f t="shared" si="31"/>
        <v>0</v>
      </c>
      <c r="Y123" s="1"/>
    </row>
    <row r="124" spans="2:25" x14ac:dyDescent="0.25">
      <c r="B124" s="1" t="s">
        <v>233</v>
      </c>
      <c r="C124" s="1" t="s">
        <v>129</v>
      </c>
      <c r="D124" s="1" t="s">
        <v>241</v>
      </c>
      <c r="E124" s="1" t="s">
        <v>338</v>
      </c>
      <c r="F124" s="2">
        <f t="shared" si="22"/>
        <v>250000</v>
      </c>
      <c r="G124" s="4">
        <f>+VLOOKUP(C124,Indicadores!B:C,2,FALSE)</f>
        <v>0.75589090909090906</v>
      </c>
      <c r="H124" s="1" t="str">
        <f t="shared" si="23"/>
        <v>No Cumple</v>
      </c>
      <c r="I124" s="4">
        <f>+VLOOKUP(C124,Indicadores!B:F,5,FALSE)</f>
        <v>1</v>
      </c>
      <c r="J124" s="1" t="str">
        <f t="shared" si="24"/>
        <v>Cumple</v>
      </c>
      <c r="K124" s="9">
        <f t="shared" si="32"/>
        <v>150000</v>
      </c>
      <c r="L124" s="4">
        <f>+VLOOKUP(C124,Indicadores!B:P,15,FALSE)</f>
        <v>0.49806666666666666</v>
      </c>
      <c r="M124" s="1" t="str">
        <f t="shared" si="25"/>
        <v>No Cumple</v>
      </c>
      <c r="N124" s="5">
        <f t="shared" si="26"/>
        <v>0</v>
      </c>
      <c r="O124" s="5">
        <f t="shared" si="33"/>
        <v>50000</v>
      </c>
      <c r="P124" s="4">
        <v>0.95</v>
      </c>
      <c r="Q124" s="5" t="str">
        <f t="shared" si="27"/>
        <v>Cumple</v>
      </c>
      <c r="R124" s="5">
        <f t="shared" si="28"/>
        <v>47500</v>
      </c>
      <c r="S124" s="5">
        <f t="shared" si="34"/>
        <v>50000</v>
      </c>
      <c r="T124" s="4">
        <f>+VLOOKUP(C124,Indicadores!B:V,21,FALSE)</f>
        <v>0.98609999999999998</v>
      </c>
      <c r="U124" s="35" t="str">
        <f t="shared" si="29"/>
        <v>No Cumple</v>
      </c>
      <c r="V124" s="2">
        <f t="shared" si="30"/>
        <v>0</v>
      </c>
      <c r="W124" s="5" t="str">
        <f t="shared" si="35"/>
        <v>NO</v>
      </c>
      <c r="X124" s="5">
        <f t="shared" si="31"/>
        <v>0</v>
      </c>
      <c r="Y124" s="1"/>
    </row>
    <row r="125" spans="2:25" x14ac:dyDescent="0.25">
      <c r="B125" s="1" t="s">
        <v>233</v>
      </c>
      <c r="C125" s="1" t="s">
        <v>130</v>
      </c>
      <c r="D125" s="1" t="s">
        <v>241</v>
      </c>
      <c r="E125" s="1" t="s">
        <v>338</v>
      </c>
      <c r="F125" s="2">
        <f t="shared" si="22"/>
        <v>250000</v>
      </c>
      <c r="G125" s="4">
        <f>+VLOOKUP(C125,Indicadores!B:C,2,FALSE)</f>
        <v>0.75394545454545459</v>
      </c>
      <c r="H125" s="1" t="str">
        <f t="shared" si="23"/>
        <v>No Cumple</v>
      </c>
      <c r="I125" s="4">
        <f>+VLOOKUP(C125,Indicadores!B:F,5,FALSE)</f>
        <v>1</v>
      </c>
      <c r="J125" s="1" t="str">
        <f t="shared" si="24"/>
        <v>Cumple</v>
      </c>
      <c r="K125" s="9">
        <f t="shared" si="32"/>
        <v>150000</v>
      </c>
      <c r="L125" s="4">
        <f>+VLOOKUP(C125,Indicadores!B:P,15,FALSE)</f>
        <v>0.63406666666666667</v>
      </c>
      <c r="M125" s="1" t="str">
        <f t="shared" si="25"/>
        <v>No Cumple</v>
      </c>
      <c r="N125" s="5">
        <f t="shared" si="26"/>
        <v>0</v>
      </c>
      <c r="O125" s="5">
        <f t="shared" si="33"/>
        <v>50000</v>
      </c>
      <c r="P125" s="4">
        <v>0.95</v>
      </c>
      <c r="Q125" s="5" t="str">
        <f t="shared" si="27"/>
        <v>Cumple</v>
      </c>
      <c r="R125" s="5">
        <f t="shared" si="28"/>
        <v>47500</v>
      </c>
      <c r="S125" s="5">
        <f t="shared" si="34"/>
        <v>50000</v>
      </c>
      <c r="T125" s="4">
        <f>+VLOOKUP(C125,Indicadores!B:V,21,FALSE)</f>
        <v>0.99334999999999996</v>
      </c>
      <c r="U125" s="35" t="str">
        <f t="shared" si="29"/>
        <v>No Cumple</v>
      </c>
      <c r="V125" s="2">
        <f t="shared" si="30"/>
        <v>0</v>
      </c>
      <c r="W125" s="5" t="str">
        <f t="shared" si="35"/>
        <v>NO</v>
      </c>
      <c r="X125" s="5">
        <f t="shared" si="31"/>
        <v>0</v>
      </c>
      <c r="Y125" s="1"/>
    </row>
    <row r="126" spans="2:25" x14ac:dyDescent="0.25">
      <c r="B126" s="1" t="s">
        <v>233</v>
      </c>
      <c r="C126" s="1" t="s">
        <v>131</v>
      </c>
      <c r="D126" s="1" t="s">
        <v>241</v>
      </c>
      <c r="E126" s="1" t="s">
        <v>338</v>
      </c>
      <c r="F126" s="2">
        <f t="shared" si="22"/>
        <v>250000</v>
      </c>
      <c r="G126" s="4">
        <f>+VLOOKUP(C126,Indicadores!B:C,2,FALSE)</f>
        <v>0.77742727272727274</v>
      </c>
      <c r="H126" s="1" t="str">
        <f t="shared" si="23"/>
        <v>No Cumple</v>
      </c>
      <c r="I126" s="4">
        <f>+VLOOKUP(C126,Indicadores!B:F,5,FALSE)</f>
        <v>1</v>
      </c>
      <c r="J126" s="1" t="str">
        <f t="shared" si="24"/>
        <v>Cumple</v>
      </c>
      <c r="K126" s="9">
        <f t="shared" si="32"/>
        <v>150000</v>
      </c>
      <c r="L126" s="4">
        <f>+VLOOKUP(C126,Indicadores!B:P,15,FALSE)</f>
        <v>0.46743333333333331</v>
      </c>
      <c r="M126" s="1" t="str">
        <f t="shared" si="25"/>
        <v>No Cumple</v>
      </c>
      <c r="N126" s="5">
        <f t="shared" si="26"/>
        <v>0</v>
      </c>
      <c r="O126" s="5">
        <f t="shared" si="33"/>
        <v>50000</v>
      </c>
      <c r="P126" s="4">
        <v>0.95</v>
      </c>
      <c r="Q126" s="5" t="str">
        <f t="shared" si="27"/>
        <v>Cumple</v>
      </c>
      <c r="R126" s="5">
        <f t="shared" si="28"/>
        <v>47500</v>
      </c>
      <c r="S126" s="5">
        <f t="shared" si="34"/>
        <v>50000</v>
      </c>
      <c r="T126" s="4">
        <f>+VLOOKUP(C126,Indicadores!B:V,21,FALSE)</f>
        <v>1</v>
      </c>
      <c r="U126" s="35" t="str">
        <f t="shared" si="29"/>
        <v>Cumple</v>
      </c>
      <c r="V126" s="2">
        <f t="shared" si="30"/>
        <v>50000</v>
      </c>
      <c r="W126" s="5" t="str">
        <f t="shared" si="35"/>
        <v>NO</v>
      </c>
      <c r="X126" s="5">
        <f t="shared" si="31"/>
        <v>0</v>
      </c>
      <c r="Y126" s="1"/>
    </row>
    <row r="127" spans="2:25" x14ac:dyDescent="0.25">
      <c r="B127" s="1" t="s">
        <v>233</v>
      </c>
      <c r="C127" s="1" t="s">
        <v>132</v>
      </c>
      <c r="D127" s="1" t="s">
        <v>241</v>
      </c>
      <c r="E127" s="1" t="s">
        <v>338</v>
      </c>
      <c r="F127" s="2">
        <f t="shared" si="22"/>
        <v>250000</v>
      </c>
      <c r="G127" s="4">
        <f>+VLOOKUP(C127,Indicadores!B:C,2,FALSE)</f>
        <v>0.77994545454545472</v>
      </c>
      <c r="H127" s="1" t="str">
        <f t="shared" si="23"/>
        <v>No Cumple</v>
      </c>
      <c r="I127" s="4">
        <f>+VLOOKUP(C127,Indicadores!B:F,5,FALSE)</f>
        <v>1</v>
      </c>
      <c r="J127" s="1" t="str">
        <f t="shared" si="24"/>
        <v>Cumple</v>
      </c>
      <c r="K127" s="9">
        <f t="shared" si="32"/>
        <v>150000</v>
      </c>
      <c r="L127" s="4">
        <f>+VLOOKUP(C127,Indicadores!B:P,15,FALSE)</f>
        <v>0.57589999999999997</v>
      </c>
      <c r="M127" s="1" t="str">
        <f t="shared" si="25"/>
        <v>No Cumple</v>
      </c>
      <c r="N127" s="5">
        <f t="shared" si="26"/>
        <v>0</v>
      </c>
      <c r="O127" s="5">
        <f t="shared" si="33"/>
        <v>50000</v>
      </c>
      <c r="P127" s="4">
        <v>0.95</v>
      </c>
      <c r="Q127" s="5" t="str">
        <f t="shared" si="27"/>
        <v>Cumple</v>
      </c>
      <c r="R127" s="5">
        <f t="shared" si="28"/>
        <v>47500</v>
      </c>
      <c r="S127" s="5">
        <f t="shared" si="34"/>
        <v>50000</v>
      </c>
      <c r="T127" s="4">
        <f>+VLOOKUP(C127,Indicadores!B:V,21,FALSE)</f>
        <v>1</v>
      </c>
      <c r="U127" s="35" t="str">
        <f t="shared" si="29"/>
        <v>Cumple</v>
      </c>
      <c r="V127" s="2">
        <f t="shared" si="30"/>
        <v>50000</v>
      </c>
      <c r="W127" s="5" t="str">
        <f t="shared" si="35"/>
        <v>NO</v>
      </c>
      <c r="X127" s="5">
        <f t="shared" si="31"/>
        <v>0</v>
      </c>
      <c r="Y127" s="1"/>
    </row>
    <row r="128" spans="2:25" x14ac:dyDescent="0.25">
      <c r="B128" s="1" t="s">
        <v>233</v>
      </c>
      <c r="C128" s="1" t="s">
        <v>133</v>
      </c>
      <c r="D128" s="1" t="s">
        <v>241</v>
      </c>
      <c r="E128" s="1" t="s">
        <v>338</v>
      </c>
      <c r="F128" s="2">
        <f t="shared" si="22"/>
        <v>250000</v>
      </c>
      <c r="G128" s="4">
        <f>+VLOOKUP(C128,Indicadores!B:C,2,FALSE)</f>
        <v>0.80043636363636361</v>
      </c>
      <c r="H128" s="1" t="str">
        <f t="shared" si="23"/>
        <v>No Cumple</v>
      </c>
      <c r="I128" s="4">
        <f>+VLOOKUP(C128,Indicadores!B:F,5,FALSE)</f>
        <v>1</v>
      </c>
      <c r="J128" s="1" t="str">
        <f t="shared" si="24"/>
        <v>Cumple</v>
      </c>
      <c r="K128" s="9">
        <f t="shared" si="32"/>
        <v>150000</v>
      </c>
      <c r="L128" s="4">
        <f>+VLOOKUP(C128,Indicadores!B:P,15,FALSE)</f>
        <v>0.53599999999999992</v>
      </c>
      <c r="M128" s="1" t="str">
        <f t="shared" si="25"/>
        <v>No Cumple</v>
      </c>
      <c r="N128" s="5">
        <f t="shared" si="26"/>
        <v>0</v>
      </c>
      <c r="O128" s="5">
        <f t="shared" si="33"/>
        <v>50000</v>
      </c>
      <c r="P128" s="4">
        <v>0.95</v>
      </c>
      <c r="Q128" s="5" t="str">
        <f t="shared" si="27"/>
        <v>Cumple</v>
      </c>
      <c r="R128" s="5">
        <f t="shared" si="28"/>
        <v>47500</v>
      </c>
      <c r="S128" s="5">
        <f t="shared" si="34"/>
        <v>50000</v>
      </c>
      <c r="T128" s="4">
        <f>+VLOOKUP(C128,Indicadores!B:V,21,FALSE)</f>
        <v>1</v>
      </c>
      <c r="U128" s="35" t="str">
        <f t="shared" si="29"/>
        <v>Cumple</v>
      </c>
      <c r="V128" s="2">
        <f t="shared" si="30"/>
        <v>50000</v>
      </c>
      <c r="W128" s="5" t="str">
        <f t="shared" si="35"/>
        <v>NO</v>
      </c>
      <c r="X128" s="5">
        <f t="shared" si="31"/>
        <v>0</v>
      </c>
      <c r="Y128" s="1"/>
    </row>
    <row r="129" spans="2:25" x14ac:dyDescent="0.25">
      <c r="B129" s="1" t="s">
        <v>233</v>
      </c>
      <c r="C129" s="1" t="s">
        <v>134</v>
      </c>
      <c r="D129" s="1" t="s">
        <v>241</v>
      </c>
      <c r="E129" s="1" t="s">
        <v>338</v>
      </c>
      <c r="F129" s="2">
        <f t="shared" si="22"/>
        <v>250000</v>
      </c>
      <c r="G129" s="4">
        <f>+VLOOKUP(C129,Indicadores!B:C,2,FALSE)</f>
        <v>0.762709090909091</v>
      </c>
      <c r="H129" s="1" t="str">
        <f t="shared" si="23"/>
        <v>No Cumple</v>
      </c>
      <c r="I129" s="4">
        <f>+VLOOKUP(C129,Indicadores!B:F,5,FALSE)</f>
        <v>1</v>
      </c>
      <c r="J129" s="1" t="str">
        <f t="shared" si="24"/>
        <v>Cumple</v>
      </c>
      <c r="K129" s="9">
        <f t="shared" si="32"/>
        <v>150000</v>
      </c>
      <c r="L129" s="4">
        <f>+VLOOKUP(C129,Indicadores!B:P,15,FALSE)</f>
        <v>0.51129999999999998</v>
      </c>
      <c r="M129" s="1" t="str">
        <f t="shared" si="25"/>
        <v>No Cumple</v>
      </c>
      <c r="N129" s="5">
        <f t="shared" si="26"/>
        <v>0</v>
      </c>
      <c r="O129" s="5">
        <f t="shared" si="33"/>
        <v>50000</v>
      </c>
      <c r="P129" s="4">
        <v>0.95</v>
      </c>
      <c r="Q129" s="5" t="str">
        <f t="shared" si="27"/>
        <v>Cumple</v>
      </c>
      <c r="R129" s="5">
        <f t="shared" si="28"/>
        <v>47500</v>
      </c>
      <c r="S129" s="5">
        <f t="shared" si="34"/>
        <v>50000</v>
      </c>
      <c r="T129" s="4">
        <f>+VLOOKUP(C129,Indicadores!B:V,21,FALSE)</f>
        <v>1</v>
      </c>
      <c r="U129" s="35" t="str">
        <f t="shared" si="29"/>
        <v>Cumple</v>
      </c>
      <c r="V129" s="2">
        <f t="shared" si="30"/>
        <v>50000</v>
      </c>
      <c r="W129" s="5" t="str">
        <f t="shared" si="35"/>
        <v>NO</v>
      </c>
      <c r="X129" s="5">
        <f t="shared" si="31"/>
        <v>0</v>
      </c>
      <c r="Y129" s="1"/>
    </row>
    <row r="130" spans="2:25" x14ac:dyDescent="0.25">
      <c r="B130" s="1" t="s">
        <v>233</v>
      </c>
      <c r="C130" s="1" t="s">
        <v>135</v>
      </c>
      <c r="D130" s="1" t="s">
        <v>241</v>
      </c>
      <c r="E130" s="1" t="s">
        <v>338</v>
      </c>
      <c r="F130" s="2">
        <f t="shared" si="22"/>
        <v>250000</v>
      </c>
      <c r="G130" s="4">
        <f>+VLOOKUP(C130,Indicadores!B:C,2,FALSE)</f>
        <v>0.76290909090909098</v>
      </c>
      <c r="H130" s="1" t="str">
        <f t="shared" si="23"/>
        <v>No Cumple</v>
      </c>
      <c r="I130" s="4">
        <f>+VLOOKUP(C130,Indicadores!B:F,5,FALSE)</f>
        <v>0.77777777777777779</v>
      </c>
      <c r="J130" s="1" t="str">
        <f t="shared" si="24"/>
        <v>No Cumple</v>
      </c>
      <c r="K130" s="9">
        <f t="shared" si="32"/>
        <v>150000</v>
      </c>
      <c r="L130" s="4">
        <f>+VLOOKUP(C130,Indicadores!B:P,15,FALSE)</f>
        <v>0.42280000000000006</v>
      </c>
      <c r="M130" s="1" t="str">
        <f t="shared" si="25"/>
        <v>No Cumple</v>
      </c>
      <c r="N130" s="5">
        <f t="shared" si="26"/>
        <v>0</v>
      </c>
      <c r="O130" s="5">
        <f t="shared" si="33"/>
        <v>50000</v>
      </c>
      <c r="P130" s="4">
        <v>0.95</v>
      </c>
      <c r="Q130" s="5" t="str">
        <f t="shared" si="27"/>
        <v>Cumple</v>
      </c>
      <c r="R130" s="5">
        <f t="shared" si="28"/>
        <v>47500</v>
      </c>
      <c r="S130" s="5">
        <f t="shared" si="34"/>
        <v>50000</v>
      </c>
      <c r="T130" s="4">
        <f>+VLOOKUP(C130,Indicadores!B:V,21,FALSE)</f>
        <v>0.99324999999999997</v>
      </c>
      <c r="U130" s="35" t="str">
        <f t="shared" si="29"/>
        <v>No Cumple</v>
      </c>
      <c r="V130" s="2">
        <f t="shared" si="30"/>
        <v>0</v>
      </c>
      <c r="W130" s="5" t="str">
        <f t="shared" si="35"/>
        <v>NO</v>
      </c>
      <c r="X130" s="5">
        <f t="shared" si="31"/>
        <v>0</v>
      </c>
      <c r="Y130" s="1"/>
    </row>
    <row r="131" spans="2:25" x14ac:dyDescent="0.25">
      <c r="B131" s="1" t="s">
        <v>233</v>
      </c>
      <c r="C131" s="1" t="s">
        <v>136</v>
      </c>
      <c r="D131" s="1" t="s">
        <v>241</v>
      </c>
      <c r="E131" s="1" t="s">
        <v>338</v>
      </c>
      <c r="F131" s="2">
        <f t="shared" si="22"/>
        <v>250000</v>
      </c>
      <c r="G131" s="4">
        <f>+VLOOKUP(C131,Indicadores!B:C,2,FALSE)</f>
        <v>0.85074545454545458</v>
      </c>
      <c r="H131" s="1" t="str">
        <f t="shared" si="23"/>
        <v>No Cumple</v>
      </c>
      <c r="I131" s="4">
        <f>+VLOOKUP(C131,Indicadores!B:F,5,FALSE)</f>
        <v>1</v>
      </c>
      <c r="J131" s="1" t="str">
        <f t="shared" si="24"/>
        <v>Cumple</v>
      </c>
      <c r="K131" s="9">
        <f t="shared" si="32"/>
        <v>150000</v>
      </c>
      <c r="L131" s="4">
        <f>+VLOOKUP(C131,Indicadores!B:P,15,FALSE)</f>
        <v>0.74256666666666671</v>
      </c>
      <c r="M131" s="1" t="str">
        <f t="shared" si="25"/>
        <v>No Cumple</v>
      </c>
      <c r="N131" s="5">
        <f t="shared" si="26"/>
        <v>0</v>
      </c>
      <c r="O131" s="5">
        <f t="shared" si="33"/>
        <v>50000</v>
      </c>
      <c r="P131" s="4">
        <v>0.95</v>
      </c>
      <c r="Q131" s="5" t="str">
        <f t="shared" si="27"/>
        <v>Cumple</v>
      </c>
      <c r="R131" s="5">
        <f t="shared" si="28"/>
        <v>47500</v>
      </c>
      <c r="S131" s="5">
        <f t="shared" si="34"/>
        <v>50000</v>
      </c>
      <c r="T131" s="4">
        <f>+VLOOKUP(C131,Indicadores!B:V,21,FALSE)</f>
        <v>1</v>
      </c>
      <c r="U131" s="35" t="str">
        <f t="shared" si="29"/>
        <v>Cumple</v>
      </c>
      <c r="V131" s="2">
        <f t="shared" si="30"/>
        <v>50000</v>
      </c>
      <c r="W131" s="5" t="str">
        <f t="shared" si="35"/>
        <v>NO</v>
      </c>
      <c r="X131" s="5">
        <f t="shared" si="31"/>
        <v>0</v>
      </c>
      <c r="Y131" s="8"/>
    </row>
    <row r="132" spans="2:25" x14ac:dyDescent="0.25">
      <c r="B132" s="1" t="s">
        <v>233</v>
      </c>
      <c r="C132" s="1" t="s">
        <v>137</v>
      </c>
      <c r="D132" s="1" t="s">
        <v>241</v>
      </c>
      <c r="E132" s="1" t="s">
        <v>338</v>
      </c>
      <c r="F132" s="2">
        <f t="shared" si="22"/>
        <v>250000</v>
      </c>
      <c r="G132" s="4">
        <f>+VLOOKUP(C132,Indicadores!B:C,2,FALSE)</f>
        <v>0.80537272727272724</v>
      </c>
      <c r="H132" s="1" t="str">
        <f t="shared" si="23"/>
        <v>No Cumple</v>
      </c>
      <c r="I132" s="4">
        <f>+VLOOKUP(C132,Indicadores!B:F,5,FALSE)</f>
        <v>1</v>
      </c>
      <c r="J132" s="1" t="str">
        <f t="shared" si="24"/>
        <v>Cumple</v>
      </c>
      <c r="K132" s="9">
        <f t="shared" si="32"/>
        <v>150000</v>
      </c>
      <c r="L132" s="4">
        <f>+VLOOKUP(C132,Indicadores!B:P,15,FALSE)</f>
        <v>0.58450000000000002</v>
      </c>
      <c r="M132" s="1" t="str">
        <f t="shared" si="25"/>
        <v>No Cumple</v>
      </c>
      <c r="N132" s="5">
        <f t="shared" si="26"/>
        <v>0</v>
      </c>
      <c r="O132" s="5">
        <f t="shared" si="33"/>
        <v>50000</v>
      </c>
      <c r="P132" s="4">
        <v>0.95</v>
      </c>
      <c r="Q132" s="5" t="str">
        <f t="shared" si="27"/>
        <v>Cumple</v>
      </c>
      <c r="R132" s="5">
        <f t="shared" si="28"/>
        <v>47500</v>
      </c>
      <c r="S132" s="5">
        <f t="shared" si="34"/>
        <v>50000</v>
      </c>
      <c r="T132" s="4">
        <f>+VLOOKUP(C132,Indicadores!B:V,21,FALSE)</f>
        <v>1</v>
      </c>
      <c r="U132" s="35" t="str">
        <f t="shared" si="29"/>
        <v>Cumple</v>
      </c>
      <c r="V132" s="2">
        <f t="shared" si="30"/>
        <v>50000</v>
      </c>
      <c r="W132" s="5" t="str">
        <f t="shared" si="35"/>
        <v>NO</v>
      </c>
      <c r="X132" s="5">
        <f t="shared" si="31"/>
        <v>0</v>
      </c>
      <c r="Y132" s="1"/>
    </row>
    <row r="133" spans="2:25" x14ac:dyDescent="0.25">
      <c r="B133" s="1" t="s">
        <v>233</v>
      </c>
      <c r="C133" s="1" t="s">
        <v>138</v>
      </c>
      <c r="D133" s="1" t="s">
        <v>241</v>
      </c>
      <c r="E133" s="1" t="s">
        <v>338</v>
      </c>
      <c r="F133" s="2">
        <f t="shared" si="22"/>
        <v>250000</v>
      </c>
      <c r="G133" s="4">
        <f>+VLOOKUP(C133,Indicadores!B:C,2,FALSE)</f>
        <v>0.91861818181818178</v>
      </c>
      <c r="H133" s="1" t="str">
        <f t="shared" si="23"/>
        <v>No Cumple</v>
      </c>
      <c r="I133" s="4">
        <v>0.95</v>
      </c>
      <c r="J133" s="1" t="str">
        <f t="shared" si="24"/>
        <v>Cumple</v>
      </c>
      <c r="K133" s="9">
        <f t="shared" si="32"/>
        <v>150000</v>
      </c>
      <c r="L133" s="4">
        <f>+VLOOKUP(C133,Indicadores!B:P,15,FALSE)</f>
        <v>0.9345</v>
      </c>
      <c r="M133" s="1" t="str">
        <f t="shared" si="25"/>
        <v>Cumple</v>
      </c>
      <c r="N133" s="5">
        <f t="shared" si="26"/>
        <v>135000</v>
      </c>
      <c r="O133" s="5">
        <f t="shared" si="33"/>
        <v>50000</v>
      </c>
      <c r="P133" s="4">
        <v>0.95</v>
      </c>
      <c r="Q133" s="5" t="str">
        <f t="shared" si="27"/>
        <v>Cumple</v>
      </c>
      <c r="R133" s="5">
        <f t="shared" si="28"/>
        <v>47500</v>
      </c>
      <c r="S133" s="5">
        <f t="shared" si="34"/>
        <v>50000</v>
      </c>
      <c r="T133" s="4">
        <f>+VLOOKUP(C133,Indicadores!B:V,21,FALSE)</f>
        <v>1</v>
      </c>
      <c r="U133" s="35" t="str">
        <f t="shared" si="29"/>
        <v>Cumple</v>
      </c>
      <c r="V133" s="2">
        <f t="shared" si="30"/>
        <v>50000</v>
      </c>
      <c r="W133" s="5" t="str">
        <f t="shared" si="35"/>
        <v>NO</v>
      </c>
      <c r="X133" s="5">
        <f t="shared" si="31"/>
        <v>0</v>
      </c>
      <c r="Y133" s="1"/>
    </row>
    <row r="134" spans="2:25" x14ac:dyDescent="0.25">
      <c r="B134" s="1" t="s">
        <v>233</v>
      </c>
      <c r="C134" s="1" t="s">
        <v>139</v>
      </c>
      <c r="D134" s="1" t="s">
        <v>241</v>
      </c>
      <c r="E134" s="1" t="s">
        <v>338</v>
      </c>
      <c r="F134" s="2">
        <f t="shared" si="22"/>
        <v>250000</v>
      </c>
      <c r="G134" s="4">
        <f>+VLOOKUP(C134,Indicadores!B:C,2,FALSE)</f>
        <v>0.79864545454545455</v>
      </c>
      <c r="H134" s="1" t="str">
        <f t="shared" si="23"/>
        <v>No Cumple</v>
      </c>
      <c r="I134" s="4">
        <f>+VLOOKUP(C134,Indicadores!B:F,5,FALSE)</f>
        <v>0.95652173913043481</v>
      </c>
      <c r="J134" s="1" t="str">
        <f t="shared" si="24"/>
        <v>Cumple</v>
      </c>
      <c r="K134" s="9">
        <f t="shared" ref="K134:K165" si="36">+$F$4*$K$3</f>
        <v>150000</v>
      </c>
      <c r="L134" s="4">
        <f>+VLOOKUP(C134,Indicadores!B:P,15,FALSE)</f>
        <v>0.53230000000000011</v>
      </c>
      <c r="M134" s="1" t="str">
        <f t="shared" si="25"/>
        <v>No Cumple</v>
      </c>
      <c r="N134" s="5">
        <f t="shared" si="26"/>
        <v>0</v>
      </c>
      <c r="O134" s="5">
        <f t="shared" ref="O134:O165" si="37">+$F$4*$O$3</f>
        <v>50000</v>
      </c>
      <c r="P134" s="4">
        <v>0.95</v>
      </c>
      <c r="Q134" s="5" t="str">
        <f t="shared" si="27"/>
        <v>Cumple</v>
      </c>
      <c r="R134" s="5">
        <f t="shared" si="28"/>
        <v>47500</v>
      </c>
      <c r="S134" s="5">
        <f t="shared" ref="S134:S165" si="38">+$F$4*$S$3</f>
        <v>50000</v>
      </c>
      <c r="T134" s="4">
        <f>+VLOOKUP(C134,Indicadores!B:V,21,FALSE)</f>
        <v>1</v>
      </c>
      <c r="U134" s="35" t="str">
        <f t="shared" si="29"/>
        <v>Cumple</v>
      </c>
      <c r="V134" s="2">
        <f t="shared" si="30"/>
        <v>50000</v>
      </c>
      <c r="W134" s="5" t="str">
        <f t="shared" ref="W134:W165" si="39">IF(AND(G134&gt;=95%,I134&gt;=95%),"SI","NO")</f>
        <v>NO</v>
      </c>
      <c r="X134" s="5">
        <f t="shared" si="31"/>
        <v>0</v>
      </c>
      <c r="Y134" s="1"/>
    </row>
    <row r="135" spans="2:25" x14ac:dyDescent="0.25">
      <c r="B135" s="1" t="s">
        <v>233</v>
      </c>
      <c r="C135" s="1" t="s">
        <v>140</v>
      </c>
      <c r="D135" s="1" t="s">
        <v>241</v>
      </c>
      <c r="E135" s="1" t="s">
        <v>338</v>
      </c>
      <c r="F135" s="2">
        <f t="shared" ref="F135:F193" si="40">+$F$4</f>
        <v>250000</v>
      </c>
      <c r="G135" s="4">
        <f>+VLOOKUP(C135,Indicadores!B:C,2,FALSE)</f>
        <v>0.7474727272727274</v>
      </c>
      <c r="H135" s="1" t="str">
        <f t="shared" ref="H135:H193" si="41">IF(G135&gt;=95%,"Cumple","No Cumple")</f>
        <v>No Cumple</v>
      </c>
      <c r="I135" s="4">
        <f>+VLOOKUP(C135,Indicadores!B:F,5,FALSE)</f>
        <v>0.9375</v>
      </c>
      <c r="J135" s="1" t="str">
        <f t="shared" ref="J135:J193" si="42">IF(I135&gt;=95%,"Cumple","No Cumple")</f>
        <v>No Cumple</v>
      </c>
      <c r="K135" s="9">
        <f t="shared" si="36"/>
        <v>150000</v>
      </c>
      <c r="L135" s="4">
        <f>+VLOOKUP(C135,Indicadores!B:P,15,FALSE)</f>
        <v>0.50306666666666666</v>
      </c>
      <c r="M135" s="1" t="str">
        <f t="shared" ref="M135:M193" si="43">IF(L135&gt;=80%,"Cumple","No Cumple")</f>
        <v>No Cumple</v>
      </c>
      <c r="N135" s="5">
        <f t="shared" ref="N135:N193" si="44">IF(L135=80%,K135*70%,IF(AND(L135&gt;=81%,L135&lt;=90%),K135*80%,IF(AND(L135&gt;=91%,L135&lt;=95%),K135*90%,IF(L135=96%,K135*96%,IF(L135=97%,K135*97%,IF(L135=98%,K135*98%,IF(L135=99%,K135*99%,IF(L135=100%,K135,0))))))))</f>
        <v>0</v>
      </c>
      <c r="O135" s="5">
        <f t="shared" si="37"/>
        <v>50000</v>
      </c>
      <c r="P135" s="4">
        <v>0.95</v>
      </c>
      <c r="Q135" s="5" t="str">
        <f t="shared" ref="Q135:Q193" si="45">IF(P135&gt;=80%,"Cumple","No Cumple")</f>
        <v>Cumple</v>
      </c>
      <c r="R135" s="5">
        <f t="shared" ref="R135:R193" si="46">+O135*95%</f>
        <v>47500</v>
      </c>
      <c r="S135" s="5">
        <f t="shared" si="38"/>
        <v>50000</v>
      </c>
      <c r="T135" s="4">
        <f>+VLOOKUP(C135,Indicadores!B:V,21,FALSE)</f>
        <v>0.9899</v>
      </c>
      <c r="U135" s="35" t="str">
        <f t="shared" ref="U135:U193" si="47">IF(T135&gt;=100%,"Cumple","No Cumple")</f>
        <v>No Cumple</v>
      </c>
      <c r="V135" s="2">
        <f t="shared" ref="V135:V193" si="48">IF(T135=100%,S135,0)</f>
        <v>0</v>
      </c>
      <c r="W135" s="5" t="str">
        <f t="shared" si="39"/>
        <v>NO</v>
      </c>
      <c r="X135" s="5">
        <f t="shared" ref="X135:X193" si="49">+IF(W135="SI",N135+R135+V135,0)</f>
        <v>0</v>
      </c>
      <c r="Y135" s="1"/>
    </row>
    <row r="136" spans="2:25" x14ac:dyDescent="0.25">
      <c r="B136" s="1" t="s">
        <v>233</v>
      </c>
      <c r="C136" s="1" t="s">
        <v>141</v>
      </c>
      <c r="D136" s="1" t="s">
        <v>241</v>
      </c>
      <c r="E136" s="1" t="s">
        <v>338</v>
      </c>
      <c r="F136" s="2">
        <f t="shared" si="40"/>
        <v>250000</v>
      </c>
      <c r="G136" s="4">
        <f>+VLOOKUP(C136,Indicadores!B:C,2,FALSE)</f>
        <v>0.87151818181818186</v>
      </c>
      <c r="H136" s="1" t="str">
        <f t="shared" si="41"/>
        <v>No Cumple</v>
      </c>
      <c r="I136" s="4">
        <f>+VLOOKUP(C136,Indicadores!B:F,5,FALSE)</f>
        <v>1</v>
      </c>
      <c r="J136" s="1" t="str">
        <f t="shared" si="42"/>
        <v>Cumple</v>
      </c>
      <c r="K136" s="9">
        <f t="shared" si="36"/>
        <v>150000</v>
      </c>
      <c r="L136" s="4">
        <f>+VLOOKUP(C136,Indicadores!B:P,15,FALSE)</f>
        <v>0.95853333333333335</v>
      </c>
      <c r="M136" s="1" t="str">
        <f t="shared" si="43"/>
        <v>Cumple</v>
      </c>
      <c r="N136" s="5">
        <f t="shared" si="26"/>
        <v>0</v>
      </c>
      <c r="O136" s="5">
        <f t="shared" si="37"/>
        <v>50000</v>
      </c>
      <c r="P136" s="4">
        <v>0.95</v>
      </c>
      <c r="Q136" s="5" t="str">
        <f t="shared" si="45"/>
        <v>Cumple</v>
      </c>
      <c r="R136" s="5">
        <f t="shared" si="46"/>
        <v>47500</v>
      </c>
      <c r="S136" s="5">
        <f t="shared" si="38"/>
        <v>50000</v>
      </c>
      <c r="T136" s="4">
        <f>+VLOOKUP(C136,Indicadores!B:V,21,FALSE)</f>
        <v>1</v>
      </c>
      <c r="U136" s="35" t="str">
        <f t="shared" si="47"/>
        <v>Cumple</v>
      </c>
      <c r="V136" s="2">
        <f t="shared" si="48"/>
        <v>50000</v>
      </c>
      <c r="W136" s="5" t="str">
        <f t="shared" si="39"/>
        <v>NO</v>
      </c>
      <c r="X136" s="5">
        <f t="shared" si="49"/>
        <v>0</v>
      </c>
      <c r="Y136" s="1"/>
    </row>
    <row r="137" spans="2:25" x14ac:dyDescent="0.25">
      <c r="B137" s="1" t="s">
        <v>240</v>
      </c>
      <c r="C137" s="1" t="s">
        <v>142</v>
      </c>
      <c r="D137" s="1" t="s">
        <v>243</v>
      </c>
      <c r="E137" s="1" t="s">
        <v>344</v>
      </c>
      <c r="F137" s="2">
        <f t="shared" si="40"/>
        <v>250000</v>
      </c>
      <c r="G137" s="4">
        <f>+VLOOKUP(C137,Indicadores!B:C,2,FALSE)</f>
        <v>0.81480909090909104</v>
      </c>
      <c r="H137" s="1" t="str">
        <f t="shared" si="41"/>
        <v>No Cumple</v>
      </c>
      <c r="I137" s="4">
        <f>+VLOOKUP(C137,Indicadores!B:F,5,FALSE)</f>
        <v>1</v>
      </c>
      <c r="J137" s="1" t="str">
        <f t="shared" si="42"/>
        <v>Cumple</v>
      </c>
      <c r="K137" s="9">
        <f t="shared" si="36"/>
        <v>150000</v>
      </c>
      <c r="L137" s="4">
        <f>+VLOOKUP(C137,Indicadores!B:P,15,FALSE)</f>
        <v>0.53613333333333335</v>
      </c>
      <c r="M137" s="1" t="str">
        <f t="shared" si="43"/>
        <v>No Cumple</v>
      </c>
      <c r="N137" s="5">
        <f t="shared" si="44"/>
        <v>0</v>
      </c>
      <c r="O137" s="5">
        <f t="shared" si="37"/>
        <v>50000</v>
      </c>
      <c r="P137" s="4">
        <v>0.95</v>
      </c>
      <c r="Q137" s="5" t="str">
        <f t="shared" si="45"/>
        <v>Cumple</v>
      </c>
      <c r="R137" s="5">
        <f t="shared" si="46"/>
        <v>47500</v>
      </c>
      <c r="S137" s="5">
        <f t="shared" si="38"/>
        <v>50000</v>
      </c>
      <c r="T137" s="4">
        <f>+VLOOKUP(C137,Indicadores!B:V,21,FALSE)</f>
        <v>0.5</v>
      </c>
      <c r="U137" s="35" t="str">
        <f t="shared" si="47"/>
        <v>No Cumple</v>
      </c>
      <c r="V137" s="2">
        <f t="shared" si="48"/>
        <v>0</v>
      </c>
      <c r="W137" s="5" t="str">
        <f t="shared" si="39"/>
        <v>NO</v>
      </c>
      <c r="X137" s="5">
        <f t="shared" si="49"/>
        <v>0</v>
      </c>
      <c r="Y137" s="1"/>
    </row>
    <row r="138" spans="2:25" x14ac:dyDescent="0.25">
      <c r="B138" s="1" t="s">
        <v>240</v>
      </c>
      <c r="C138" s="1" t="s">
        <v>143</v>
      </c>
      <c r="D138" s="1" t="s">
        <v>243</v>
      </c>
      <c r="E138" s="1" t="s">
        <v>344</v>
      </c>
      <c r="F138" s="2">
        <f t="shared" si="40"/>
        <v>250000</v>
      </c>
      <c r="G138" s="4">
        <f>+VLOOKUP(C138,Indicadores!B:C,2,FALSE)</f>
        <v>0.75973636363636354</v>
      </c>
      <c r="H138" s="1" t="str">
        <f t="shared" si="41"/>
        <v>No Cumple</v>
      </c>
      <c r="I138" s="4">
        <f>+VLOOKUP(C138,Indicadores!B:F,5,FALSE)</f>
        <v>1</v>
      </c>
      <c r="J138" s="1" t="str">
        <f t="shared" si="42"/>
        <v>Cumple</v>
      </c>
      <c r="K138" s="9">
        <f t="shared" si="36"/>
        <v>150000</v>
      </c>
      <c r="L138" s="4">
        <f>+VLOOKUP(C138,Indicadores!B:P,15,FALSE)</f>
        <v>0.70236666666666669</v>
      </c>
      <c r="M138" s="1" t="str">
        <f t="shared" si="43"/>
        <v>No Cumple</v>
      </c>
      <c r="N138" s="5">
        <f t="shared" si="44"/>
        <v>0</v>
      </c>
      <c r="O138" s="5">
        <f t="shared" si="37"/>
        <v>50000</v>
      </c>
      <c r="P138" s="4">
        <v>0.95</v>
      </c>
      <c r="Q138" s="5" t="str">
        <f t="shared" si="45"/>
        <v>Cumple</v>
      </c>
      <c r="R138" s="5">
        <f t="shared" si="46"/>
        <v>47500</v>
      </c>
      <c r="S138" s="5">
        <f t="shared" si="38"/>
        <v>50000</v>
      </c>
      <c r="T138" s="4">
        <f>+VLOOKUP(C138,Indicadores!B:V,21,FALSE)</f>
        <v>1</v>
      </c>
      <c r="U138" s="35" t="str">
        <f t="shared" si="47"/>
        <v>Cumple</v>
      </c>
      <c r="V138" s="2">
        <f t="shared" si="48"/>
        <v>50000</v>
      </c>
      <c r="W138" s="5" t="str">
        <f t="shared" si="39"/>
        <v>NO</v>
      </c>
      <c r="X138" s="5">
        <f t="shared" si="49"/>
        <v>0</v>
      </c>
      <c r="Y138" s="8"/>
    </row>
    <row r="139" spans="2:25" x14ac:dyDescent="0.25">
      <c r="B139" s="1" t="s">
        <v>240</v>
      </c>
      <c r="C139" s="1" t="s">
        <v>144</v>
      </c>
      <c r="D139" s="1" t="s">
        <v>243</v>
      </c>
      <c r="E139" s="1" t="s">
        <v>344</v>
      </c>
      <c r="F139" s="2">
        <f t="shared" si="40"/>
        <v>250000</v>
      </c>
      <c r="G139" s="4">
        <f>+VLOOKUP(C139,Indicadores!B:C,2,FALSE)</f>
        <v>0.76018181818181818</v>
      </c>
      <c r="H139" s="1" t="str">
        <f t="shared" si="41"/>
        <v>No Cumple</v>
      </c>
      <c r="I139" s="4">
        <v>1</v>
      </c>
      <c r="J139" s="1" t="str">
        <f t="shared" si="42"/>
        <v>Cumple</v>
      </c>
      <c r="K139" s="9">
        <f t="shared" si="36"/>
        <v>150000</v>
      </c>
      <c r="L139" s="4">
        <f>+VLOOKUP(C139,Indicadores!B:P,15,FALSE)</f>
        <v>0.58906666666666674</v>
      </c>
      <c r="M139" s="1" t="str">
        <f t="shared" si="43"/>
        <v>No Cumple</v>
      </c>
      <c r="N139" s="5">
        <f t="shared" si="44"/>
        <v>0</v>
      </c>
      <c r="O139" s="5">
        <f t="shared" si="37"/>
        <v>50000</v>
      </c>
      <c r="P139" s="4">
        <v>0.95</v>
      </c>
      <c r="Q139" s="5" t="str">
        <f t="shared" si="45"/>
        <v>Cumple</v>
      </c>
      <c r="R139" s="5">
        <f t="shared" si="46"/>
        <v>47500</v>
      </c>
      <c r="S139" s="5">
        <f t="shared" si="38"/>
        <v>50000</v>
      </c>
      <c r="T139" s="4">
        <f>+VLOOKUP(C139,Indicadores!B:V,21,FALSE)</f>
        <v>1</v>
      </c>
      <c r="U139" s="35" t="str">
        <f t="shared" si="47"/>
        <v>Cumple</v>
      </c>
      <c r="V139" s="2">
        <f t="shared" si="48"/>
        <v>50000</v>
      </c>
      <c r="W139" s="5" t="str">
        <f t="shared" si="39"/>
        <v>NO</v>
      </c>
      <c r="X139" s="5">
        <f t="shared" si="49"/>
        <v>0</v>
      </c>
      <c r="Y139" s="1"/>
    </row>
    <row r="140" spans="2:25" x14ac:dyDescent="0.25">
      <c r="B140" s="1" t="s">
        <v>240</v>
      </c>
      <c r="C140" s="1" t="s">
        <v>145</v>
      </c>
      <c r="D140" s="1" t="s">
        <v>243</v>
      </c>
      <c r="E140" s="1" t="s">
        <v>344</v>
      </c>
      <c r="F140" s="2">
        <f t="shared" si="40"/>
        <v>250000</v>
      </c>
      <c r="G140" s="4">
        <f>+VLOOKUP(C140,Indicadores!B:C,2,FALSE)</f>
        <v>0.78149999999999986</v>
      </c>
      <c r="H140" s="1" t="str">
        <f t="shared" si="41"/>
        <v>No Cumple</v>
      </c>
      <c r="I140" s="4">
        <f>+VLOOKUP(C140,Indicadores!B:F,5,FALSE)</f>
        <v>1</v>
      </c>
      <c r="J140" s="1" t="str">
        <f t="shared" si="42"/>
        <v>Cumple</v>
      </c>
      <c r="K140" s="9">
        <f t="shared" si="36"/>
        <v>150000</v>
      </c>
      <c r="L140" s="4">
        <f>+VLOOKUP(C140,Indicadores!B:P,15,FALSE)</f>
        <v>0.71519999999999995</v>
      </c>
      <c r="M140" s="1" t="str">
        <f t="shared" si="43"/>
        <v>No Cumple</v>
      </c>
      <c r="N140" s="5">
        <f t="shared" si="44"/>
        <v>0</v>
      </c>
      <c r="O140" s="5">
        <f t="shared" si="37"/>
        <v>50000</v>
      </c>
      <c r="P140" s="4">
        <v>0.95</v>
      </c>
      <c r="Q140" s="5" t="str">
        <f t="shared" si="45"/>
        <v>Cumple</v>
      </c>
      <c r="R140" s="5">
        <f t="shared" si="46"/>
        <v>47500</v>
      </c>
      <c r="S140" s="5">
        <f t="shared" si="38"/>
        <v>50000</v>
      </c>
      <c r="T140" s="4">
        <f>+VLOOKUP(C140,Indicadores!B:V,21,FALSE)</f>
        <v>0.5</v>
      </c>
      <c r="U140" s="35" t="str">
        <f t="shared" si="47"/>
        <v>No Cumple</v>
      </c>
      <c r="V140" s="2">
        <f t="shared" si="48"/>
        <v>0</v>
      </c>
      <c r="W140" s="5" t="str">
        <f t="shared" si="39"/>
        <v>NO</v>
      </c>
      <c r="X140" s="5">
        <f t="shared" si="49"/>
        <v>0</v>
      </c>
      <c r="Y140" s="1"/>
    </row>
    <row r="141" spans="2:25" x14ac:dyDescent="0.25">
      <c r="B141" s="1" t="s">
        <v>240</v>
      </c>
      <c r="C141" s="1" t="s">
        <v>146</v>
      </c>
      <c r="D141" s="1" t="s">
        <v>243</v>
      </c>
      <c r="E141" s="1" t="s">
        <v>344</v>
      </c>
      <c r="F141" s="2">
        <f t="shared" si="40"/>
        <v>250000</v>
      </c>
      <c r="G141" s="4">
        <f>+VLOOKUP(C141,Indicadores!B:C,2,FALSE)</f>
        <v>0.76564545454545463</v>
      </c>
      <c r="H141" s="1" t="str">
        <f t="shared" si="41"/>
        <v>No Cumple</v>
      </c>
      <c r="I141" s="4">
        <f>+VLOOKUP(C141,Indicadores!B:F,5,FALSE)</f>
        <v>1</v>
      </c>
      <c r="J141" s="1" t="str">
        <f t="shared" si="42"/>
        <v>Cumple</v>
      </c>
      <c r="K141" s="9">
        <f t="shared" si="36"/>
        <v>150000</v>
      </c>
      <c r="L141" s="4">
        <f>+VLOOKUP(C141,Indicadores!B:P,15,FALSE)</f>
        <v>0.40506666666666669</v>
      </c>
      <c r="M141" s="1" t="str">
        <f t="shared" si="43"/>
        <v>No Cumple</v>
      </c>
      <c r="N141" s="5">
        <f t="shared" si="44"/>
        <v>0</v>
      </c>
      <c r="O141" s="5">
        <f t="shared" si="37"/>
        <v>50000</v>
      </c>
      <c r="P141" s="4">
        <v>0.95</v>
      </c>
      <c r="Q141" s="5" t="str">
        <f t="shared" si="45"/>
        <v>Cumple</v>
      </c>
      <c r="R141" s="5">
        <f t="shared" si="46"/>
        <v>47500</v>
      </c>
      <c r="S141" s="5">
        <f t="shared" si="38"/>
        <v>50000</v>
      </c>
      <c r="T141" s="4">
        <f>+VLOOKUP(C141,Indicadores!B:V,21,FALSE)</f>
        <v>0.98440000000000005</v>
      </c>
      <c r="U141" s="35" t="str">
        <f t="shared" si="47"/>
        <v>No Cumple</v>
      </c>
      <c r="V141" s="2">
        <f t="shared" si="48"/>
        <v>0</v>
      </c>
      <c r="W141" s="5" t="str">
        <f t="shared" si="39"/>
        <v>NO</v>
      </c>
      <c r="X141" s="5">
        <f t="shared" si="49"/>
        <v>0</v>
      </c>
      <c r="Y141" s="1"/>
    </row>
    <row r="142" spans="2:25" x14ac:dyDescent="0.25">
      <c r="B142" s="1" t="s">
        <v>240</v>
      </c>
      <c r="C142" s="1" t="s">
        <v>147</v>
      </c>
      <c r="D142" s="1" t="s">
        <v>243</v>
      </c>
      <c r="E142" s="1" t="s">
        <v>344</v>
      </c>
      <c r="F142" s="2">
        <f t="shared" si="40"/>
        <v>250000</v>
      </c>
      <c r="G142" s="4">
        <f>+VLOOKUP(C142,Indicadores!B:C,2,FALSE)</f>
        <v>0.7487818181818181</v>
      </c>
      <c r="H142" s="1" t="str">
        <f t="shared" si="41"/>
        <v>No Cumple</v>
      </c>
      <c r="I142" s="4">
        <f>+VLOOKUP(C142,Indicadores!B:F,5,FALSE)</f>
        <v>1</v>
      </c>
      <c r="J142" s="1" t="str">
        <f t="shared" si="42"/>
        <v>Cumple</v>
      </c>
      <c r="K142" s="9">
        <f t="shared" si="36"/>
        <v>150000</v>
      </c>
      <c r="L142" s="4">
        <f>+VLOOKUP(C142,Indicadores!B:P,15,FALSE)</f>
        <v>0.39303333333333335</v>
      </c>
      <c r="M142" s="1" t="str">
        <f t="shared" si="43"/>
        <v>No Cumple</v>
      </c>
      <c r="N142" s="5">
        <f t="shared" si="44"/>
        <v>0</v>
      </c>
      <c r="O142" s="5">
        <f t="shared" si="37"/>
        <v>50000</v>
      </c>
      <c r="P142" s="4">
        <v>0.95</v>
      </c>
      <c r="Q142" s="5" t="str">
        <f t="shared" si="45"/>
        <v>Cumple</v>
      </c>
      <c r="R142" s="5">
        <f t="shared" si="46"/>
        <v>47500</v>
      </c>
      <c r="S142" s="5">
        <f t="shared" si="38"/>
        <v>50000</v>
      </c>
      <c r="T142" s="4">
        <f>+VLOOKUP(C142,Indicadores!B:V,21,FALSE)</f>
        <v>0.98680000000000001</v>
      </c>
      <c r="U142" s="35" t="str">
        <f t="shared" si="47"/>
        <v>No Cumple</v>
      </c>
      <c r="V142" s="2">
        <f t="shared" si="48"/>
        <v>0</v>
      </c>
      <c r="W142" s="5" t="str">
        <f t="shared" si="39"/>
        <v>NO</v>
      </c>
      <c r="X142" s="5">
        <f t="shared" si="49"/>
        <v>0</v>
      </c>
      <c r="Y142" s="1"/>
    </row>
    <row r="143" spans="2:25" x14ac:dyDescent="0.25">
      <c r="B143" s="1" t="s">
        <v>240</v>
      </c>
      <c r="C143" s="1" t="s">
        <v>148</v>
      </c>
      <c r="D143" s="1" t="s">
        <v>243</v>
      </c>
      <c r="E143" s="1" t="s">
        <v>344</v>
      </c>
      <c r="F143" s="2">
        <f t="shared" si="40"/>
        <v>250000</v>
      </c>
      <c r="G143" s="4">
        <f>+VLOOKUP(C143,Indicadores!B:C,2,FALSE)</f>
        <v>0.76468181818181824</v>
      </c>
      <c r="H143" s="1" t="str">
        <f t="shared" si="41"/>
        <v>No Cumple</v>
      </c>
      <c r="I143" s="4">
        <f>+VLOOKUP(C143,Indicadores!B:F,5,FALSE)</f>
        <v>0.93333333333333335</v>
      </c>
      <c r="J143" s="1" t="str">
        <f t="shared" si="42"/>
        <v>No Cumple</v>
      </c>
      <c r="K143" s="9">
        <f t="shared" si="36"/>
        <v>150000</v>
      </c>
      <c r="L143" s="4">
        <f>+VLOOKUP(C143,Indicadores!B:P,15,FALSE)</f>
        <v>0.69589999999999996</v>
      </c>
      <c r="M143" s="1" t="str">
        <f t="shared" si="43"/>
        <v>No Cumple</v>
      </c>
      <c r="N143" s="5">
        <f t="shared" si="44"/>
        <v>0</v>
      </c>
      <c r="O143" s="5">
        <f t="shared" si="37"/>
        <v>50000</v>
      </c>
      <c r="P143" s="4">
        <v>0.95</v>
      </c>
      <c r="Q143" s="5" t="str">
        <f t="shared" si="45"/>
        <v>Cumple</v>
      </c>
      <c r="R143" s="5">
        <f t="shared" si="46"/>
        <v>47500</v>
      </c>
      <c r="S143" s="5">
        <f t="shared" si="38"/>
        <v>50000</v>
      </c>
      <c r="T143" s="4">
        <f>+VLOOKUP(C143,Indicadores!B:V,21,FALSE)</f>
        <v>0.49409999999999998</v>
      </c>
      <c r="U143" s="35" t="str">
        <f t="shared" si="47"/>
        <v>No Cumple</v>
      </c>
      <c r="V143" s="2">
        <f t="shared" si="48"/>
        <v>0</v>
      </c>
      <c r="W143" s="5" t="str">
        <f t="shared" si="39"/>
        <v>NO</v>
      </c>
      <c r="X143" s="5">
        <f t="shared" si="49"/>
        <v>0</v>
      </c>
      <c r="Y143" s="1"/>
    </row>
    <row r="144" spans="2:25" x14ac:dyDescent="0.25">
      <c r="B144" s="1" t="s">
        <v>240</v>
      </c>
      <c r="C144" s="1" t="s">
        <v>149</v>
      </c>
      <c r="D144" s="1" t="s">
        <v>243</v>
      </c>
      <c r="E144" s="1" t="s">
        <v>344</v>
      </c>
      <c r="F144" s="2">
        <f t="shared" si="40"/>
        <v>250000</v>
      </c>
      <c r="G144" s="4">
        <f>+VLOOKUP(C144,Indicadores!B:C,2,FALSE)</f>
        <v>0.77224545454545457</v>
      </c>
      <c r="H144" s="1" t="str">
        <f t="shared" si="41"/>
        <v>No Cumple</v>
      </c>
      <c r="I144" s="4">
        <f>+VLOOKUP(C144,Indicadores!B:F,5,FALSE)</f>
        <v>1</v>
      </c>
      <c r="J144" s="1" t="str">
        <f t="shared" si="42"/>
        <v>Cumple</v>
      </c>
      <c r="K144" s="9">
        <f t="shared" si="36"/>
        <v>150000</v>
      </c>
      <c r="L144" s="4">
        <f>+VLOOKUP(C144,Indicadores!B:P,15,FALSE)</f>
        <v>0.66220000000000001</v>
      </c>
      <c r="M144" s="1" t="str">
        <f t="shared" si="43"/>
        <v>No Cumple</v>
      </c>
      <c r="N144" s="5">
        <f t="shared" si="44"/>
        <v>0</v>
      </c>
      <c r="O144" s="5">
        <f t="shared" si="37"/>
        <v>50000</v>
      </c>
      <c r="P144" s="4">
        <v>0.95</v>
      </c>
      <c r="Q144" s="5" t="str">
        <f t="shared" si="45"/>
        <v>Cumple</v>
      </c>
      <c r="R144" s="5">
        <f t="shared" si="46"/>
        <v>47500</v>
      </c>
      <c r="S144" s="5">
        <f t="shared" si="38"/>
        <v>50000</v>
      </c>
      <c r="T144" s="4">
        <f>+VLOOKUP(C144,Indicadores!B:V,21,FALSE)</f>
        <v>0.5</v>
      </c>
      <c r="U144" s="35" t="str">
        <f t="shared" si="47"/>
        <v>No Cumple</v>
      </c>
      <c r="V144" s="2">
        <f t="shared" si="48"/>
        <v>0</v>
      </c>
      <c r="W144" s="5" t="str">
        <f t="shared" si="39"/>
        <v>NO</v>
      </c>
      <c r="X144" s="5">
        <f t="shared" si="49"/>
        <v>0</v>
      </c>
      <c r="Y144" s="1"/>
    </row>
    <row r="145" spans="2:25" x14ac:dyDescent="0.25">
      <c r="B145" s="1" t="s">
        <v>240</v>
      </c>
      <c r="C145" s="1" t="s">
        <v>150</v>
      </c>
      <c r="D145" s="1" t="s">
        <v>243</v>
      </c>
      <c r="E145" s="1" t="s">
        <v>344</v>
      </c>
      <c r="F145" s="2">
        <f t="shared" si="40"/>
        <v>250000</v>
      </c>
      <c r="G145" s="4">
        <f>+VLOOKUP(C145,Indicadores!B:C,2,FALSE)</f>
        <v>0.77765454545454549</v>
      </c>
      <c r="H145" s="1" t="str">
        <f t="shared" si="41"/>
        <v>No Cumple</v>
      </c>
      <c r="I145" s="4">
        <f>+VLOOKUP(C145,Indicadores!B:F,5,FALSE)</f>
        <v>0.90909090909090906</v>
      </c>
      <c r="J145" s="1" t="str">
        <f t="shared" si="42"/>
        <v>No Cumple</v>
      </c>
      <c r="K145" s="9">
        <f t="shared" si="36"/>
        <v>150000</v>
      </c>
      <c r="L145" s="4">
        <f>+VLOOKUP(C145,Indicadores!B:P,15,FALSE)</f>
        <v>0.58106666666666673</v>
      </c>
      <c r="M145" s="1" t="str">
        <f t="shared" si="43"/>
        <v>No Cumple</v>
      </c>
      <c r="N145" s="5">
        <f t="shared" si="44"/>
        <v>0</v>
      </c>
      <c r="O145" s="5">
        <f t="shared" si="37"/>
        <v>50000</v>
      </c>
      <c r="P145" s="4">
        <v>0.95</v>
      </c>
      <c r="Q145" s="5" t="str">
        <f t="shared" si="45"/>
        <v>Cumple</v>
      </c>
      <c r="R145" s="5">
        <f t="shared" si="46"/>
        <v>47500</v>
      </c>
      <c r="S145" s="5">
        <f t="shared" si="38"/>
        <v>50000</v>
      </c>
      <c r="T145" s="4">
        <f>+VLOOKUP(C145,Indicadores!B:V,21,FALSE)</f>
        <v>1</v>
      </c>
      <c r="U145" s="35" t="str">
        <f t="shared" si="47"/>
        <v>Cumple</v>
      </c>
      <c r="V145" s="2">
        <f t="shared" si="48"/>
        <v>50000</v>
      </c>
      <c r="W145" s="5" t="str">
        <f t="shared" si="39"/>
        <v>NO</v>
      </c>
      <c r="X145" s="5">
        <f t="shared" si="49"/>
        <v>0</v>
      </c>
      <c r="Y145" s="1"/>
    </row>
    <row r="146" spans="2:25" x14ac:dyDescent="0.25">
      <c r="B146" s="1" t="s">
        <v>240</v>
      </c>
      <c r="C146" s="1" t="s">
        <v>151</v>
      </c>
      <c r="D146" s="1" t="s">
        <v>243</v>
      </c>
      <c r="E146" s="1" t="s">
        <v>344</v>
      </c>
      <c r="F146" s="2">
        <f t="shared" si="40"/>
        <v>250000</v>
      </c>
      <c r="G146" s="4">
        <f>+VLOOKUP(C146,Indicadores!B:C,2,FALSE)</f>
        <v>0.80039999999999989</v>
      </c>
      <c r="H146" s="1" t="str">
        <f t="shared" si="41"/>
        <v>No Cumple</v>
      </c>
      <c r="I146" s="4">
        <f>+VLOOKUP(C146,Indicadores!B:F,5,FALSE)</f>
        <v>1</v>
      </c>
      <c r="J146" s="1" t="str">
        <f t="shared" si="42"/>
        <v>Cumple</v>
      </c>
      <c r="K146" s="9">
        <f t="shared" si="36"/>
        <v>150000</v>
      </c>
      <c r="L146" s="4">
        <f>+VLOOKUP(C146,Indicadores!B:P,15,FALSE)</f>
        <v>0.71376666666666677</v>
      </c>
      <c r="M146" s="1" t="str">
        <f t="shared" si="43"/>
        <v>No Cumple</v>
      </c>
      <c r="N146" s="5">
        <f t="shared" si="44"/>
        <v>0</v>
      </c>
      <c r="O146" s="5">
        <f t="shared" si="37"/>
        <v>50000</v>
      </c>
      <c r="P146" s="4">
        <v>0.95</v>
      </c>
      <c r="Q146" s="5" t="str">
        <f t="shared" si="45"/>
        <v>Cumple</v>
      </c>
      <c r="R146" s="5">
        <f t="shared" si="46"/>
        <v>47500</v>
      </c>
      <c r="S146" s="5">
        <f t="shared" si="38"/>
        <v>50000</v>
      </c>
      <c r="T146" s="4">
        <f>+VLOOKUP(C146,Indicadores!B:V,21,FALSE)</f>
        <v>0.5</v>
      </c>
      <c r="U146" s="35" t="str">
        <f t="shared" si="47"/>
        <v>No Cumple</v>
      </c>
      <c r="V146" s="2">
        <f t="shared" si="48"/>
        <v>0</v>
      </c>
      <c r="W146" s="5" t="str">
        <f t="shared" si="39"/>
        <v>NO</v>
      </c>
      <c r="X146" s="5">
        <f t="shared" si="49"/>
        <v>0</v>
      </c>
      <c r="Y146" s="1"/>
    </row>
    <row r="147" spans="2:25" x14ac:dyDescent="0.25">
      <c r="B147" s="1" t="s">
        <v>240</v>
      </c>
      <c r="C147" s="1" t="s">
        <v>152</v>
      </c>
      <c r="D147" s="1" t="s">
        <v>243</v>
      </c>
      <c r="E147" s="1" t="s">
        <v>344</v>
      </c>
      <c r="F147" s="2">
        <f t="shared" si="40"/>
        <v>250000</v>
      </c>
      <c r="G147" s="4">
        <f>+VLOOKUP(C147,Indicadores!B:C,2,FALSE)</f>
        <v>0.85429999999999995</v>
      </c>
      <c r="H147" s="1" t="str">
        <f t="shared" si="41"/>
        <v>No Cumple</v>
      </c>
      <c r="I147" s="4">
        <f>+VLOOKUP(C147,Indicadores!B:F,5,FALSE)</f>
        <v>1</v>
      </c>
      <c r="J147" s="1" t="str">
        <f t="shared" si="42"/>
        <v>Cumple</v>
      </c>
      <c r="K147" s="9">
        <f t="shared" si="36"/>
        <v>150000</v>
      </c>
      <c r="L147" s="4">
        <f>+VLOOKUP(C147,Indicadores!B:P,15,FALSE)</f>
        <v>0.76056666666666661</v>
      </c>
      <c r="M147" s="1" t="str">
        <f t="shared" si="43"/>
        <v>No Cumple</v>
      </c>
      <c r="N147" s="5">
        <f t="shared" si="44"/>
        <v>0</v>
      </c>
      <c r="O147" s="5">
        <f t="shared" si="37"/>
        <v>50000</v>
      </c>
      <c r="P147" s="4">
        <v>0.95</v>
      </c>
      <c r="Q147" s="5" t="str">
        <f t="shared" si="45"/>
        <v>Cumple</v>
      </c>
      <c r="R147" s="5">
        <f t="shared" si="46"/>
        <v>47500</v>
      </c>
      <c r="S147" s="5">
        <f t="shared" si="38"/>
        <v>50000</v>
      </c>
      <c r="T147" s="4">
        <f>+VLOOKUP(C147,Indicadores!B:V,21,FALSE)</f>
        <v>0.5</v>
      </c>
      <c r="U147" s="35" t="str">
        <f t="shared" si="47"/>
        <v>No Cumple</v>
      </c>
      <c r="V147" s="2">
        <f t="shared" si="48"/>
        <v>0</v>
      </c>
      <c r="W147" s="5" t="str">
        <f t="shared" si="39"/>
        <v>NO</v>
      </c>
      <c r="X147" s="5">
        <f t="shared" si="49"/>
        <v>0</v>
      </c>
      <c r="Y147" s="1"/>
    </row>
    <row r="148" spans="2:25" x14ac:dyDescent="0.25">
      <c r="B148" s="1" t="s">
        <v>240</v>
      </c>
      <c r="C148" s="1" t="s">
        <v>153</v>
      </c>
      <c r="D148" s="1" t="s">
        <v>243</v>
      </c>
      <c r="E148" s="1" t="s">
        <v>344</v>
      </c>
      <c r="F148" s="2">
        <f t="shared" si="40"/>
        <v>250000</v>
      </c>
      <c r="G148" s="4">
        <f>+VLOOKUP(C148,Indicadores!B:C,2,FALSE)</f>
        <v>0.77709090909090905</v>
      </c>
      <c r="H148" s="1" t="str">
        <f t="shared" si="41"/>
        <v>No Cumple</v>
      </c>
      <c r="I148" s="4">
        <f>+VLOOKUP(C148,Indicadores!B:F,5,FALSE)</f>
        <v>0.9375</v>
      </c>
      <c r="J148" s="1" t="str">
        <f t="shared" si="42"/>
        <v>No Cumple</v>
      </c>
      <c r="K148" s="9">
        <f t="shared" si="36"/>
        <v>150000</v>
      </c>
      <c r="L148" s="4">
        <f>+VLOOKUP(C148,Indicadores!B:P,15,FALSE)</f>
        <v>0.73396666666666677</v>
      </c>
      <c r="M148" s="1" t="str">
        <f t="shared" si="43"/>
        <v>No Cumple</v>
      </c>
      <c r="N148" s="5">
        <f t="shared" si="44"/>
        <v>0</v>
      </c>
      <c r="O148" s="5">
        <f t="shared" si="37"/>
        <v>50000</v>
      </c>
      <c r="P148" s="4">
        <v>0.95</v>
      </c>
      <c r="Q148" s="5" t="str">
        <f t="shared" si="45"/>
        <v>Cumple</v>
      </c>
      <c r="R148" s="5">
        <f t="shared" si="46"/>
        <v>47500</v>
      </c>
      <c r="S148" s="5">
        <f t="shared" si="38"/>
        <v>50000</v>
      </c>
      <c r="T148" s="4">
        <f>+VLOOKUP(C148,Indicadores!B:V,21,FALSE)</f>
        <v>0.5</v>
      </c>
      <c r="U148" s="35" t="str">
        <f t="shared" si="47"/>
        <v>No Cumple</v>
      </c>
      <c r="V148" s="2">
        <f t="shared" si="48"/>
        <v>0</v>
      </c>
      <c r="W148" s="5" t="str">
        <f t="shared" si="39"/>
        <v>NO</v>
      </c>
      <c r="X148" s="5">
        <f t="shared" si="49"/>
        <v>0</v>
      </c>
      <c r="Y148" s="1"/>
    </row>
    <row r="149" spans="2:25" x14ac:dyDescent="0.25">
      <c r="B149" s="1" t="s">
        <v>240</v>
      </c>
      <c r="C149" s="1" t="s">
        <v>154</v>
      </c>
      <c r="D149" s="1" t="s">
        <v>243</v>
      </c>
      <c r="E149" s="1" t="s">
        <v>344</v>
      </c>
      <c r="F149" s="2">
        <f t="shared" si="40"/>
        <v>250000</v>
      </c>
      <c r="G149" s="4">
        <f>+VLOOKUP(C149,Indicadores!B:C,2,FALSE)</f>
        <v>0.81150000000000011</v>
      </c>
      <c r="H149" s="1" t="str">
        <f t="shared" si="41"/>
        <v>No Cumple</v>
      </c>
      <c r="I149" s="4">
        <f>+VLOOKUP(C149,Indicadores!B:F,5,FALSE)</f>
        <v>1</v>
      </c>
      <c r="J149" s="1" t="str">
        <f t="shared" si="42"/>
        <v>Cumple</v>
      </c>
      <c r="K149" s="9">
        <f t="shared" si="36"/>
        <v>150000</v>
      </c>
      <c r="L149" s="4">
        <f>+VLOOKUP(C149,Indicadores!B:P,15,FALSE)</f>
        <v>0.75490000000000002</v>
      </c>
      <c r="M149" s="1" t="str">
        <f t="shared" si="43"/>
        <v>No Cumple</v>
      </c>
      <c r="N149" s="5">
        <f t="shared" si="44"/>
        <v>0</v>
      </c>
      <c r="O149" s="5">
        <f t="shared" si="37"/>
        <v>50000</v>
      </c>
      <c r="P149" s="4">
        <v>0.95</v>
      </c>
      <c r="Q149" s="5" t="str">
        <f t="shared" si="45"/>
        <v>Cumple</v>
      </c>
      <c r="R149" s="5">
        <f t="shared" si="46"/>
        <v>47500</v>
      </c>
      <c r="S149" s="5">
        <f t="shared" si="38"/>
        <v>50000</v>
      </c>
      <c r="T149" s="4">
        <f>+VLOOKUP(C149,Indicadores!B:V,21,FALSE)</f>
        <v>0.5</v>
      </c>
      <c r="U149" s="35" t="str">
        <f t="shared" si="47"/>
        <v>No Cumple</v>
      </c>
      <c r="V149" s="2">
        <f t="shared" si="48"/>
        <v>0</v>
      </c>
      <c r="W149" s="5" t="str">
        <f t="shared" si="39"/>
        <v>NO</v>
      </c>
      <c r="X149" s="5">
        <f t="shared" si="49"/>
        <v>0</v>
      </c>
      <c r="Y149" s="1"/>
    </row>
    <row r="150" spans="2:25" x14ac:dyDescent="0.25">
      <c r="B150" s="1" t="s">
        <v>240</v>
      </c>
      <c r="C150" s="1" t="s">
        <v>155</v>
      </c>
      <c r="D150" s="1" t="s">
        <v>243</v>
      </c>
      <c r="E150" s="1" t="s">
        <v>344</v>
      </c>
      <c r="F150" s="2">
        <f t="shared" si="40"/>
        <v>250000</v>
      </c>
      <c r="G150" s="4">
        <f>+VLOOKUP(C150,Indicadores!B:C,2,FALSE)</f>
        <v>0.81819090909090919</v>
      </c>
      <c r="H150" s="1" t="str">
        <f t="shared" si="41"/>
        <v>No Cumple</v>
      </c>
      <c r="I150" s="4">
        <f>+VLOOKUP(C150,Indicadores!B:F,5,FALSE)</f>
        <v>0.89473684210526316</v>
      </c>
      <c r="J150" s="1" t="str">
        <f t="shared" si="42"/>
        <v>No Cumple</v>
      </c>
      <c r="K150" s="9">
        <f t="shared" si="36"/>
        <v>150000</v>
      </c>
      <c r="L150" s="4">
        <f>+VLOOKUP(C150,Indicadores!B:P,15,FALSE)</f>
        <v>0.72226666666666661</v>
      </c>
      <c r="M150" s="1" t="str">
        <f t="shared" si="43"/>
        <v>No Cumple</v>
      </c>
      <c r="N150" s="5">
        <f t="shared" si="44"/>
        <v>0</v>
      </c>
      <c r="O150" s="5">
        <f t="shared" si="37"/>
        <v>50000</v>
      </c>
      <c r="P150" s="4">
        <v>0.95</v>
      </c>
      <c r="Q150" s="5" t="str">
        <f t="shared" si="45"/>
        <v>Cumple</v>
      </c>
      <c r="R150" s="5">
        <f t="shared" si="46"/>
        <v>47500</v>
      </c>
      <c r="S150" s="5">
        <f t="shared" si="38"/>
        <v>50000</v>
      </c>
      <c r="T150" s="4">
        <f>+VLOOKUP(C150,Indicadores!B:V,21,FALSE)</f>
        <v>1</v>
      </c>
      <c r="U150" s="35" t="str">
        <f t="shared" si="47"/>
        <v>Cumple</v>
      </c>
      <c r="V150" s="2">
        <f t="shared" si="48"/>
        <v>50000</v>
      </c>
      <c r="W150" s="5" t="str">
        <f t="shared" si="39"/>
        <v>NO</v>
      </c>
      <c r="X150" s="5">
        <f t="shared" si="49"/>
        <v>0</v>
      </c>
      <c r="Y150" s="1"/>
    </row>
    <row r="151" spans="2:25" x14ac:dyDescent="0.25">
      <c r="B151" s="1" t="s">
        <v>240</v>
      </c>
      <c r="C151" s="1" t="s">
        <v>156</v>
      </c>
      <c r="D151" s="1" t="s">
        <v>243</v>
      </c>
      <c r="E151" s="1" t="s">
        <v>344</v>
      </c>
      <c r="F151" s="2">
        <f t="shared" si="40"/>
        <v>250000</v>
      </c>
      <c r="G151" s="4">
        <f>+VLOOKUP(C151,Indicadores!B:C,2,FALSE)</f>
        <v>0.77070000000000005</v>
      </c>
      <c r="H151" s="1" t="str">
        <f t="shared" si="41"/>
        <v>No Cumple</v>
      </c>
      <c r="I151" s="4">
        <f>+VLOOKUP(C151,Indicadores!B:F,5,FALSE)</f>
        <v>0.83333333333333337</v>
      </c>
      <c r="J151" s="1" t="str">
        <f t="shared" si="42"/>
        <v>No Cumple</v>
      </c>
      <c r="K151" s="9">
        <f t="shared" si="36"/>
        <v>150000</v>
      </c>
      <c r="L151" s="4">
        <f>+VLOOKUP(C151,Indicadores!B:P,15,FALSE)</f>
        <v>0.6303333333333333</v>
      </c>
      <c r="M151" s="1" t="str">
        <f t="shared" si="43"/>
        <v>No Cumple</v>
      </c>
      <c r="N151" s="5">
        <f t="shared" si="44"/>
        <v>0</v>
      </c>
      <c r="O151" s="5">
        <f t="shared" si="37"/>
        <v>50000</v>
      </c>
      <c r="P151" s="4">
        <v>0.95</v>
      </c>
      <c r="Q151" s="5" t="str">
        <f t="shared" si="45"/>
        <v>Cumple</v>
      </c>
      <c r="R151" s="5">
        <f t="shared" si="46"/>
        <v>47500</v>
      </c>
      <c r="S151" s="5">
        <f t="shared" si="38"/>
        <v>50000</v>
      </c>
      <c r="T151" s="4">
        <f>+VLOOKUP(C151,Indicadores!B:V,21,FALSE)</f>
        <v>0.5</v>
      </c>
      <c r="U151" s="35" t="str">
        <f t="shared" si="47"/>
        <v>No Cumple</v>
      </c>
      <c r="V151" s="2">
        <f t="shared" si="48"/>
        <v>0</v>
      </c>
      <c r="W151" s="5" t="str">
        <f t="shared" si="39"/>
        <v>NO</v>
      </c>
      <c r="X151" s="5">
        <f t="shared" si="49"/>
        <v>0</v>
      </c>
      <c r="Y151" s="1"/>
    </row>
    <row r="152" spans="2:25" x14ac:dyDescent="0.25">
      <c r="B152" s="1" t="s">
        <v>240</v>
      </c>
      <c r="C152" s="1" t="s">
        <v>157</v>
      </c>
      <c r="D152" s="1" t="s">
        <v>243</v>
      </c>
      <c r="E152" s="1" t="s">
        <v>344</v>
      </c>
      <c r="F152" s="2">
        <f t="shared" si="40"/>
        <v>250000</v>
      </c>
      <c r="G152" s="4">
        <f>+VLOOKUP(C152,Indicadores!B:C,2,FALSE)</f>
        <v>0.776590909090909</v>
      </c>
      <c r="H152" s="1" t="str">
        <f t="shared" si="41"/>
        <v>No Cumple</v>
      </c>
      <c r="I152" s="4">
        <f>+VLOOKUP(C152,Indicadores!B:F,5,FALSE)</f>
        <v>1</v>
      </c>
      <c r="J152" s="1" t="str">
        <f t="shared" si="42"/>
        <v>Cumple</v>
      </c>
      <c r="K152" s="9">
        <f t="shared" si="36"/>
        <v>150000</v>
      </c>
      <c r="L152" s="4">
        <f>+VLOOKUP(C152,Indicadores!B:P,15,FALSE)</f>
        <v>0.67166666666666652</v>
      </c>
      <c r="M152" s="1" t="str">
        <f t="shared" si="43"/>
        <v>No Cumple</v>
      </c>
      <c r="N152" s="5">
        <f t="shared" si="44"/>
        <v>0</v>
      </c>
      <c r="O152" s="5">
        <f t="shared" si="37"/>
        <v>50000</v>
      </c>
      <c r="P152" s="4">
        <v>0.95</v>
      </c>
      <c r="Q152" s="5" t="str">
        <f t="shared" si="45"/>
        <v>Cumple</v>
      </c>
      <c r="R152" s="5">
        <f t="shared" si="46"/>
        <v>47500</v>
      </c>
      <c r="S152" s="5">
        <f t="shared" si="38"/>
        <v>50000</v>
      </c>
      <c r="T152" s="4">
        <f>+VLOOKUP(C152,Indicadores!B:V,21,FALSE)</f>
        <v>0.99399999999999999</v>
      </c>
      <c r="U152" s="35" t="str">
        <f t="shared" si="47"/>
        <v>No Cumple</v>
      </c>
      <c r="V152" s="2">
        <f t="shared" si="48"/>
        <v>0</v>
      </c>
      <c r="W152" s="5" t="str">
        <f t="shared" si="39"/>
        <v>NO</v>
      </c>
      <c r="X152" s="5">
        <f t="shared" si="49"/>
        <v>0</v>
      </c>
      <c r="Y152" s="1"/>
    </row>
    <row r="153" spans="2:25" x14ac:dyDescent="0.25">
      <c r="B153" s="1" t="s">
        <v>240</v>
      </c>
      <c r="C153" s="1" t="s">
        <v>158</v>
      </c>
      <c r="D153" s="1" t="s">
        <v>243</v>
      </c>
      <c r="E153" s="1" t="s">
        <v>344</v>
      </c>
      <c r="F153" s="2">
        <f t="shared" si="40"/>
        <v>250000</v>
      </c>
      <c r="G153" s="4">
        <f>+VLOOKUP(C153,Indicadores!B:C,2,FALSE)</f>
        <v>0.77338181818181806</v>
      </c>
      <c r="H153" s="1" t="str">
        <f t="shared" si="41"/>
        <v>No Cumple</v>
      </c>
      <c r="I153" s="4">
        <f>+VLOOKUP(C153,Indicadores!B:F,5,FALSE)</f>
        <v>1</v>
      </c>
      <c r="J153" s="1" t="str">
        <f t="shared" si="42"/>
        <v>Cumple</v>
      </c>
      <c r="K153" s="9">
        <f t="shared" si="36"/>
        <v>150000</v>
      </c>
      <c r="L153" s="4">
        <f>+VLOOKUP(C153,Indicadores!B:P,15,FALSE)</f>
        <v>0.60483333333333333</v>
      </c>
      <c r="M153" s="1" t="str">
        <f t="shared" si="43"/>
        <v>No Cumple</v>
      </c>
      <c r="N153" s="5">
        <f t="shared" si="44"/>
        <v>0</v>
      </c>
      <c r="O153" s="5">
        <f t="shared" si="37"/>
        <v>50000</v>
      </c>
      <c r="P153" s="4">
        <v>0.95</v>
      </c>
      <c r="Q153" s="5" t="str">
        <f t="shared" si="45"/>
        <v>Cumple</v>
      </c>
      <c r="R153" s="5">
        <f t="shared" si="46"/>
        <v>47500</v>
      </c>
      <c r="S153" s="5">
        <f t="shared" si="38"/>
        <v>50000</v>
      </c>
      <c r="T153" s="4">
        <f>+VLOOKUP(C153,Indicadores!B:V,21,FALSE)</f>
        <v>1</v>
      </c>
      <c r="U153" s="35" t="str">
        <f t="shared" si="47"/>
        <v>Cumple</v>
      </c>
      <c r="V153" s="2">
        <f t="shared" si="48"/>
        <v>50000</v>
      </c>
      <c r="W153" s="5" t="str">
        <f t="shared" si="39"/>
        <v>NO</v>
      </c>
      <c r="X153" s="5">
        <f t="shared" si="49"/>
        <v>0</v>
      </c>
      <c r="Y153" s="1"/>
    </row>
    <row r="154" spans="2:25" x14ac:dyDescent="0.25">
      <c r="B154" s="1" t="s">
        <v>239</v>
      </c>
      <c r="C154" s="1" t="s">
        <v>159</v>
      </c>
      <c r="D154" s="1" t="s">
        <v>243</v>
      </c>
      <c r="E154" s="1" t="s">
        <v>345</v>
      </c>
      <c r="F154" s="2">
        <f t="shared" si="40"/>
        <v>250000</v>
      </c>
      <c r="G154" s="4">
        <f>+VLOOKUP(C154,Indicadores!B:C,2,FALSE)</f>
        <v>0.8475454545454546</v>
      </c>
      <c r="H154" s="1" t="str">
        <f t="shared" si="41"/>
        <v>No Cumple</v>
      </c>
      <c r="I154" s="4">
        <f>+VLOOKUP(C154,Indicadores!B:F,5,FALSE)</f>
        <v>1</v>
      </c>
      <c r="J154" s="1" t="str">
        <f t="shared" si="42"/>
        <v>Cumple</v>
      </c>
      <c r="K154" s="9">
        <f t="shared" si="36"/>
        <v>150000</v>
      </c>
      <c r="L154" s="4">
        <f>+VLOOKUP(C154,Indicadores!B:P,15,FALSE)</f>
        <v>0.82350000000000001</v>
      </c>
      <c r="M154" s="1" t="str">
        <f t="shared" si="43"/>
        <v>Cumple</v>
      </c>
      <c r="N154" s="5">
        <f t="shared" si="44"/>
        <v>120000</v>
      </c>
      <c r="O154" s="5">
        <f t="shared" si="37"/>
        <v>50000</v>
      </c>
      <c r="P154" s="4">
        <v>0.95</v>
      </c>
      <c r="Q154" s="5" t="str">
        <f t="shared" si="45"/>
        <v>Cumple</v>
      </c>
      <c r="R154" s="5">
        <f t="shared" si="46"/>
        <v>47500</v>
      </c>
      <c r="S154" s="5">
        <f t="shared" si="38"/>
        <v>50000</v>
      </c>
      <c r="T154" s="4">
        <f>+VLOOKUP(C154,Indicadores!B:V,21,FALSE)</f>
        <v>0.5</v>
      </c>
      <c r="U154" s="35" t="str">
        <f t="shared" si="47"/>
        <v>No Cumple</v>
      </c>
      <c r="V154" s="2">
        <f t="shared" si="48"/>
        <v>0</v>
      </c>
      <c r="W154" s="5" t="str">
        <f t="shared" si="39"/>
        <v>NO</v>
      </c>
      <c r="X154" s="5">
        <f t="shared" si="49"/>
        <v>0</v>
      </c>
      <c r="Y154" s="1"/>
    </row>
    <row r="155" spans="2:25" x14ac:dyDescent="0.25">
      <c r="B155" s="1" t="s">
        <v>239</v>
      </c>
      <c r="C155" s="1" t="s">
        <v>160</v>
      </c>
      <c r="D155" s="1" t="s">
        <v>243</v>
      </c>
      <c r="E155" s="1" t="s">
        <v>345</v>
      </c>
      <c r="F155" s="2">
        <f t="shared" si="40"/>
        <v>250000</v>
      </c>
      <c r="G155" s="4">
        <f>+VLOOKUP(C155,Indicadores!B:C,2,FALSE)</f>
        <v>0.83440909090909088</v>
      </c>
      <c r="H155" s="1" t="str">
        <f t="shared" si="41"/>
        <v>No Cumple</v>
      </c>
      <c r="I155" s="4">
        <f>+VLOOKUP(C155,Indicadores!B:F,5,FALSE)</f>
        <v>1</v>
      </c>
      <c r="J155" s="1" t="str">
        <f t="shared" si="42"/>
        <v>Cumple</v>
      </c>
      <c r="K155" s="9">
        <f t="shared" si="36"/>
        <v>150000</v>
      </c>
      <c r="L155" s="4">
        <f>+VLOOKUP(C155,Indicadores!B:P,15,FALSE)</f>
        <v>0.41899999999999998</v>
      </c>
      <c r="M155" s="1" t="str">
        <f t="shared" si="43"/>
        <v>No Cumple</v>
      </c>
      <c r="N155" s="5">
        <f t="shared" si="44"/>
        <v>0</v>
      </c>
      <c r="O155" s="5">
        <f t="shared" si="37"/>
        <v>50000</v>
      </c>
      <c r="P155" s="4">
        <v>0.95</v>
      </c>
      <c r="Q155" s="5" t="str">
        <f t="shared" si="45"/>
        <v>Cumple</v>
      </c>
      <c r="R155" s="5">
        <f t="shared" si="46"/>
        <v>47500</v>
      </c>
      <c r="S155" s="5">
        <f t="shared" si="38"/>
        <v>50000</v>
      </c>
      <c r="T155" s="4">
        <f>+VLOOKUP(C155,Indicadores!B:V,21,FALSE)</f>
        <v>0.5</v>
      </c>
      <c r="U155" s="35" t="str">
        <f t="shared" si="47"/>
        <v>No Cumple</v>
      </c>
      <c r="V155" s="2">
        <f t="shared" si="48"/>
        <v>0</v>
      </c>
      <c r="W155" s="5" t="str">
        <f t="shared" si="39"/>
        <v>NO</v>
      </c>
      <c r="X155" s="5">
        <f t="shared" si="49"/>
        <v>0</v>
      </c>
      <c r="Y155" s="1"/>
    </row>
    <row r="156" spans="2:25" x14ac:dyDescent="0.25">
      <c r="B156" s="1" t="s">
        <v>239</v>
      </c>
      <c r="C156" s="1" t="s">
        <v>161</v>
      </c>
      <c r="D156" s="1" t="s">
        <v>243</v>
      </c>
      <c r="E156" s="1" t="s">
        <v>345</v>
      </c>
      <c r="F156" s="2">
        <f t="shared" si="40"/>
        <v>250000</v>
      </c>
      <c r="G156" s="4">
        <f>+VLOOKUP(C156,Indicadores!B:C,2,FALSE)</f>
        <v>0.70810909090909102</v>
      </c>
      <c r="H156" s="1" t="str">
        <f t="shared" si="41"/>
        <v>No Cumple</v>
      </c>
      <c r="I156" s="4">
        <f>+VLOOKUP(C156,Indicadores!B:F,5,FALSE)</f>
        <v>0.58333333333333337</v>
      </c>
      <c r="J156" s="1" t="str">
        <f t="shared" si="42"/>
        <v>No Cumple</v>
      </c>
      <c r="K156" s="9">
        <f t="shared" si="36"/>
        <v>150000</v>
      </c>
      <c r="L156" s="4">
        <f>+VLOOKUP(C156,Indicadores!B:P,15,FALSE)</f>
        <v>0.29823333333333335</v>
      </c>
      <c r="M156" s="1" t="str">
        <f t="shared" si="43"/>
        <v>No Cumple</v>
      </c>
      <c r="N156" s="5">
        <f t="shared" si="44"/>
        <v>0</v>
      </c>
      <c r="O156" s="5">
        <f t="shared" si="37"/>
        <v>50000</v>
      </c>
      <c r="P156" s="4">
        <v>0.95</v>
      </c>
      <c r="Q156" s="5" t="str">
        <f t="shared" si="45"/>
        <v>Cumple</v>
      </c>
      <c r="R156" s="5">
        <f t="shared" si="46"/>
        <v>47500</v>
      </c>
      <c r="S156" s="5">
        <f t="shared" si="38"/>
        <v>50000</v>
      </c>
      <c r="T156" s="4">
        <f>+VLOOKUP(C156,Indicadores!B:V,21,FALSE)</f>
        <v>0.89470000000000005</v>
      </c>
      <c r="U156" s="35" t="str">
        <f t="shared" si="47"/>
        <v>No Cumple</v>
      </c>
      <c r="V156" s="2">
        <f t="shared" si="48"/>
        <v>0</v>
      </c>
      <c r="W156" s="5" t="str">
        <f t="shared" si="39"/>
        <v>NO</v>
      </c>
      <c r="X156" s="5">
        <f t="shared" si="49"/>
        <v>0</v>
      </c>
      <c r="Y156" s="1"/>
    </row>
    <row r="157" spans="2:25" x14ac:dyDescent="0.25">
      <c r="B157" s="1" t="s">
        <v>239</v>
      </c>
      <c r="C157" s="1" t="s">
        <v>162</v>
      </c>
      <c r="D157" s="1" t="s">
        <v>243</v>
      </c>
      <c r="E157" s="1" t="s">
        <v>345</v>
      </c>
      <c r="F157" s="2">
        <f t="shared" si="40"/>
        <v>250000</v>
      </c>
      <c r="G157" s="4">
        <f>+VLOOKUP(C157,Indicadores!B:C,2,FALSE)</f>
        <v>0.82828181818181823</v>
      </c>
      <c r="H157" s="1" t="str">
        <f t="shared" si="41"/>
        <v>No Cumple</v>
      </c>
      <c r="I157" s="4">
        <f>+VLOOKUP(C157,Indicadores!B:F,5,FALSE)</f>
        <v>1</v>
      </c>
      <c r="J157" s="1" t="str">
        <f t="shared" si="42"/>
        <v>Cumple</v>
      </c>
      <c r="K157" s="9">
        <f t="shared" si="36"/>
        <v>150000</v>
      </c>
      <c r="L157" s="4">
        <f>+VLOOKUP(C157,Indicadores!B:P,15,FALSE)</f>
        <v>0.59523333333333328</v>
      </c>
      <c r="M157" s="1" t="str">
        <f t="shared" si="43"/>
        <v>No Cumple</v>
      </c>
      <c r="N157" s="5">
        <f t="shared" si="44"/>
        <v>0</v>
      </c>
      <c r="O157" s="5">
        <f t="shared" si="37"/>
        <v>50000</v>
      </c>
      <c r="P157" s="4">
        <v>0.95</v>
      </c>
      <c r="Q157" s="5" t="str">
        <f t="shared" si="45"/>
        <v>Cumple</v>
      </c>
      <c r="R157" s="5">
        <f t="shared" si="46"/>
        <v>47500</v>
      </c>
      <c r="S157" s="5">
        <f t="shared" si="38"/>
        <v>50000</v>
      </c>
      <c r="T157" s="4">
        <f>+VLOOKUP(C157,Indicadores!B:V,21,FALSE)</f>
        <v>1</v>
      </c>
      <c r="U157" s="35" t="str">
        <f t="shared" si="47"/>
        <v>Cumple</v>
      </c>
      <c r="V157" s="2">
        <f t="shared" si="48"/>
        <v>50000</v>
      </c>
      <c r="W157" s="5" t="str">
        <f t="shared" si="39"/>
        <v>NO</v>
      </c>
      <c r="X157" s="5">
        <f t="shared" si="49"/>
        <v>0</v>
      </c>
      <c r="Y157" s="1"/>
    </row>
    <row r="158" spans="2:25" x14ac:dyDescent="0.25">
      <c r="B158" s="1" t="s">
        <v>239</v>
      </c>
      <c r="C158" s="1" t="s">
        <v>163</v>
      </c>
      <c r="D158" s="1" t="s">
        <v>243</v>
      </c>
      <c r="E158" s="1" t="s">
        <v>345</v>
      </c>
      <c r="F158" s="2">
        <f t="shared" si="40"/>
        <v>250000</v>
      </c>
      <c r="G158" s="4">
        <f>+VLOOKUP(C158,Indicadores!B:C,2,FALSE)</f>
        <v>0.82155454545454554</v>
      </c>
      <c r="H158" s="1" t="str">
        <f t="shared" si="41"/>
        <v>No Cumple</v>
      </c>
      <c r="I158" s="4">
        <f>+VLOOKUP(C158,Indicadores!B:F,5,FALSE)</f>
        <v>0.8571428571428571</v>
      </c>
      <c r="J158" s="1" t="str">
        <f t="shared" si="42"/>
        <v>No Cumple</v>
      </c>
      <c r="K158" s="9">
        <f t="shared" si="36"/>
        <v>150000</v>
      </c>
      <c r="L158" s="4">
        <f>+VLOOKUP(C158,Indicadores!B:P,15,FALSE)</f>
        <v>0.61730000000000007</v>
      </c>
      <c r="M158" s="1" t="str">
        <f t="shared" si="43"/>
        <v>No Cumple</v>
      </c>
      <c r="N158" s="5">
        <f t="shared" si="44"/>
        <v>0</v>
      </c>
      <c r="O158" s="5">
        <f t="shared" si="37"/>
        <v>50000</v>
      </c>
      <c r="P158" s="4">
        <v>0.95</v>
      </c>
      <c r="Q158" s="5" t="str">
        <f t="shared" si="45"/>
        <v>Cumple</v>
      </c>
      <c r="R158" s="5">
        <f t="shared" si="46"/>
        <v>47500</v>
      </c>
      <c r="S158" s="5">
        <f t="shared" si="38"/>
        <v>50000</v>
      </c>
      <c r="T158" s="4">
        <f>+VLOOKUP(C158,Indicadores!B:V,21,FALSE)</f>
        <v>0.5</v>
      </c>
      <c r="U158" s="35" t="str">
        <f t="shared" si="47"/>
        <v>No Cumple</v>
      </c>
      <c r="V158" s="2">
        <f t="shared" si="48"/>
        <v>0</v>
      </c>
      <c r="W158" s="5" t="str">
        <f t="shared" si="39"/>
        <v>NO</v>
      </c>
      <c r="X158" s="5">
        <f t="shared" si="49"/>
        <v>0</v>
      </c>
      <c r="Y158" s="1"/>
    </row>
    <row r="159" spans="2:25" x14ac:dyDescent="0.25">
      <c r="B159" s="1" t="s">
        <v>239</v>
      </c>
      <c r="C159" s="1" t="s">
        <v>164</v>
      </c>
      <c r="D159" s="1" t="s">
        <v>243</v>
      </c>
      <c r="E159" s="1" t="s">
        <v>345</v>
      </c>
      <c r="F159" s="2">
        <f t="shared" si="40"/>
        <v>250000</v>
      </c>
      <c r="G159" s="4">
        <f>+VLOOKUP(C159,Indicadores!B:C,2,FALSE)</f>
        <v>0.76262727272727271</v>
      </c>
      <c r="H159" s="1" t="str">
        <f t="shared" si="41"/>
        <v>No Cumple</v>
      </c>
      <c r="I159" s="4">
        <f>+VLOOKUP(C159,Indicadores!B:F,5,FALSE)</f>
        <v>1</v>
      </c>
      <c r="J159" s="1" t="str">
        <f t="shared" si="42"/>
        <v>Cumple</v>
      </c>
      <c r="K159" s="9">
        <f t="shared" si="36"/>
        <v>150000</v>
      </c>
      <c r="L159" s="4">
        <f>+VLOOKUP(C159,Indicadores!B:P,15,FALSE)</f>
        <v>0.52083333333333337</v>
      </c>
      <c r="M159" s="1" t="str">
        <f t="shared" si="43"/>
        <v>No Cumple</v>
      </c>
      <c r="N159" s="5">
        <f t="shared" si="44"/>
        <v>0</v>
      </c>
      <c r="O159" s="5">
        <f t="shared" si="37"/>
        <v>50000</v>
      </c>
      <c r="P159" s="4">
        <v>0.95</v>
      </c>
      <c r="Q159" s="5" t="str">
        <f t="shared" si="45"/>
        <v>Cumple</v>
      </c>
      <c r="R159" s="5">
        <f t="shared" si="46"/>
        <v>47500</v>
      </c>
      <c r="S159" s="5">
        <f t="shared" si="38"/>
        <v>50000</v>
      </c>
      <c r="T159" s="4">
        <f>+VLOOKUP(C159,Indicadores!B:V,21,FALSE)</f>
        <v>1</v>
      </c>
      <c r="U159" s="35" t="str">
        <f t="shared" si="47"/>
        <v>Cumple</v>
      </c>
      <c r="V159" s="2">
        <f t="shared" si="48"/>
        <v>50000</v>
      </c>
      <c r="W159" s="5" t="str">
        <f t="shared" si="39"/>
        <v>NO</v>
      </c>
      <c r="X159" s="5">
        <f t="shared" si="49"/>
        <v>0</v>
      </c>
      <c r="Y159" s="1"/>
    </row>
    <row r="160" spans="2:25" x14ac:dyDescent="0.25">
      <c r="B160" s="1" t="s">
        <v>239</v>
      </c>
      <c r="C160" s="1" t="s">
        <v>165</v>
      </c>
      <c r="D160" s="1" t="s">
        <v>243</v>
      </c>
      <c r="E160" s="1" t="s">
        <v>345</v>
      </c>
      <c r="F160" s="2">
        <f t="shared" si="40"/>
        <v>250000</v>
      </c>
      <c r="G160" s="4">
        <f>+VLOOKUP(C160,Indicadores!B:C,2,FALSE)</f>
        <v>0.75681818181818172</v>
      </c>
      <c r="H160" s="1" t="str">
        <f t="shared" si="41"/>
        <v>No Cumple</v>
      </c>
      <c r="I160" s="4">
        <f>+VLOOKUP(C160,Indicadores!B:F,5,FALSE)</f>
        <v>0.90909090909090906</v>
      </c>
      <c r="J160" s="1" t="str">
        <f t="shared" si="42"/>
        <v>No Cumple</v>
      </c>
      <c r="K160" s="9">
        <f t="shared" si="36"/>
        <v>150000</v>
      </c>
      <c r="L160" s="4">
        <f>+VLOOKUP(C160,Indicadores!B:P,15,FALSE)</f>
        <v>0.40860000000000002</v>
      </c>
      <c r="M160" s="1" t="str">
        <f t="shared" si="43"/>
        <v>No Cumple</v>
      </c>
      <c r="N160" s="5">
        <f t="shared" si="44"/>
        <v>0</v>
      </c>
      <c r="O160" s="5">
        <f t="shared" si="37"/>
        <v>50000</v>
      </c>
      <c r="P160" s="4">
        <v>0.95</v>
      </c>
      <c r="Q160" s="5" t="str">
        <f t="shared" si="45"/>
        <v>Cumple</v>
      </c>
      <c r="R160" s="5">
        <f t="shared" si="46"/>
        <v>47500</v>
      </c>
      <c r="S160" s="5">
        <f t="shared" si="38"/>
        <v>50000</v>
      </c>
      <c r="T160" s="4">
        <f>+VLOOKUP(C160,Indicadores!B:V,21,FALSE)</f>
        <v>1</v>
      </c>
      <c r="U160" s="35" t="str">
        <f t="shared" si="47"/>
        <v>Cumple</v>
      </c>
      <c r="V160" s="2">
        <f t="shared" si="48"/>
        <v>50000</v>
      </c>
      <c r="W160" s="5" t="str">
        <f t="shared" si="39"/>
        <v>NO</v>
      </c>
      <c r="X160" s="5">
        <f t="shared" si="49"/>
        <v>0</v>
      </c>
      <c r="Y160" s="1"/>
    </row>
    <row r="161" spans="2:25" x14ac:dyDescent="0.25">
      <c r="B161" s="1" t="s">
        <v>239</v>
      </c>
      <c r="C161" s="1" t="s">
        <v>166</v>
      </c>
      <c r="D161" s="1" t="s">
        <v>243</v>
      </c>
      <c r="E161" s="1" t="s">
        <v>345</v>
      </c>
      <c r="F161" s="2">
        <f t="shared" si="40"/>
        <v>250000</v>
      </c>
      <c r="G161" s="4">
        <f>+VLOOKUP(C161,Indicadores!B:C,2,FALSE)</f>
        <v>0.800009090909091</v>
      </c>
      <c r="H161" s="1" t="str">
        <f t="shared" si="41"/>
        <v>No Cumple</v>
      </c>
      <c r="I161" s="4">
        <f>+VLOOKUP(C161,Indicadores!B:F,5,FALSE)</f>
        <v>1</v>
      </c>
      <c r="J161" s="1" t="str">
        <f t="shared" si="42"/>
        <v>Cumple</v>
      </c>
      <c r="K161" s="9">
        <f t="shared" si="36"/>
        <v>150000</v>
      </c>
      <c r="L161" s="4">
        <f>+VLOOKUP(C161,Indicadores!B:P,15,FALSE)</f>
        <v>0.42553333333333332</v>
      </c>
      <c r="M161" s="1" t="str">
        <f t="shared" si="43"/>
        <v>No Cumple</v>
      </c>
      <c r="N161" s="5">
        <f t="shared" si="44"/>
        <v>0</v>
      </c>
      <c r="O161" s="5">
        <f t="shared" si="37"/>
        <v>50000</v>
      </c>
      <c r="P161" s="4">
        <v>0.95</v>
      </c>
      <c r="Q161" s="5" t="str">
        <f t="shared" si="45"/>
        <v>Cumple</v>
      </c>
      <c r="R161" s="5">
        <f t="shared" si="46"/>
        <v>47500</v>
      </c>
      <c r="S161" s="5">
        <f t="shared" si="38"/>
        <v>50000</v>
      </c>
      <c r="T161" s="4">
        <f>+VLOOKUP(C161,Indicadores!B:V,21,FALSE)</f>
        <v>1</v>
      </c>
      <c r="U161" s="35" t="str">
        <f t="shared" si="47"/>
        <v>Cumple</v>
      </c>
      <c r="V161" s="2">
        <f t="shared" si="48"/>
        <v>50000</v>
      </c>
      <c r="W161" s="5" t="str">
        <f t="shared" si="39"/>
        <v>NO</v>
      </c>
      <c r="X161" s="5">
        <f t="shared" si="49"/>
        <v>0</v>
      </c>
      <c r="Y161" s="1"/>
    </row>
    <row r="162" spans="2:25" x14ac:dyDescent="0.25">
      <c r="B162" s="1" t="s">
        <v>239</v>
      </c>
      <c r="C162" s="1" t="s">
        <v>167</v>
      </c>
      <c r="D162" s="1" t="s">
        <v>243</v>
      </c>
      <c r="E162" s="1" t="s">
        <v>345</v>
      </c>
      <c r="F162" s="2">
        <f t="shared" si="40"/>
        <v>250000</v>
      </c>
      <c r="G162" s="4">
        <f>+VLOOKUP(C162,Indicadores!B:C,2,FALSE)</f>
        <v>0.92803636363636377</v>
      </c>
      <c r="H162" s="1" t="str">
        <f t="shared" si="41"/>
        <v>No Cumple</v>
      </c>
      <c r="I162" s="4">
        <f>+VLOOKUP(C162,Indicadores!B:F,5,FALSE)</f>
        <v>1</v>
      </c>
      <c r="J162" s="1" t="str">
        <f t="shared" si="42"/>
        <v>Cumple</v>
      </c>
      <c r="K162" s="9">
        <f t="shared" si="36"/>
        <v>150000</v>
      </c>
      <c r="L162" s="4">
        <f>+VLOOKUP(C162,Indicadores!B:P,15,FALSE)</f>
        <v>0.74670000000000003</v>
      </c>
      <c r="M162" s="1" t="str">
        <f t="shared" si="43"/>
        <v>No Cumple</v>
      </c>
      <c r="N162" s="5">
        <f t="shared" si="44"/>
        <v>0</v>
      </c>
      <c r="O162" s="5">
        <f t="shared" si="37"/>
        <v>50000</v>
      </c>
      <c r="P162" s="4">
        <v>0.95</v>
      </c>
      <c r="Q162" s="5" t="str">
        <f t="shared" si="45"/>
        <v>Cumple</v>
      </c>
      <c r="R162" s="5">
        <f t="shared" si="46"/>
        <v>47500</v>
      </c>
      <c r="S162" s="5">
        <f t="shared" si="38"/>
        <v>50000</v>
      </c>
      <c r="T162" s="4">
        <f>+VLOOKUP(C162,Indicadores!B:V,21,FALSE)</f>
        <v>0.5</v>
      </c>
      <c r="U162" s="35" t="str">
        <f t="shared" si="47"/>
        <v>No Cumple</v>
      </c>
      <c r="V162" s="2">
        <f t="shared" si="48"/>
        <v>0</v>
      </c>
      <c r="W162" s="5" t="str">
        <f t="shared" si="39"/>
        <v>NO</v>
      </c>
      <c r="X162" s="5">
        <f t="shared" si="49"/>
        <v>0</v>
      </c>
      <c r="Y162" s="1"/>
    </row>
    <row r="163" spans="2:25" x14ac:dyDescent="0.25">
      <c r="B163" s="1" t="s">
        <v>239</v>
      </c>
      <c r="C163" s="1" t="s">
        <v>168</v>
      </c>
      <c r="D163" s="1" t="s">
        <v>243</v>
      </c>
      <c r="E163" s="1" t="s">
        <v>345</v>
      </c>
      <c r="F163" s="2">
        <f t="shared" si="40"/>
        <v>250000</v>
      </c>
      <c r="G163" s="4">
        <f>+VLOOKUP(C163,Indicadores!B:C,2,FALSE)</f>
        <v>0.78182727272727282</v>
      </c>
      <c r="H163" s="1" t="str">
        <f t="shared" si="41"/>
        <v>No Cumple</v>
      </c>
      <c r="I163" s="4">
        <f>+VLOOKUP(C163,Indicadores!B:F,5,FALSE)</f>
        <v>1</v>
      </c>
      <c r="J163" s="1" t="str">
        <f t="shared" si="42"/>
        <v>Cumple</v>
      </c>
      <c r="K163" s="9">
        <f t="shared" si="36"/>
        <v>150000</v>
      </c>
      <c r="L163" s="4">
        <f>+VLOOKUP(C163,Indicadores!B:P,15,FALSE)</f>
        <v>0.71110000000000007</v>
      </c>
      <c r="M163" s="1" t="str">
        <f t="shared" si="43"/>
        <v>No Cumple</v>
      </c>
      <c r="N163" s="5">
        <f t="shared" si="44"/>
        <v>0</v>
      </c>
      <c r="O163" s="5">
        <f t="shared" si="37"/>
        <v>50000</v>
      </c>
      <c r="P163" s="4">
        <v>0.95</v>
      </c>
      <c r="Q163" s="5" t="str">
        <f t="shared" si="45"/>
        <v>Cumple</v>
      </c>
      <c r="R163" s="5">
        <f t="shared" si="46"/>
        <v>47500</v>
      </c>
      <c r="S163" s="5">
        <f t="shared" si="38"/>
        <v>50000</v>
      </c>
      <c r="T163" s="4">
        <f>+VLOOKUP(C163,Indicadores!B:V,21,FALSE)</f>
        <v>0.98334999999999995</v>
      </c>
      <c r="U163" s="35" t="str">
        <f t="shared" si="47"/>
        <v>No Cumple</v>
      </c>
      <c r="V163" s="2">
        <f t="shared" si="48"/>
        <v>0</v>
      </c>
      <c r="W163" s="5" t="str">
        <f t="shared" si="39"/>
        <v>NO</v>
      </c>
      <c r="X163" s="5">
        <f t="shared" si="49"/>
        <v>0</v>
      </c>
      <c r="Y163" s="1"/>
    </row>
    <row r="164" spans="2:25" x14ac:dyDescent="0.25">
      <c r="B164" s="1" t="s">
        <v>239</v>
      </c>
      <c r="C164" s="1" t="s">
        <v>169</v>
      </c>
      <c r="D164" s="1" t="s">
        <v>243</v>
      </c>
      <c r="E164" s="1" t="s">
        <v>345</v>
      </c>
      <c r="F164" s="2">
        <f t="shared" si="40"/>
        <v>250000</v>
      </c>
      <c r="G164" s="4">
        <f>+VLOOKUP(C164,Indicadores!B:C,2,FALSE)</f>
        <v>0.73587272727272712</v>
      </c>
      <c r="H164" s="1" t="str">
        <f t="shared" si="41"/>
        <v>No Cumple</v>
      </c>
      <c r="I164" s="4">
        <f>+VLOOKUP(C164,Indicadores!B:F,5,FALSE)</f>
        <v>0.875</v>
      </c>
      <c r="J164" s="1" t="str">
        <f t="shared" si="42"/>
        <v>No Cumple</v>
      </c>
      <c r="K164" s="9">
        <f t="shared" si="36"/>
        <v>150000</v>
      </c>
      <c r="L164" s="4">
        <f>+VLOOKUP(C164,Indicadores!B:P,15,FALSE)</f>
        <v>0.5067666666666667</v>
      </c>
      <c r="M164" s="1" t="str">
        <f t="shared" si="43"/>
        <v>No Cumple</v>
      </c>
      <c r="N164" s="5">
        <f t="shared" si="44"/>
        <v>0</v>
      </c>
      <c r="O164" s="5">
        <f t="shared" si="37"/>
        <v>50000</v>
      </c>
      <c r="P164" s="4">
        <v>0.95</v>
      </c>
      <c r="Q164" s="5" t="str">
        <f t="shared" si="45"/>
        <v>Cumple</v>
      </c>
      <c r="R164" s="5">
        <f t="shared" si="46"/>
        <v>47500</v>
      </c>
      <c r="S164" s="5">
        <f t="shared" si="38"/>
        <v>50000</v>
      </c>
      <c r="T164" s="4">
        <f>+VLOOKUP(C164,Indicadores!B:V,21,FALSE)</f>
        <v>0.45284999999999997</v>
      </c>
      <c r="U164" s="35" t="str">
        <f t="shared" si="47"/>
        <v>No Cumple</v>
      </c>
      <c r="V164" s="2">
        <f t="shared" si="48"/>
        <v>0</v>
      </c>
      <c r="W164" s="5" t="str">
        <f t="shared" si="39"/>
        <v>NO</v>
      </c>
      <c r="X164" s="5">
        <f t="shared" si="49"/>
        <v>0</v>
      </c>
      <c r="Y164" s="1"/>
    </row>
    <row r="165" spans="2:25" x14ac:dyDescent="0.25">
      <c r="B165" s="1" t="s">
        <v>239</v>
      </c>
      <c r="C165" s="1" t="s">
        <v>170</v>
      </c>
      <c r="D165" s="1" t="s">
        <v>243</v>
      </c>
      <c r="E165" s="1" t="s">
        <v>345</v>
      </c>
      <c r="F165" s="2">
        <f t="shared" si="40"/>
        <v>250000</v>
      </c>
      <c r="G165" s="4">
        <f>+VLOOKUP(C165,Indicadores!B:C,2,FALSE)</f>
        <v>0.8316636363636366</v>
      </c>
      <c r="H165" s="1" t="str">
        <f t="shared" si="41"/>
        <v>No Cumple</v>
      </c>
      <c r="I165" s="4">
        <f>+VLOOKUP(C165,Indicadores!B:F,5,FALSE)</f>
        <v>1</v>
      </c>
      <c r="J165" s="1" t="str">
        <f t="shared" si="42"/>
        <v>Cumple</v>
      </c>
      <c r="K165" s="9">
        <f t="shared" si="36"/>
        <v>150000</v>
      </c>
      <c r="L165" s="4">
        <f>+VLOOKUP(C165,Indicadores!B:P,15,FALSE)</f>
        <v>0.68396666666666661</v>
      </c>
      <c r="M165" s="1" t="str">
        <f t="shared" si="43"/>
        <v>No Cumple</v>
      </c>
      <c r="N165" s="5">
        <f t="shared" si="44"/>
        <v>0</v>
      </c>
      <c r="O165" s="5">
        <f t="shared" si="37"/>
        <v>50000</v>
      </c>
      <c r="P165" s="4">
        <v>0.95</v>
      </c>
      <c r="Q165" s="5" t="str">
        <f t="shared" si="45"/>
        <v>Cumple</v>
      </c>
      <c r="R165" s="5">
        <f t="shared" si="46"/>
        <v>47500</v>
      </c>
      <c r="S165" s="5">
        <f t="shared" si="38"/>
        <v>50000</v>
      </c>
      <c r="T165" s="4">
        <f>+VLOOKUP(C165,Indicadores!B:V,21,FALSE)</f>
        <v>0.49075000000000002</v>
      </c>
      <c r="U165" s="35" t="str">
        <f t="shared" si="47"/>
        <v>No Cumple</v>
      </c>
      <c r="V165" s="2">
        <f t="shared" si="48"/>
        <v>0</v>
      </c>
      <c r="W165" s="5" t="str">
        <f t="shared" si="39"/>
        <v>NO</v>
      </c>
      <c r="X165" s="5">
        <f t="shared" si="49"/>
        <v>0</v>
      </c>
      <c r="Y165" s="1"/>
    </row>
    <row r="166" spans="2:25" x14ac:dyDescent="0.25">
      <c r="B166" s="1" t="s">
        <v>239</v>
      </c>
      <c r="C166" s="1" t="s">
        <v>171</v>
      </c>
      <c r="D166" s="1" t="s">
        <v>243</v>
      </c>
      <c r="E166" s="1" t="s">
        <v>345</v>
      </c>
      <c r="F166" s="2">
        <f t="shared" si="40"/>
        <v>250000</v>
      </c>
      <c r="G166" s="4">
        <f>+VLOOKUP(C166,Indicadores!B:C,2,FALSE)</f>
        <v>0.86429090909090922</v>
      </c>
      <c r="H166" s="1" t="str">
        <f t="shared" si="41"/>
        <v>No Cumple</v>
      </c>
      <c r="I166" s="4">
        <f>+VLOOKUP(C166,Indicadores!B:F,5,FALSE)</f>
        <v>1</v>
      </c>
      <c r="J166" s="1" t="str">
        <f t="shared" si="42"/>
        <v>Cumple</v>
      </c>
      <c r="K166" s="9">
        <f t="shared" ref="K166:K193" si="50">+$F$4*$K$3</f>
        <v>150000</v>
      </c>
      <c r="L166" s="4">
        <f>+VLOOKUP(C166,Indicadores!B:P,15,FALSE)</f>
        <v>0.82303333333333339</v>
      </c>
      <c r="M166" s="1" t="str">
        <f t="shared" si="43"/>
        <v>Cumple</v>
      </c>
      <c r="N166" s="5">
        <f t="shared" si="44"/>
        <v>120000</v>
      </c>
      <c r="O166" s="5">
        <f t="shared" ref="O166:O193" si="51">+$F$4*$O$3</f>
        <v>50000</v>
      </c>
      <c r="P166" s="4">
        <v>0.95</v>
      </c>
      <c r="Q166" s="5" t="str">
        <f t="shared" si="45"/>
        <v>Cumple</v>
      </c>
      <c r="R166" s="5">
        <f t="shared" si="46"/>
        <v>47500</v>
      </c>
      <c r="S166" s="5">
        <f t="shared" ref="S166:S193" si="52">+$F$4*$S$3</f>
        <v>50000</v>
      </c>
      <c r="T166" s="4">
        <f>+VLOOKUP(C166,Indicadores!B:V,21,FALSE)</f>
        <v>0.5</v>
      </c>
      <c r="U166" s="35" t="str">
        <f t="shared" si="47"/>
        <v>No Cumple</v>
      </c>
      <c r="V166" s="2">
        <f t="shared" si="48"/>
        <v>0</v>
      </c>
      <c r="W166" s="5" t="str">
        <f t="shared" ref="W166:W193" si="53">IF(AND(G166&gt;=95%,I166&gt;=95%),"SI","NO")</f>
        <v>NO</v>
      </c>
      <c r="X166" s="5">
        <f t="shared" si="49"/>
        <v>0</v>
      </c>
      <c r="Y166" s="1"/>
    </row>
    <row r="167" spans="2:25" x14ac:dyDescent="0.25">
      <c r="B167" s="1" t="s">
        <v>234</v>
      </c>
      <c r="C167" s="1" t="s">
        <v>172</v>
      </c>
      <c r="D167" s="1" t="s">
        <v>243</v>
      </c>
      <c r="E167" s="1" t="s">
        <v>346</v>
      </c>
      <c r="F167" s="2">
        <f t="shared" si="40"/>
        <v>250000</v>
      </c>
      <c r="G167" s="4">
        <f>+VLOOKUP(C167,Indicadores!B:C,2,FALSE)</f>
        <v>0.81072727272727263</v>
      </c>
      <c r="H167" s="1" t="str">
        <f t="shared" si="41"/>
        <v>No Cumple</v>
      </c>
      <c r="I167" s="4">
        <f>+VLOOKUP(C167,Indicadores!B:F,5,FALSE)</f>
        <v>1</v>
      </c>
      <c r="J167" s="1" t="str">
        <f t="shared" si="42"/>
        <v>Cumple</v>
      </c>
      <c r="K167" s="9">
        <f t="shared" si="50"/>
        <v>150000</v>
      </c>
      <c r="L167" s="4">
        <f>+VLOOKUP(C167,Indicadores!B:P,15,FALSE)</f>
        <v>0.66489999999999994</v>
      </c>
      <c r="M167" s="1" t="str">
        <f t="shared" si="43"/>
        <v>No Cumple</v>
      </c>
      <c r="N167" s="5">
        <f t="shared" si="44"/>
        <v>0</v>
      </c>
      <c r="O167" s="5">
        <f t="shared" si="51"/>
        <v>50000</v>
      </c>
      <c r="P167" s="4">
        <v>0.95</v>
      </c>
      <c r="Q167" s="5" t="str">
        <f t="shared" si="45"/>
        <v>Cumple</v>
      </c>
      <c r="R167" s="5">
        <f t="shared" si="46"/>
        <v>47500</v>
      </c>
      <c r="S167" s="5">
        <f t="shared" si="52"/>
        <v>50000</v>
      </c>
      <c r="T167" s="4">
        <f>+VLOOKUP(C167,Indicadores!B:V,21,FALSE)</f>
        <v>0.5</v>
      </c>
      <c r="U167" s="35" t="str">
        <f t="shared" si="47"/>
        <v>No Cumple</v>
      </c>
      <c r="V167" s="2">
        <f t="shared" si="48"/>
        <v>0</v>
      </c>
      <c r="W167" s="5" t="str">
        <f t="shared" si="53"/>
        <v>NO</v>
      </c>
      <c r="X167" s="5">
        <f t="shared" si="49"/>
        <v>0</v>
      </c>
      <c r="Y167" s="1"/>
    </row>
    <row r="168" spans="2:25" x14ac:dyDescent="0.25">
      <c r="B168" s="1" t="s">
        <v>234</v>
      </c>
      <c r="C168" s="1" t="s">
        <v>173</v>
      </c>
      <c r="D168" s="1" t="s">
        <v>243</v>
      </c>
      <c r="E168" s="1" t="s">
        <v>346</v>
      </c>
      <c r="F168" s="2">
        <f t="shared" si="40"/>
        <v>250000</v>
      </c>
      <c r="G168" s="4">
        <f>+VLOOKUP(C168,Indicadores!B:C,2,FALSE)</f>
        <v>0.76818181818181808</v>
      </c>
      <c r="H168" s="1" t="str">
        <f t="shared" si="41"/>
        <v>No Cumple</v>
      </c>
      <c r="I168" s="4">
        <f>+VLOOKUP(C168,Indicadores!B:F,5,FALSE)</f>
        <v>1</v>
      </c>
      <c r="J168" s="1" t="str">
        <f t="shared" si="42"/>
        <v>Cumple</v>
      </c>
      <c r="K168" s="9">
        <f t="shared" si="50"/>
        <v>150000</v>
      </c>
      <c r="L168" s="4">
        <f>+VLOOKUP(C168,Indicadores!B:P,15,FALSE)</f>
        <v>0.69446666666666668</v>
      </c>
      <c r="M168" s="1" t="str">
        <f t="shared" si="43"/>
        <v>No Cumple</v>
      </c>
      <c r="N168" s="5">
        <f t="shared" si="44"/>
        <v>0</v>
      </c>
      <c r="O168" s="5">
        <f t="shared" si="51"/>
        <v>50000</v>
      </c>
      <c r="P168" s="4">
        <v>0.95</v>
      </c>
      <c r="Q168" s="5" t="str">
        <f t="shared" si="45"/>
        <v>Cumple</v>
      </c>
      <c r="R168" s="5">
        <f t="shared" si="46"/>
        <v>47500</v>
      </c>
      <c r="S168" s="5">
        <f t="shared" si="52"/>
        <v>50000</v>
      </c>
      <c r="T168" s="4">
        <f>+VLOOKUP(C168,Indicadores!B:V,21,FALSE)</f>
        <v>0.5</v>
      </c>
      <c r="U168" s="35" t="str">
        <f t="shared" si="47"/>
        <v>No Cumple</v>
      </c>
      <c r="V168" s="2">
        <f t="shared" si="48"/>
        <v>0</v>
      </c>
      <c r="W168" s="5" t="str">
        <f t="shared" si="53"/>
        <v>NO</v>
      </c>
      <c r="X168" s="5">
        <f t="shared" si="49"/>
        <v>0</v>
      </c>
      <c r="Y168" s="1"/>
    </row>
    <row r="169" spans="2:25" x14ac:dyDescent="0.25">
      <c r="B169" s="1" t="s">
        <v>234</v>
      </c>
      <c r="C169" s="1" t="s">
        <v>174</v>
      </c>
      <c r="D169" s="1" t="s">
        <v>243</v>
      </c>
      <c r="E169" s="1" t="s">
        <v>346</v>
      </c>
      <c r="F169" s="2">
        <f t="shared" si="40"/>
        <v>250000</v>
      </c>
      <c r="G169" s="4">
        <f>+VLOOKUP(C169,Indicadores!B:C,2,FALSE)</f>
        <v>0.72473636363636362</v>
      </c>
      <c r="H169" s="1" t="str">
        <f t="shared" si="41"/>
        <v>No Cumple</v>
      </c>
      <c r="I169" s="4">
        <f>+VLOOKUP(C169,Indicadores!B:F,5,FALSE)</f>
        <v>1</v>
      </c>
      <c r="J169" s="1" t="str">
        <f t="shared" si="42"/>
        <v>Cumple</v>
      </c>
      <c r="K169" s="9">
        <f t="shared" si="50"/>
        <v>150000</v>
      </c>
      <c r="L169" s="4">
        <f>+VLOOKUP(C169,Indicadores!B:P,15,FALSE)</f>
        <v>0.46526666666666666</v>
      </c>
      <c r="M169" s="1" t="str">
        <f t="shared" si="43"/>
        <v>No Cumple</v>
      </c>
      <c r="N169" s="5">
        <f t="shared" si="44"/>
        <v>0</v>
      </c>
      <c r="O169" s="5">
        <f t="shared" si="51"/>
        <v>50000</v>
      </c>
      <c r="P169" s="4">
        <v>0.95</v>
      </c>
      <c r="Q169" s="5" t="str">
        <f t="shared" si="45"/>
        <v>Cumple</v>
      </c>
      <c r="R169" s="5">
        <f t="shared" si="46"/>
        <v>47500</v>
      </c>
      <c r="S169" s="5">
        <f t="shared" si="52"/>
        <v>50000</v>
      </c>
      <c r="T169" s="4">
        <f>+VLOOKUP(C169,Indicadores!B:V,21,FALSE)</f>
        <v>0.43459999999999999</v>
      </c>
      <c r="U169" s="35" t="str">
        <f t="shared" si="47"/>
        <v>No Cumple</v>
      </c>
      <c r="V169" s="2">
        <f t="shared" si="48"/>
        <v>0</v>
      </c>
      <c r="W169" s="5" t="str">
        <f t="shared" si="53"/>
        <v>NO</v>
      </c>
      <c r="X169" s="5">
        <f t="shared" si="49"/>
        <v>0</v>
      </c>
      <c r="Y169" s="1"/>
    </row>
    <row r="170" spans="2:25" x14ac:dyDescent="0.25">
      <c r="B170" s="1" t="s">
        <v>234</v>
      </c>
      <c r="C170" s="1" t="s">
        <v>175</v>
      </c>
      <c r="D170" s="1" t="s">
        <v>243</v>
      </c>
      <c r="E170" s="1" t="s">
        <v>346</v>
      </c>
      <c r="F170" s="2">
        <f t="shared" si="40"/>
        <v>250000</v>
      </c>
      <c r="G170" s="4">
        <f>+VLOOKUP(C170,Indicadores!B:C,2,FALSE)</f>
        <v>0.80481818181818177</v>
      </c>
      <c r="H170" s="1" t="str">
        <f t="shared" si="41"/>
        <v>No Cumple</v>
      </c>
      <c r="I170" s="4">
        <f>+VLOOKUP(C170,Indicadores!B:F,5,FALSE)</f>
        <v>0.94117647058823528</v>
      </c>
      <c r="J170" s="1" t="str">
        <f t="shared" si="42"/>
        <v>No Cumple</v>
      </c>
      <c r="K170" s="9">
        <f t="shared" si="50"/>
        <v>150000</v>
      </c>
      <c r="L170" s="4">
        <f>+VLOOKUP(C170,Indicadores!B:P,15,FALSE)</f>
        <v>0.6830666666666666</v>
      </c>
      <c r="M170" s="1" t="str">
        <f t="shared" si="43"/>
        <v>No Cumple</v>
      </c>
      <c r="N170" s="5">
        <f t="shared" si="44"/>
        <v>0</v>
      </c>
      <c r="O170" s="5">
        <f t="shared" si="51"/>
        <v>50000</v>
      </c>
      <c r="P170" s="4">
        <v>0.95</v>
      </c>
      <c r="Q170" s="5" t="str">
        <f t="shared" si="45"/>
        <v>Cumple</v>
      </c>
      <c r="R170" s="5">
        <f t="shared" si="46"/>
        <v>47500</v>
      </c>
      <c r="S170" s="5">
        <f t="shared" si="52"/>
        <v>50000</v>
      </c>
      <c r="T170" s="4">
        <f>+VLOOKUP(C170,Indicadores!B:V,21,FALSE)</f>
        <v>0.5</v>
      </c>
      <c r="U170" s="35" t="str">
        <f t="shared" si="47"/>
        <v>No Cumple</v>
      </c>
      <c r="V170" s="2">
        <f t="shared" si="48"/>
        <v>0</v>
      </c>
      <c r="W170" s="5" t="str">
        <f t="shared" si="53"/>
        <v>NO</v>
      </c>
      <c r="X170" s="5">
        <f t="shared" si="49"/>
        <v>0</v>
      </c>
      <c r="Y170" s="1"/>
    </row>
    <row r="171" spans="2:25" x14ac:dyDescent="0.25">
      <c r="B171" s="1" t="s">
        <v>234</v>
      </c>
      <c r="C171" s="1" t="s">
        <v>176</v>
      </c>
      <c r="D171" s="1" t="s">
        <v>243</v>
      </c>
      <c r="E171" s="1" t="s">
        <v>346</v>
      </c>
      <c r="F171" s="2">
        <f t="shared" si="40"/>
        <v>250000</v>
      </c>
      <c r="G171" s="4">
        <f>+VLOOKUP(C171,Indicadores!B:C,2,FALSE)</f>
        <v>0.80733636363636374</v>
      </c>
      <c r="H171" s="1" t="str">
        <f t="shared" si="41"/>
        <v>No Cumple</v>
      </c>
      <c r="I171" s="4">
        <f>+VLOOKUP(C171,Indicadores!B:F,5,FALSE)</f>
        <v>0.95</v>
      </c>
      <c r="J171" s="1" t="str">
        <f t="shared" si="42"/>
        <v>Cumple</v>
      </c>
      <c r="K171" s="9">
        <f t="shared" si="50"/>
        <v>150000</v>
      </c>
      <c r="L171" s="4">
        <f>+VLOOKUP(C171,Indicadores!B:P,15,FALSE)</f>
        <v>0.46416666666666662</v>
      </c>
      <c r="M171" s="1" t="str">
        <f t="shared" si="43"/>
        <v>No Cumple</v>
      </c>
      <c r="N171" s="5">
        <f t="shared" si="44"/>
        <v>0</v>
      </c>
      <c r="O171" s="5">
        <f t="shared" si="51"/>
        <v>50000</v>
      </c>
      <c r="P171" s="4">
        <v>0.95</v>
      </c>
      <c r="Q171" s="5" t="str">
        <f t="shared" si="45"/>
        <v>Cumple</v>
      </c>
      <c r="R171" s="5">
        <f t="shared" si="46"/>
        <v>47500</v>
      </c>
      <c r="S171" s="5">
        <f t="shared" si="52"/>
        <v>50000</v>
      </c>
      <c r="T171" s="4">
        <f>+VLOOKUP(C171,Indicadores!B:V,21,FALSE)</f>
        <v>0.4965</v>
      </c>
      <c r="U171" s="35" t="str">
        <f t="shared" si="47"/>
        <v>No Cumple</v>
      </c>
      <c r="V171" s="2">
        <f t="shared" si="48"/>
        <v>0</v>
      </c>
      <c r="W171" s="5" t="str">
        <f t="shared" si="53"/>
        <v>NO</v>
      </c>
      <c r="X171" s="5">
        <f t="shared" si="49"/>
        <v>0</v>
      </c>
      <c r="Y171" s="1"/>
    </row>
    <row r="172" spans="2:25" x14ac:dyDescent="0.25">
      <c r="B172" s="1" t="s">
        <v>234</v>
      </c>
      <c r="C172" s="1" t="s">
        <v>177</v>
      </c>
      <c r="D172" s="1" t="s">
        <v>243</v>
      </c>
      <c r="E172" s="1" t="s">
        <v>346</v>
      </c>
      <c r="F172" s="2">
        <f t="shared" si="40"/>
        <v>250000</v>
      </c>
      <c r="G172" s="4">
        <f>+VLOOKUP(C172,Indicadores!B:C,2,FALSE)</f>
        <v>0.78473636363636379</v>
      </c>
      <c r="H172" s="1" t="str">
        <f t="shared" si="41"/>
        <v>No Cumple</v>
      </c>
      <c r="I172" s="4">
        <f>+VLOOKUP(C172,Indicadores!B:F,5,FALSE)</f>
        <v>0.93333333333333335</v>
      </c>
      <c r="J172" s="1" t="str">
        <f t="shared" si="42"/>
        <v>No Cumple</v>
      </c>
      <c r="K172" s="9">
        <f t="shared" si="50"/>
        <v>150000</v>
      </c>
      <c r="L172" s="4">
        <f>+VLOOKUP(C172,Indicadores!B:P,15,FALSE)</f>
        <v>0.69136666666666668</v>
      </c>
      <c r="M172" s="1" t="str">
        <f t="shared" si="43"/>
        <v>No Cumple</v>
      </c>
      <c r="N172" s="5">
        <f t="shared" si="44"/>
        <v>0</v>
      </c>
      <c r="O172" s="5">
        <f t="shared" si="51"/>
        <v>50000</v>
      </c>
      <c r="P172" s="4">
        <v>0.95</v>
      </c>
      <c r="Q172" s="5" t="str">
        <f t="shared" si="45"/>
        <v>Cumple</v>
      </c>
      <c r="R172" s="5">
        <f t="shared" si="46"/>
        <v>47500</v>
      </c>
      <c r="S172" s="5">
        <f t="shared" si="52"/>
        <v>50000</v>
      </c>
      <c r="T172" s="4">
        <f>+VLOOKUP(C172,Indicadores!B:V,21,FALSE)</f>
        <v>0.5</v>
      </c>
      <c r="U172" s="35" t="str">
        <f t="shared" si="47"/>
        <v>No Cumple</v>
      </c>
      <c r="V172" s="2">
        <f t="shared" si="48"/>
        <v>0</v>
      </c>
      <c r="W172" s="5" t="str">
        <f t="shared" si="53"/>
        <v>NO</v>
      </c>
      <c r="X172" s="5">
        <f t="shared" si="49"/>
        <v>0</v>
      </c>
      <c r="Y172" s="1"/>
    </row>
    <row r="173" spans="2:25" x14ac:dyDescent="0.25">
      <c r="B173" s="1" t="s">
        <v>234</v>
      </c>
      <c r="C173" s="1" t="s">
        <v>178</v>
      </c>
      <c r="D173" s="1" t="s">
        <v>243</v>
      </c>
      <c r="E173" s="1" t="s">
        <v>346</v>
      </c>
      <c r="F173" s="2">
        <f t="shared" si="40"/>
        <v>250000</v>
      </c>
      <c r="G173" s="4">
        <f>+VLOOKUP(C173,Indicadores!B:C,2,FALSE)</f>
        <v>0.7593545454545455</v>
      </c>
      <c r="H173" s="1" t="str">
        <f t="shared" si="41"/>
        <v>No Cumple</v>
      </c>
      <c r="I173" s="4">
        <f>+VLOOKUP(C173,Indicadores!B:F,5,FALSE)</f>
        <v>0.875</v>
      </c>
      <c r="J173" s="1" t="str">
        <f t="shared" si="42"/>
        <v>No Cumple</v>
      </c>
      <c r="K173" s="9">
        <f t="shared" si="50"/>
        <v>150000</v>
      </c>
      <c r="L173" s="4">
        <f>+VLOOKUP(C173,Indicadores!B:P,15,FALSE)</f>
        <v>0.46690000000000004</v>
      </c>
      <c r="M173" s="1" t="str">
        <f t="shared" si="43"/>
        <v>No Cumple</v>
      </c>
      <c r="N173" s="5">
        <f t="shared" si="44"/>
        <v>0</v>
      </c>
      <c r="O173" s="5">
        <f t="shared" si="51"/>
        <v>50000</v>
      </c>
      <c r="P173" s="4">
        <v>0.95</v>
      </c>
      <c r="Q173" s="5" t="str">
        <f t="shared" si="45"/>
        <v>Cumple</v>
      </c>
      <c r="R173" s="5">
        <f t="shared" si="46"/>
        <v>47500</v>
      </c>
      <c r="S173" s="5">
        <f t="shared" si="52"/>
        <v>50000</v>
      </c>
      <c r="T173" s="4">
        <f>+VLOOKUP(C173,Indicadores!B:V,21,FALSE)</f>
        <v>0.49264999999999998</v>
      </c>
      <c r="U173" s="35" t="str">
        <f t="shared" si="47"/>
        <v>No Cumple</v>
      </c>
      <c r="V173" s="2">
        <f t="shared" si="48"/>
        <v>0</v>
      </c>
      <c r="W173" s="5" t="str">
        <f t="shared" si="53"/>
        <v>NO</v>
      </c>
      <c r="X173" s="5">
        <f t="shared" si="49"/>
        <v>0</v>
      </c>
      <c r="Y173" s="1"/>
    </row>
    <row r="174" spans="2:25" x14ac:dyDescent="0.25">
      <c r="B174" s="1" t="s">
        <v>234</v>
      </c>
      <c r="C174" s="1" t="s">
        <v>179</v>
      </c>
      <c r="D174" s="1" t="s">
        <v>243</v>
      </c>
      <c r="E174" s="1" t="s">
        <v>346</v>
      </c>
      <c r="F174" s="2">
        <f t="shared" si="40"/>
        <v>250000</v>
      </c>
      <c r="G174" s="4">
        <f>+VLOOKUP(C174,Indicadores!B:C,2,FALSE)</f>
        <v>0.8062454545454546</v>
      </c>
      <c r="H174" s="1" t="str">
        <f t="shared" si="41"/>
        <v>No Cumple</v>
      </c>
      <c r="I174" s="4">
        <f>+VLOOKUP(C174,Indicadores!B:F,5,FALSE)</f>
        <v>0.8571428571428571</v>
      </c>
      <c r="J174" s="1" t="str">
        <f t="shared" si="42"/>
        <v>No Cumple</v>
      </c>
      <c r="K174" s="9">
        <f t="shared" si="50"/>
        <v>150000</v>
      </c>
      <c r="L174" s="4">
        <f>+VLOOKUP(C174,Indicadores!B:P,15,FALSE)</f>
        <v>0.73043333333333338</v>
      </c>
      <c r="M174" s="1" t="str">
        <f t="shared" si="43"/>
        <v>No Cumple</v>
      </c>
      <c r="N174" s="5">
        <f t="shared" si="44"/>
        <v>0</v>
      </c>
      <c r="O174" s="5">
        <f t="shared" si="51"/>
        <v>50000</v>
      </c>
      <c r="P174" s="4">
        <v>0.95</v>
      </c>
      <c r="Q174" s="5" t="str">
        <f t="shared" si="45"/>
        <v>Cumple</v>
      </c>
      <c r="R174" s="5">
        <f t="shared" si="46"/>
        <v>47500</v>
      </c>
      <c r="S174" s="5">
        <f t="shared" si="52"/>
        <v>50000</v>
      </c>
      <c r="T174" s="4">
        <f>+VLOOKUP(C174,Indicadores!B:V,21,FALSE)</f>
        <v>0.49180000000000001</v>
      </c>
      <c r="U174" s="35" t="str">
        <f t="shared" si="47"/>
        <v>No Cumple</v>
      </c>
      <c r="V174" s="2">
        <f t="shared" si="48"/>
        <v>0</v>
      </c>
      <c r="W174" s="5" t="str">
        <f t="shared" si="53"/>
        <v>NO</v>
      </c>
      <c r="X174" s="5">
        <f t="shared" si="49"/>
        <v>0</v>
      </c>
      <c r="Y174" s="1"/>
    </row>
    <row r="175" spans="2:25" x14ac:dyDescent="0.25">
      <c r="B175" s="1" t="s">
        <v>234</v>
      </c>
      <c r="C175" s="1" t="s">
        <v>180</v>
      </c>
      <c r="D175" s="1" t="s">
        <v>243</v>
      </c>
      <c r="E175" s="1" t="s">
        <v>346</v>
      </c>
      <c r="F175" s="2">
        <f t="shared" si="40"/>
        <v>250000</v>
      </c>
      <c r="G175" s="4">
        <f>+VLOOKUP(C175,Indicadores!B:C,2,FALSE)</f>
        <v>0.71885454545454541</v>
      </c>
      <c r="H175" s="1" t="str">
        <f t="shared" si="41"/>
        <v>No Cumple</v>
      </c>
      <c r="I175" s="4">
        <f>+VLOOKUP(C175,Indicadores!B:F,5,FALSE)</f>
        <v>0.8571428571428571</v>
      </c>
      <c r="J175" s="1" t="str">
        <f t="shared" si="42"/>
        <v>No Cumple</v>
      </c>
      <c r="K175" s="9">
        <f t="shared" si="50"/>
        <v>150000</v>
      </c>
      <c r="L175" s="4">
        <f>+VLOOKUP(C175,Indicadores!B:P,15,FALSE)</f>
        <v>0.74230000000000007</v>
      </c>
      <c r="M175" s="1" t="str">
        <f t="shared" si="43"/>
        <v>No Cumple</v>
      </c>
      <c r="N175" s="5">
        <f t="shared" si="44"/>
        <v>0</v>
      </c>
      <c r="O175" s="5">
        <f t="shared" si="51"/>
        <v>50000</v>
      </c>
      <c r="P175" s="4">
        <v>0.95</v>
      </c>
      <c r="Q175" s="5" t="str">
        <f t="shared" si="45"/>
        <v>Cumple</v>
      </c>
      <c r="R175" s="5">
        <f t="shared" si="46"/>
        <v>47500</v>
      </c>
      <c r="S175" s="5">
        <f t="shared" si="52"/>
        <v>50000</v>
      </c>
      <c r="T175" s="4">
        <f>+VLOOKUP(C175,Indicadores!B:V,21,FALSE)</f>
        <v>0.47220000000000001</v>
      </c>
      <c r="U175" s="35" t="str">
        <f t="shared" si="47"/>
        <v>No Cumple</v>
      </c>
      <c r="V175" s="2">
        <f t="shared" si="48"/>
        <v>0</v>
      </c>
      <c r="W175" s="5" t="str">
        <f t="shared" si="53"/>
        <v>NO</v>
      </c>
      <c r="X175" s="5">
        <f t="shared" si="49"/>
        <v>0</v>
      </c>
      <c r="Y175" s="1"/>
    </row>
    <row r="176" spans="2:25" x14ac:dyDescent="0.25">
      <c r="B176" s="1" t="s">
        <v>234</v>
      </c>
      <c r="C176" s="1" t="s">
        <v>181</v>
      </c>
      <c r="D176" s="1" t="s">
        <v>243</v>
      </c>
      <c r="E176" s="1" t="s">
        <v>346</v>
      </c>
      <c r="F176" s="2">
        <f t="shared" si="40"/>
        <v>250000</v>
      </c>
      <c r="G176" s="4">
        <f>+VLOOKUP(C176,Indicadores!B:C,2,FALSE)</f>
        <v>0.76791818181818183</v>
      </c>
      <c r="H176" s="1" t="str">
        <f t="shared" si="41"/>
        <v>No Cumple</v>
      </c>
      <c r="I176" s="4">
        <f>+VLOOKUP(C176,Indicadores!B:F,5,FALSE)</f>
        <v>0.93333333333333335</v>
      </c>
      <c r="J176" s="1" t="str">
        <f t="shared" si="42"/>
        <v>No Cumple</v>
      </c>
      <c r="K176" s="9">
        <f t="shared" si="50"/>
        <v>150000</v>
      </c>
      <c r="L176" s="4">
        <f>+VLOOKUP(C176,Indicadores!B:P,15,FALSE)</f>
        <v>0.65973333333333339</v>
      </c>
      <c r="M176" s="1" t="str">
        <f t="shared" si="43"/>
        <v>No Cumple</v>
      </c>
      <c r="N176" s="5">
        <f t="shared" si="44"/>
        <v>0</v>
      </c>
      <c r="O176" s="5">
        <f t="shared" si="51"/>
        <v>50000</v>
      </c>
      <c r="P176" s="4">
        <v>0.95</v>
      </c>
      <c r="Q176" s="5" t="str">
        <f t="shared" si="45"/>
        <v>Cumple</v>
      </c>
      <c r="R176" s="5">
        <f t="shared" si="46"/>
        <v>47500</v>
      </c>
      <c r="S176" s="5">
        <f t="shared" si="52"/>
        <v>50000</v>
      </c>
      <c r="T176" s="4">
        <f>+VLOOKUP(C176,Indicadores!B:V,21,FALSE)</f>
        <v>0.49469999999999997</v>
      </c>
      <c r="U176" s="35" t="str">
        <f t="shared" si="47"/>
        <v>No Cumple</v>
      </c>
      <c r="V176" s="2">
        <f t="shared" si="48"/>
        <v>0</v>
      </c>
      <c r="W176" s="5" t="str">
        <f t="shared" si="53"/>
        <v>NO</v>
      </c>
      <c r="X176" s="5">
        <f t="shared" si="49"/>
        <v>0</v>
      </c>
      <c r="Y176" s="1"/>
    </row>
    <row r="177" spans="2:25" x14ac:dyDescent="0.25">
      <c r="B177" s="1" t="s">
        <v>234</v>
      </c>
      <c r="C177" s="1" t="s">
        <v>182</v>
      </c>
      <c r="D177" s="1" t="s">
        <v>243</v>
      </c>
      <c r="E177" s="1" t="s">
        <v>346</v>
      </c>
      <c r="F177" s="2">
        <f t="shared" si="40"/>
        <v>250000</v>
      </c>
      <c r="G177" s="4">
        <f>+VLOOKUP(C177,Indicadores!B:C,2,FALSE)</f>
        <v>0.80380909090909103</v>
      </c>
      <c r="H177" s="1" t="str">
        <f t="shared" si="41"/>
        <v>No Cumple</v>
      </c>
      <c r="I177" s="4">
        <f>+VLOOKUP(C177,Indicadores!B:F,5,FALSE)</f>
        <v>0.8571428571428571</v>
      </c>
      <c r="J177" s="1" t="str">
        <f t="shared" si="42"/>
        <v>No Cumple</v>
      </c>
      <c r="K177" s="9">
        <f t="shared" si="50"/>
        <v>150000</v>
      </c>
      <c r="L177" s="4">
        <f>+VLOOKUP(C177,Indicadores!B:P,15,FALSE)</f>
        <v>0.54759999999999998</v>
      </c>
      <c r="M177" s="1" t="str">
        <f t="shared" si="43"/>
        <v>No Cumple</v>
      </c>
      <c r="N177" s="5">
        <f t="shared" si="44"/>
        <v>0</v>
      </c>
      <c r="O177" s="5">
        <f t="shared" si="51"/>
        <v>50000</v>
      </c>
      <c r="P177" s="4">
        <v>0.95</v>
      </c>
      <c r="Q177" s="5" t="str">
        <f t="shared" si="45"/>
        <v>Cumple</v>
      </c>
      <c r="R177" s="5">
        <f t="shared" si="46"/>
        <v>47500</v>
      </c>
      <c r="S177" s="5">
        <f t="shared" si="52"/>
        <v>50000</v>
      </c>
      <c r="T177" s="4">
        <f>+VLOOKUP(C177,Indicadores!B:V,21,FALSE)</f>
        <v>0.49585000000000001</v>
      </c>
      <c r="U177" s="35" t="str">
        <f t="shared" si="47"/>
        <v>No Cumple</v>
      </c>
      <c r="V177" s="2">
        <f t="shared" si="48"/>
        <v>0</v>
      </c>
      <c r="W177" s="5" t="str">
        <f t="shared" si="53"/>
        <v>NO</v>
      </c>
      <c r="X177" s="5">
        <f t="shared" si="49"/>
        <v>0</v>
      </c>
      <c r="Y177" s="1"/>
    </row>
    <row r="178" spans="2:25" x14ac:dyDescent="0.25">
      <c r="B178" s="1" t="s">
        <v>233</v>
      </c>
      <c r="C178" s="1" t="s">
        <v>183</v>
      </c>
      <c r="D178" s="1" t="s">
        <v>242</v>
      </c>
      <c r="E178" s="1" t="s">
        <v>302</v>
      </c>
      <c r="F178" s="2">
        <f t="shared" si="40"/>
        <v>250000</v>
      </c>
      <c r="G178" s="4">
        <f>+VLOOKUP(C178,Indicadores!B:C,2,FALSE)</f>
        <v>0.72020909090909091</v>
      </c>
      <c r="H178" s="1" t="str">
        <f t="shared" si="41"/>
        <v>No Cumple</v>
      </c>
      <c r="I178" s="4">
        <f>+VLOOKUP(C178,Indicadores!B:F,5,FALSE)</f>
        <v>1</v>
      </c>
      <c r="J178" s="1" t="str">
        <f t="shared" si="42"/>
        <v>Cumple</v>
      </c>
      <c r="K178" s="9">
        <f t="shared" si="50"/>
        <v>150000</v>
      </c>
      <c r="L178" s="4">
        <f>+VLOOKUP(C178,Indicadores!B:P,15,FALSE)</f>
        <v>0.32529999999999998</v>
      </c>
      <c r="M178" s="1" t="str">
        <f t="shared" si="43"/>
        <v>No Cumple</v>
      </c>
      <c r="N178" s="5">
        <f t="shared" si="44"/>
        <v>0</v>
      </c>
      <c r="O178" s="5">
        <f t="shared" si="51"/>
        <v>50000</v>
      </c>
      <c r="P178" s="4">
        <v>0.95</v>
      </c>
      <c r="Q178" s="5" t="str">
        <f t="shared" si="45"/>
        <v>Cumple</v>
      </c>
      <c r="R178" s="5">
        <f t="shared" si="46"/>
        <v>47500</v>
      </c>
      <c r="S178" s="5">
        <f t="shared" si="52"/>
        <v>50000</v>
      </c>
      <c r="T178" s="4">
        <f>+VLOOKUP(C178,Indicadores!B:V,21,FALSE)</f>
        <v>0.4889</v>
      </c>
      <c r="U178" s="35" t="str">
        <f t="shared" si="47"/>
        <v>No Cumple</v>
      </c>
      <c r="V178" s="2">
        <f t="shared" si="48"/>
        <v>0</v>
      </c>
      <c r="W178" s="5" t="str">
        <f t="shared" si="53"/>
        <v>NO</v>
      </c>
      <c r="X178" s="5">
        <f t="shared" si="49"/>
        <v>0</v>
      </c>
      <c r="Y178" s="1"/>
    </row>
    <row r="179" spans="2:25" x14ac:dyDescent="0.25">
      <c r="B179" s="1" t="s">
        <v>233</v>
      </c>
      <c r="C179" s="1" t="s">
        <v>184</v>
      </c>
      <c r="D179" s="1" t="s">
        <v>242</v>
      </c>
      <c r="E179" s="1" t="s">
        <v>302</v>
      </c>
      <c r="F179" s="2">
        <f t="shared" si="40"/>
        <v>250000</v>
      </c>
      <c r="G179" s="4">
        <f>+VLOOKUP(C179,Indicadores!B:C,2,FALSE)</f>
        <v>0.75001818181818181</v>
      </c>
      <c r="H179" s="1" t="str">
        <f t="shared" si="41"/>
        <v>No Cumple</v>
      </c>
      <c r="I179" s="4">
        <f>+VLOOKUP(C179,Indicadores!B:F,5,FALSE)</f>
        <v>0.66666666666666663</v>
      </c>
      <c r="J179" s="1" t="str">
        <f t="shared" si="42"/>
        <v>No Cumple</v>
      </c>
      <c r="K179" s="9">
        <f t="shared" si="50"/>
        <v>150000</v>
      </c>
      <c r="L179" s="4">
        <f>+VLOOKUP(C179,Indicadores!B:P,15,FALSE)</f>
        <v>0.3571333333333333</v>
      </c>
      <c r="M179" s="1" t="str">
        <f t="shared" si="43"/>
        <v>No Cumple</v>
      </c>
      <c r="N179" s="5">
        <f t="shared" si="44"/>
        <v>0</v>
      </c>
      <c r="O179" s="5">
        <f t="shared" si="51"/>
        <v>50000</v>
      </c>
      <c r="P179" s="4">
        <v>0.95</v>
      </c>
      <c r="Q179" s="5" t="str">
        <f t="shared" si="45"/>
        <v>Cumple</v>
      </c>
      <c r="R179" s="5">
        <f t="shared" si="46"/>
        <v>47500</v>
      </c>
      <c r="S179" s="5">
        <f t="shared" si="52"/>
        <v>50000</v>
      </c>
      <c r="T179" s="4">
        <f>+VLOOKUP(C179,Indicadores!B:V,21,FALSE)</f>
        <v>0.48959999999999998</v>
      </c>
      <c r="U179" s="35" t="str">
        <f t="shared" si="47"/>
        <v>No Cumple</v>
      </c>
      <c r="V179" s="2">
        <f t="shared" si="48"/>
        <v>0</v>
      </c>
      <c r="W179" s="5" t="str">
        <f t="shared" si="53"/>
        <v>NO</v>
      </c>
      <c r="X179" s="5">
        <f t="shared" si="49"/>
        <v>0</v>
      </c>
      <c r="Y179" s="1"/>
    </row>
    <row r="180" spans="2:25" x14ac:dyDescent="0.25">
      <c r="B180" s="1" t="s">
        <v>233</v>
      </c>
      <c r="C180" s="1" t="s">
        <v>185</v>
      </c>
      <c r="D180" s="1" t="s">
        <v>242</v>
      </c>
      <c r="E180" s="1" t="s">
        <v>302</v>
      </c>
      <c r="F180" s="2">
        <f t="shared" si="40"/>
        <v>250000</v>
      </c>
      <c r="G180" s="4">
        <f>+VLOOKUP(C180,Indicadores!B:C,2,FALSE)</f>
        <v>0.81818181818181823</v>
      </c>
      <c r="H180" s="1" t="str">
        <f t="shared" si="41"/>
        <v>No Cumple</v>
      </c>
      <c r="I180" s="4">
        <f>+VLOOKUP(C180,Indicadores!B:F,5,FALSE)</f>
        <v>0.5</v>
      </c>
      <c r="J180" s="1" t="str">
        <f t="shared" si="42"/>
        <v>No Cumple</v>
      </c>
      <c r="K180" s="9">
        <f t="shared" si="50"/>
        <v>150000</v>
      </c>
      <c r="L180" s="4">
        <f>+VLOOKUP(C180,Indicadores!B:P,15,FALSE)</f>
        <v>0.33333333333333331</v>
      </c>
      <c r="M180" s="1" t="str">
        <f t="shared" si="43"/>
        <v>No Cumple</v>
      </c>
      <c r="N180" s="5">
        <f t="shared" si="44"/>
        <v>0</v>
      </c>
      <c r="O180" s="5">
        <f t="shared" si="51"/>
        <v>50000</v>
      </c>
      <c r="P180" s="4">
        <v>0.95</v>
      </c>
      <c r="Q180" s="5" t="str">
        <f t="shared" si="45"/>
        <v>Cumple</v>
      </c>
      <c r="R180" s="5">
        <f t="shared" si="46"/>
        <v>47500</v>
      </c>
      <c r="S180" s="5">
        <f t="shared" si="52"/>
        <v>50000</v>
      </c>
      <c r="T180" s="4">
        <f>+VLOOKUP(C180,Indicadores!B:V,21,FALSE)</f>
        <v>1</v>
      </c>
      <c r="U180" s="35" t="str">
        <f t="shared" si="47"/>
        <v>Cumple</v>
      </c>
      <c r="V180" s="2">
        <f t="shared" si="48"/>
        <v>50000</v>
      </c>
      <c r="W180" s="5" t="str">
        <f t="shared" si="53"/>
        <v>NO</v>
      </c>
      <c r="X180" s="5">
        <f t="shared" si="49"/>
        <v>0</v>
      </c>
      <c r="Y180" s="1"/>
    </row>
    <row r="181" spans="2:25" x14ac:dyDescent="0.25">
      <c r="B181" s="1" t="s">
        <v>233</v>
      </c>
      <c r="C181" s="1" t="s">
        <v>186</v>
      </c>
      <c r="D181" s="1" t="s">
        <v>242</v>
      </c>
      <c r="E181" s="1" t="s">
        <v>302</v>
      </c>
      <c r="F181" s="2">
        <f t="shared" si="40"/>
        <v>250000</v>
      </c>
      <c r="G181" s="4">
        <f>+VLOOKUP(C181,Indicadores!B:C,2,FALSE)</f>
        <v>0.77272727272727271</v>
      </c>
      <c r="H181" s="1" t="str">
        <f t="shared" si="41"/>
        <v>No Cumple</v>
      </c>
      <c r="I181" s="4">
        <f>+VLOOKUP(C181,Indicadores!B:F,5,FALSE)</f>
        <v>0.88235294117647056</v>
      </c>
      <c r="J181" s="1" t="str">
        <f t="shared" si="42"/>
        <v>No Cumple</v>
      </c>
      <c r="K181" s="9">
        <f t="shared" si="50"/>
        <v>150000</v>
      </c>
      <c r="L181" s="4">
        <f>+VLOOKUP(C181,Indicadores!B:P,15,FALSE)</f>
        <v>0.46376666666666666</v>
      </c>
      <c r="M181" s="1" t="str">
        <f t="shared" si="43"/>
        <v>No Cumple</v>
      </c>
      <c r="N181" s="5">
        <f t="shared" si="44"/>
        <v>0</v>
      </c>
      <c r="O181" s="5">
        <f t="shared" si="51"/>
        <v>50000</v>
      </c>
      <c r="P181" s="4">
        <v>0.95</v>
      </c>
      <c r="Q181" s="5" t="str">
        <f t="shared" si="45"/>
        <v>Cumple</v>
      </c>
      <c r="R181" s="5">
        <f t="shared" si="46"/>
        <v>47500</v>
      </c>
      <c r="S181" s="5">
        <f t="shared" si="52"/>
        <v>50000</v>
      </c>
      <c r="T181" s="4">
        <f>+VLOOKUP(C181,Indicadores!B:V,21,FALSE)</f>
        <v>0.5</v>
      </c>
      <c r="U181" s="35" t="str">
        <f t="shared" si="47"/>
        <v>No Cumple</v>
      </c>
      <c r="V181" s="2">
        <f t="shared" si="48"/>
        <v>0</v>
      </c>
      <c r="W181" s="5" t="str">
        <f t="shared" si="53"/>
        <v>NO</v>
      </c>
      <c r="X181" s="5">
        <f t="shared" si="49"/>
        <v>0</v>
      </c>
      <c r="Y181" s="1"/>
    </row>
    <row r="182" spans="2:25" x14ac:dyDescent="0.25">
      <c r="B182" s="1" t="s">
        <v>233</v>
      </c>
      <c r="C182" s="1" t="s">
        <v>187</v>
      </c>
      <c r="D182" s="1" t="s">
        <v>242</v>
      </c>
      <c r="E182" s="1" t="s">
        <v>302</v>
      </c>
      <c r="F182" s="2">
        <f t="shared" si="40"/>
        <v>250000</v>
      </c>
      <c r="G182" s="4">
        <f>+VLOOKUP(C182,Indicadores!B:C,2,FALSE)</f>
        <v>0.78738181818181829</v>
      </c>
      <c r="H182" s="1" t="str">
        <f t="shared" si="41"/>
        <v>No Cumple</v>
      </c>
      <c r="I182" s="4">
        <f>+VLOOKUP(C182,Indicadores!B:F,5,FALSE)</f>
        <v>0.68181818181818177</v>
      </c>
      <c r="J182" s="1" t="str">
        <f t="shared" si="42"/>
        <v>No Cumple</v>
      </c>
      <c r="K182" s="9">
        <f t="shared" si="50"/>
        <v>150000</v>
      </c>
      <c r="L182" s="4">
        <f>+VLOOKUP(C182,Indicadores!B:P,15,FALSE)</f>
        <v>0.41799999999999998</v>
      </c>
      <c r="M182" s="1" t="str">
        <f t="shared" si="43"/>
        <v>No Cumple</v>
      </c>
      <c r="N182" s="5">
        <f t="shared" si="44"/>
        <v>0</v>
      </c>
      <c r="O182" s="5">
        <f t="shared" si="51"/>
        <v>50000</v>
      </c>
      <c r="P182" s="4">
        <v>0.95</v>
      </c>
      <c r="Q182" s="5" t="str">
        <f t="shared" si="45"/>
        <v>Cumple</v>
      </c>
      <c r="R182" s="5">
        <f t="shared" si="46"/>
        <v>47500</v>
      </c>
      <c r="S182" s="5">
        <f t="shared" si="52"/>
        <v>50000</v>
      </c>
      <c r="T182" s="4">
        <f>+VLOOKUP(C182,Indicadores!B:V,21,FALSE)</f>
        <v>0.5</v>
      </c>
      <c r="U182" s="35" t="str">
        <f t="shared" si="47"/>
        <v>No Cumple</v>
      </c>
      <c r="V182" s="2">
        <f t="shared" si="48"/>
        <v>0</v>
      </c>
      <c r="W182" s="5" t="str">
        <f t="shared" si="53"/>
        <v>NO</v>
      </c>
      <c r="X182" s="5">
        <f t="shared" si="49"/>
        <v>0</v>
      </c>
      <c r="Y182" s="1"/>
    </row>
    <row r="183" spans="2:25" x14ac:dyDescent="0.25">
      <c r="B183" s="1" t="s">
        <v>233</v>
      </c>
      <c r="C183" s="1" t="s">
        <v>188</v>
      </c>
      <c r="D183" s="1" t="s">
        <v>242</v>
      </c>
      <c r="E183" s="1" t="s">
        <v>302</v>
      </c>
      <c r="F183" s="2">
        <f t="shared" si="40"/>
        <v>250000</v>
      </c>
      <c r="G183" s="4">
        <f>+VLOOKUP(C183,Indicadores!B:C,2,FALSE)</f>
        <v>0.77271818181818186</v>
      </c>
      <c r="H183" s="1" t="str">
        <f t="shared" si="41"/>
        <v>No Cumple</v>
      </c>
      <c r="I183" s="4">
        <f>+VLOOKUP(C183,Indicadores!B:F,5,FALSE)</f>
        <v>1</v>
      </c>
      <c r="J183" s="1" t="str">
        <f t="shared" si="42"/>
        <v>Cumple</v>
      </c>
      <c r="K183" s="9">
        <f t="shared" si="50"/>
        <v>150000</v>
      </c>
      <c r="L183" s="4">
        <f>+VLOOKUP(C183,Indicadores!B:P,15,FALSE)</f>
        <v>0.59046666666666658</v>
      </c>
      <c r="M183" s="1" t="str">
        <f t="shared" si="43"/>
        <v>No Cumple</v>
      </c>
      <c r="N183" s="5">
        <f t="shared" si="44"/>
        <v>0</v>
      </c>
      <c r="O183" s="5">
        <f t="shared" si="51"/>
        <v>50000</v>
      </c>
      <c r="P183" s="4">
        <v>0.95</v>
      </c>
      <c r="Q183" s="5" t="str">
        <f t="shared" si="45"/>
        <v>Cumple</v>
      </c>
      <c r="R183" s="5">
        <f t="shared" si="46"/>
        <v>47500</v>
      </c>
      <c r="S183" s="5">
        <f t="shared" si="52"/>
        <v>50000</v>
      </c>
      <c r="T183" s="4">
        <f>+VLOOKUP(C183,Indicadores!B:V,21,FALSE)</f>
        <v>0.5</v>
      </c>
      <c r="U183" s="35" t="str">
        <f t="shared" si="47"/>
        <v>No Cumple</v>
      </c>
      <c r="V183" s="2">
        <f t="shared" si="48"/>
        <v>0</v>
      </c>
      <c r="W183" s="5" t="str">
        <f t="shared" si="53"/>
        <v>NO</v>
      </c>
      <c r="X183" s="5">
        <f t="shared" si="49"/>
        <v>0</v>
      </c>
      <c r="Y183" s="1"/>
    </row>
    <row r="184" spans="2:25" x14ac:dyDescent="0.25">
      <c r="B184" s="1" t="s">
        <v>233</v>
      </c>
      <c r="C184" s="1" t="s">
        <v>189</v>
      </c>
      <c r="D184" s="1" t="s">
        <v>242</v>
      </c>
      <c r="E184" s="1" t="s">
        <v>302</v>
      </c>
      <c r="F184" s="2">
        <f t="shared" si="40"/>
        <v>250000</v>
      </c>
      <c r="G184" s="4">
        <f>+VLOOKUP(C184,Indicadores!B:C,2,FALSE)</f>
        <v>0.75151818181818186</v>
      </c>
      <c r="H184" s="1" t="str">
        <f t="shared" si="41"/>
        <v>No Cumple</v>
      </c>
      <c r="I184" s="4">
        <f>+VLOOKUP(C184,Indicadores!B:F,5,FALSE)</f>
        <v>1</v>
      </c>
      <c r="J184" s="1" t="str">
        <f t="shared" si="42"/>
        <v>Cumple</v>
      </c>
      <c r="K184" s="9">
        <f t="shared" si="50"/>
        <v>150000</v>
      </c>
      <c r="L184" s="4">
        <f>+VLOOKUP(C184,Indicadores!B:P,15,FALSE)</f>
        <v>0.45833333333333331</v>
      </c>
      <c r="M184" s="1" t="str">
        <f t="shared" si="43"/>
        <v>No Cumple</v>
      </c>
      <c r="N184" s="5">
        <f t="shared" si="44"/>
        <v>0</v>
      </c>
      <c r="O184" s="5">
        <f t="shared" si="51"/>
        <v>50000</v>
      </c>
      <c r="P184" s="4">
        <v>0.95</v>
      </c>
      <c r="Q184" s="5" t="str">
        <f t="shared" si="45"/>
        <v>Cumple</v>
      </c>
      <c r="R184" s="5">
        <f t="shared" si="46"/>
        <v>47500</v>
      </c>
      <c r="S184" s="5">
        <f t="shared" si="52"/>
        <v>50000</v>
      </c>
      <c r="T184" s="4">
        <f>+VLOOKUP(C184,Indicadores!B:V,21,FALSE)</f>
        <v>1</v>
      </c>
      <c r="U184" s="35" t="str">
        <f t="shared" si="47"/>
        <v>Cumple</v>
      </c>
      <c r="V184" s="2">
        <f t="shared" si="48"/>
        <v>50000</v>
      </c>
      <c r="W184" s="5" t="str">
        <f t="shared" si="53"/>
        <v>NO</v>
      </c>
      <c r="X184" s="5">
        <f t="shared" si="49"/>
        <v>0</v>
      </c>
      <c r="Y184" s="1"/>
    </row>
    <row r="185" spans="2:25" x14ac:dyDescent="0.25">
      <c r="B185" s="1" t="s">
        <v>233</v>
      </c>
      <c r="C185" s="1" t="s">
        <v>190</v>
      </c>
      <c r="D185" s="1" t="s">
        <v>242</v>
      </c>
      <c r="E185" s="1" t="s">
        <v>302</v>
      </c>
      <c r="F185" s="2">
        <f t="shared" si="40"/>
        <v>250000</v>
      </c>
      <c r="G185" s="4">
        <f>+VLOOKUP(C185,Indicadores!B:C,2,FALSE)</f>
        <v>0.75196363636363628</v>
      </c>
      <c r="H185" s="1" t="str">
        <f t="shared" si="41"/>
        <v>No Cumple</v>
      </c>
      <c r="I185" s="4">
        <f>+VLOOKUP(C185,Indicadores!B:F,5,FALSE)</f>
        <v>0.84615384615384615</v>
      </c>
      <c r="J185" s="1" t="str">
        <f t="shared" si="42"/>
        <v>No Cumple</v>
      </c>
      <c r="K185" s="9">
        <f t="shared" si="50"/>
        <v>150000</v>
      </c>
      <c r="L185" s="4">
        <f>+VLOOKUP(C185,Indicadores!B:P,15,FALSE)</f>
        <v>0.33743333333333331</v>
      </c>
      <c r="M185" s="1" t="str">
        <f t="shared" si="43"/>
        <v>No Cumple</v>
      </c>
      <c r="N185" s="5">
        <f t="shared" si="44"/>
        <v>0</v>
      </c>
      <c r="O185" s="5">
        <f t="shared" si="51"/>
        <v>50000</v>
      </c>
      <c r="P185" s="4">
        <v>0.95</v>
      </c>
      <c r="Q185" s="5" t="str">
        <f t="shared" si="45"/>
        <v>Cumple</v>
      </c>
      <c r="R185" s="5">
        <f t="shared" si="46"/>
        <v>47500</v>
      </c>
      <c r="S185" s="5">
        <f t="shared" si="52"/>
        <v>50000</v>
      </c>
      <c r="T185" s="4">
        <f>+VLOOKUP(C185,Indicadores!B:V,21,FALSE)</f>
        <v>0.5</v>
      </c>
      <c r="U185" s="35" t="str">
        <f t="shared" si="47"/>
        <v>No Cumple</v>
      </c>
      <c r="V185" s="2">
        <f t="shared" si="48"/>
        <v>0</v>
      </c>
      <c r="W185" s="5" t="str">
        <f t="shared" si="53"/>
        <v>NO</v>
      </c>
      <c r="X185" s="5">
        <f t="shared" si="49"/>
        <v>0</v>
      </c>
      <c r="Y185" s="1"/>
    </row>
    <row r="186" spans="2:25" x14ac:dyDescent="0.25">
      <c r="B186" s="1" t="s">
        <v>233</v>
      </c>
      <c r="C186" s="1" t="s">
        <v>191</v>
      </c>
      <c r="D186" s="1" t="s">
        <v>242</v>
      </c>
      <c r="E186" s="1" t="s">
        <v>302</v>
      </c>
      <c r="F186" s="2">
        <f t="shared" si="40"/>
        <v>250000</v>
      </c>
      <c r="G186" s="4">
        <f>+VLOOKUP(C186,Indicadores!B:C,2,FALSE)</f>
        <v>0.65192727272727269</v>
      </c>
      <c r="H186" s="1" t="str">
        <f t="shared" si="41"/>
        <v>No Cumple</v>
      </c>
      <c r="I186" s="4">
        <f>+VLOOKUP(C186,Indicadores!B:F,5,FALSE)</f>
        <v>0.75</v>
      </c>
      <c r="J186" s="1" t="str">
        <f t="shared" si="42"/>
        <v>No Cumple</v>
      </c>
      <c r="K186" s="9">
        <f t="shared" si="50"/>
        <v>150000</v>
      </c>
      <c r="L186" s="4">
        <f>+VLOOKUP(C186,Indicadores!B:P,15,FALSE)</f>
        <v>0.32329999999999998</v>
      </c>
      <c r="M186" s="1" t="str">
        <f t="shared" si="43"/>
        <v>No Cumple</v>
      </c>
      <c r="N186" s="5">
        <f t="shared" si="44"/>
        <v>0</v>
      </c>
      <c r="O186" s="5">
        <f t="shared" si="51"/>
        <v>50000</v>
      </c>
      <c r="P186" s="4">
        <v>0.95</v>
      </c>
      <c r="Q186" s="5" t="str">
        <f t="shared" si="45"/>
        <v>Cumple</v>
      </c>
      <c r="R186" s="5">
        <f t="shared" si="46"/>
        <v>47500</v>
      </c>
      <c r="S186" s="5">
        <f t="shared" si="52"/>
        <v>50000</v>
      </c>
      <c r="T186" s="4">
        <f>+VLOOKUP(C186,Indicadores!B:V,21,FALSE)</f>
        <v>0.88570000000000004</v>
      </c>
      <c r="U186" s="35" t="str">
        <f t="shared" si="47"/>
        <v>No Cumple</v>
      </c>
      <c r="V186" s="2">
        <f t="shared" si="48"/>
        <v>0</v>
      </c>
      <c r="W186" s="5" t="str">
        <f t="shared" si="53"/>
        <v>NO</v>
      </c>
      <c r="X186" s="5">
        <f t="shared" si="49"/>
        <v>0</v>
      </c>
      <c r="Y186" s="1"/>
    </row>
    <row r="187" spans="2:25" x14ac:dyDescent="0.25">
      <c r="B187" s="1" t="s">
        <v>233</v>
      </c>
      <c r="C187" s="1" t="s">
        <v>192</v>
      </c>
      <c r="D187" s="1" t="s">
        <v>242</v>
      </c>
      <c r="E187" s="1" t="s">
        <v>302</v>
      </c>
      <c r="F187" s="2">
        <f t="shared" si="40"/>
        <v>250000</v>
      </c>
      <c r="G187" s="4">
        <f>+VLOOKUP(C187,Indicadores!B:C,2,FALSE)</f>
        <v>0.89951818181818188</v>
      </c>
      <c r="H187" s="1" t="str">
        <f t="shared" si="41"/>
        <v>No Cumple</v>
      </c>
      <c r="I187" s="4">
        <f>+VLOOKUP(C187,Indicadores!B:F,5,FALSE)</f>
        <v>1</v>
      </c>
      <c r="J187" s="1" t="str">
        <f t="shared" si="42"/>
        <v>Cumple</v>
      </c>
      <c r="K187" s="9">
        <f t="shared" si="50"/>
        <v>150000</v>
      </c>
      <c r="L187" s="4">
        <f>+VLOOKUP(C187,Indicadores!B:P,15,FALSE)</f>
        <v>0.57893333333333341</v>
      </c>
      <c r="M187" s="1" t="str">
        <f t="shared" si="43"/>
        <v>No Cumple</v>
      </c>
      <c r="N187" s="5">
        <f t="shared" si="44"/>
        <v>0</v>
      </c>
      <c r="O187" s="5">
        <f t="shared" si="51"/>
        <v>50000</v>
      </c>
      <c r="P187" s="4">
        <v>0.95</v>
      </c>
      <c r="Q187" s="5" t="str">
        <f t="shared" si="45"/>
        <v>Cumple</v>
      </c>
      <c r="R187" s="5">
        <f t="shared" si="46"/>
        <v>47500</v>
      </c>
      <c r="S187" s="5">
        <f t="shared" si="52"/>
        <v>50000</v>
      </c>
      <c r="T187" s="4">
        <f>+VLOOKUP(C187,Indicadores!B:V,21,FALSE)</f>
        <v>0.5</v>
      </c>
      <c r="U187" s="35" t="str">
        <f t="shared" si="47"/>
        <v>No Cumple</v>
      </c>
      <c r="V187" s="2">
        <f t="shared" si="48"/>
        <v>0</v>
      </c>
      <c r="W187" s="5" t="str">
        <f t="shared" si="53"/>
        <v>NO</v>
      </c>
      <c r="X187" s="5">
        <f t="shared" si="49"/>
        <v>0</v>
      </c>
      <c r="Y187" s="1"/>
    </row>
    <row r="188" spans="2:25" x14ac:dyDescent="0.25">
      <c r="B188" s="1" t="s">
        <v>233</v>
      </c>
      <c r="C188" s="1" t="s">
        <v>193</v>
      </c>
      <c r="D188" s="1" t="s">
        <v>242</v>
      </c>
      <c r="E188" s="1" t="s">
        <v>302</v>
      </c>
      <c r="F188" s="2">
        <f t="shared" si="40"/>
        <v>250000</v>
      </c>
      <c r="G188" s="4">
        <f>+VLOOKUP(C188,Indicadores!B:C,2,FALSE)</f>
        <v>0.79231818181818181</v>
      </c>
      <c r="H188" s="1" t="str">
        <f t="shared" si="41"/>
        <v>No Cumple</v>
      </c>
      <c r="I188" s="4">
        <f>+VLOOKUP(C188,Indicadores!B:F,5,FALSE)</f>
        <v>1</v>
      </c>
      <c r="J188" s="1" t="str">
        <f t="shared" si="42"/>
        <v>Cumple</v>
      </c>
      <c r="K188" s="9">
        <f t="shared" si="50"/>
        <v>150000</v>
      </c>
      <c r="L188" s="4">
        <f>+VLOOKUP(C188,Indicadores!B:P,15,FALSE)</f>
        <v>0.45870000000000005</v>
      </c>
      <c r="M188" s="1" t="str">
        <f t="shared" si="43"/>
        <v>No Cumple</v>
      </c>
      <c r="N188" s="5">
        <f t="shared" si="44"/>
        <v>0</v>
      </c>
      <c r="O188" s="5">
        <f t="shared" si="51"/>
        <v>50000</v>
      </c>
      <c r="P188" s="4">
        <v>0.95</v>
      </c>
      <c r="Q188" s="5" t="str">
        <f t="shared" si="45"/>
        <v>Cumple</v>
      </c>
      <c r="R188" s="5">
        <f t="shared" si="46"/>
        <v>47500</v>
      </c>
      <c r="S188" s="5">
        <f t="shared" si="52"/>
        <v>50000</v>
      </c>
      <c r="T188" s="4">
        <f>+VLOOKUP(C188,Indicadores!B:V,21,FALSE)</f>
        <v>0.5</v>
      </c>
      <c r="U188" s="35" t="str">
        <f t="shared" si="47"/>
        <v>No Cumple</v>
      </c>
      <c r="V188" s="2">
        <f t="shared" si="48"/>
        <v>0</v>
      </c>
      <c r="W188" s="5" t="str">
        <f t="shared" si="53"/>
        <v>NO</v>
      </c>
      <c r="X188" s="5">
        <f t="shared" si="49"/>
        <v>0</v>
      </c>
      <c r="Y188" s="1"/>
    </row>
    <row r="189" spans="2:25" x14ac:dyDescent="0.25">
      <c r="B189" s="1" t="s">
        <v>233</v>
      </c>
      <c r="C189" s="1" t="s">
        <v>194</v>
      </c>
      <c r="D189" s="1" t="s">
        <v>242</v>
      </c>
      <c r="E189" s="1" t="s">
        <v>302</v>
      </c>
      <c r="F189" s="2">
        <f t="shared" si="40"/>
        <v>250000</v>
      </c>
      <c r="G189" s="4">
        <f>+VLOOKUP(C189,Indicadores!B:C,2,FALSE)</f>
        <v>0.74380000000000013</v>
      </c>
      <c r="H189" s="1" t="str">
        <f t="shared" si="41"/>
        <v>No Cumple</v>
      </c>
      <c r="I189" s="4">
        <f>+VLOOKUP(C189,Indicadores!B:F,5,FALSE)</f>
        <v>0.76923076923076927</v>
      </c>
      <c r="J189" s="1" t="str">
        <f t="shared" si="42"/>
        <v>No Cumple</v>
      </c>
      <c r="K189" s="9">
        <f t="shared" si="50"/>
        <v>150000</v>
      </c>
      <c r="L189" s="4">
        <f>+VLOOKUP(C189,Indicadores!B:P,15,FALSE)</f>
        <v>0.33939999999999998</v>
      </c>
      <c r="M189" s="1" t="str">
        <f t="shared" si="43"/>
        <v>No Cumple</v>
      </c>
      <c r="N189" s="5">
        <f t="shared" si="44"/>
        <v>0</v>
      </c>
      <c r="O189" s="5">
        <f t="shared" si="51"/>
        <v>50000</v>
      </c>
      <c r="P189" s="4">
        <v>0.95</v>
      </c>
      <c r="Q189" s="5" t="str">
        <f t="shared" si="45"/>
        <v>Cumple</v>
      </c>
      <c r="R189" s="5">
        <f t="shared" si="46"/>
        <v>47500</v>
      </c>
      <c r="S189" s="5">
        <f t="shared" si="52"/>
        <v>50000</v>
      </c>
      <c r="T189" s="4">
        <f>+VLOOKUP(C189,Indicadores!B:V,21,FALSE)</f>
        <v>0.5</v>
      </c>
      <c r="U189" s="35" t="str">
        <f t="shared" si="47"/>
        <v>No Cumple</v>
      </c>
      <c r="V189" s="2">
        <f t="shared" si="48"/>
        <v>0</v>
      </c>
      <c r="W189" s="5" t="str">
        <f t="shared" si="53"/>
        <v>NO</v>
      </c>
      <c r="X189" s="5">
        <f t="shared" si="49"/>
        <v>0</v>
      </c>
      <c r="Y189" s="1"/>
    </row>
    <row r="190" spans="2:25" x14ac:dyDescent="0.25">
      <c r="B190" s="1" t="s">
        <v>233</v>
      </c>
      <c r="C190" s="1" t="s">
        <v>195</v>
      </c>
      <c r="D190" s="1" t="s">
        <v>242</v>
      </c>
      <c r="E190" s="1" t="s">
        <v>302</v>
      </c>
      <c r="F190" s="2">
        <f t="shared" si="40"/>
        <v>250000</v>
      </c>
      <c r="G190" s="4">
        <f>+VLOOKUP(C190,Indicadores!B:C,2,FALSE)</f>
        <v>0.61128181818181815</v>
      </c>
      <c r="H190" s="1" t="str">
        <f t="shared" si="41"/>
        <v>No Cumple</v>
      </c>
      <c r="I190" s="4">
        <f>+VLOOKUP(C190,Indicadores!B:F,5,FALSE)</f>
        <v>0.66666666666666663</v>
      </c>
      <c r="J190" s="1" t="str">
        <f t="shared" si="42"/>
        <v>No Cumple</v>
      </c>
      <c r="K190" s="9">
        <f t="shared" si="50"/>
        <v>150000</v>
      </c>
      <c r="L190" s="4">
        <f>+VLOOKUP(C190,Indicadores!B:P,15,FALSE)</f>
        <v>0.37586666666666663</v>
      </c>
      <c r="M190" s="1" t="str">
        <f t="shared" si="43"/>
        <v>No Cumple</v>
      </c>
      <c r="N190" s="5">
        <f t="shared" si="44"/>
        <v>0</v>
      </c>
      <c r="O190" s="5">
        <f t="shared" si="51"/>
        <v>50000</v>
      </c>
      <c r="P190" s="4">
        <v>0.95</v>
      </c>
      <c r="Q190" s="5" t="str">
        <f t="shared" si="45"/>
        <v>Cumple</v>
      </c>
      <c r="R190" s="5">
        <f t="shared" si="46"/>
        <v>47500</v>
      </c>
      <c r="S190" s="5">
        <f t="shared" si="52"/>
        <v>50000</v>
      </c>
      <c r="T190" s="4">
        <f>+VLOOKUP(C190,Indicadores!B:V,21,FALSE)</f>
        <v>0.91379999999999995</v>
      </c>
      <c r="U190" s="35" t="str">
        <f t="shared" si="47"/>
        <v>No Cumple</v>
      </c>
      <c r="V190" s="2">
        <f t="shared" si="48"/>
        <v>0</v>
      </c>
      <c r="W190" s="5" t="str">
        <f t="shared" si="53"/>
        <v>NO</v>
      </c>
      <c r="X190" s="5">
        <f t="shared" si="49"/>
        <v>0</v>
      </c>
      <c r="Y190" s="1"/>
    </row>
    <row r="191" spans="2:25" x14ac:dyDescent="0.25">
      <c r="B191" s="1" t="s">
        <v>233</v>
      </c>
      <c r="C191" s="1" t="s">
        <v>196</v>
      </c>
      <c r="D191" s="1" t="s">
        <v>242</v>
      </c>
      <c r="E191" s="1" t="s">
        <v>302</v>
      </c>
      <c r="F191" s="2">
        <f t="shared" si="40"/>
        <v>250000</v>
      </c>
      <c r="G191" s="4">
        <f>+VLOOKUP(C191,Indicadores!B:C,2,FALSE)</f>
        <v>0.78591818181818196</v>
      </c>
      <c r="H191" s="1" t="str">
        <f t="shared" si="41"/>
        <v>No Cumple</v>
      </c>
      <c r="I191" s="4">
        <f>+VLOOKUP(C191,Indicadores!B:F,5,FALSE)</f>
        <v>0.8</v>
      </c>
      <c r="J191" s="1" t="str">
        <f t="shared" si="42"/>
        <v>No Cumple</v>
      </c>
      <c r="K191" s="9">
        <f t="shared" si="50"/>
        <v>150000</v>
      </c>
      <c r="L191" s="4">
        <f>+VLOOKUP(C191,Indicadores!B:P,15,FALSE)</f>
        <v>0.58333333333333337</v>
      </c>
      <c r="M191" s="1" t="str">
        <f t="shared" si="43"/>
        <v>No Cumple</v>
      </c>
      <c r="N191" s="5">
        <f t="shared" si="44"/>
        <v>0</v>
      </c>
      <c r="O191" s="5">
        <f t="shared" si="51"/>
        <v>50000</v>
      </c>
      <c r="P191" s="4">
        <v>0.95</v>
      </c>
      <c r="Q191" s="5" t="str">
        <f t="shared" si="45"/>
        <v>Cumple</v>
      </c>
      <c r="R191" s="5">
        <f t="shared" si="46"/>
        <v>47500</v>
      </c>
      <c r="S191" s="5">
        <f t="shared" si="52"/>
        <v>50000</v>
      </c>
      <c r="T191" s="4">
        <f>+VLOOKUP(C191,Indicadores!B:V,21,FALSE)</f>
        <v>1</v>
      </c>
      <c r="U191" s="35" t="str">
        <f t="shared" si="47"/>
        <v>Cumple</v>
      </c>
      <c r="V191" s="2">
        <f t="shared" si="48"/>
        <v>50000</v>
      </c>
      <c r="W191" s="5" t="str">
        <f t="shared" si="53"/>
        <v>NO</v>
      </c>
      <c r="X191" s="5">
        <f t="shared" si="49"/>
        <v>0</v>
      </c>
      <c r="Y191" s="1"/>
    </row>
    <row r="192" spans="2:25" x14ac:dyDescent="0.25">
      <c r="B192" s="1" t="s">
        <v>233</v>
      </c>
      <c r="C192" s="1" t="s">
        <v>197</v>
      </c>
      <c r="D192" s="1" t="s">
        <v>242</v>
      </c>
      <c r="E192" s="1" t="s">
        <v>302</v>
      </c>
      <c r="F192" s="2">
        <f t="shared" si="40"/>
        <v>250000</v>
      </c>
      <c r="G192" s="4">
        <f>+VLOOKUP(C192,Indicadores!B:C,2,FALSE)</f>
        <v>0.69778181818181817</v>
      </c>
      <c r="H192" s="1" t="str">
        <f t="shared" si="41"/>
        <v>No Cumple</v>
      </c>
      <c r="I192" s="4">
        <f>+VLOOKUP(C192,Indicadores!B:F,5,FALSE)</f>
        <v>0.72727272727272729</v>
      </c>
      <c r="J192" s="1" t="str">
        <f t="shared" si="42"/>
        <v>No Cumple</v>
      </c>
      <c r="K192" s="9">
        <f t="shared" si="50"/>
        <v>150000</v>
      </c>
      <c r="L192" s="4">
        <f>+VLOOKUP(C192,Indicadores!B:P,15,FALSE)</f>
        <v>0.43009999999999998</v>
      </c>
      <c r="M192" s="1" t="str">
        <f t="shared" si="43"/>
        <v>No Cumple</v>
      </c>
      <c r="N192" s="5">
        <f t="shared" si="44"/>
        <v>0</v>
      </c>
      <c r="O192" s="5">
        <f t="shared" si="51"/>
        <v>50000</v>
      </c>
      <c r="P192" s="4">
        <v>0.95</v>
      </c>
      <c r="Q192" s="5" t="str">
        <f t="shared" si="45"/>
        <v>Cumple</v>
      </c>
      <c r="R192" s="5">
        <f t="shared" si="46"/>
        <v>47500</v>
      </c>
      <c r="S192" s="5">
        <f t="shared" si="52"/>
        <v>50000</v>
      </c>
      <c r="T192" s="4">
        <f>+VLOOKUP(C192,Indicadores!B:V,21,FALSE)</f>
        <v>0.45945000000000003</v>
      </c>
      <c r="U192" s="35" t="str">
        <f t="shared" si="47"/>
        <v>No Cumple</v>
      </c>
      <c r="V192" s="2">
        <f t="shared" si="48"/>
        <v>0</v>
      </c>
      <c r="W192" s="5" t="str">
        <f t="shared" si="53"/>
        <v>NO</v>
      </c>
      <c r="X192" s="5">
        <f t="shared" si="49"/>
        <v>0</v>
      </c>
      <c r="Y192" s="1"/>
    </row>
    <row r="193" spans="2:25" x14ac:dyDescent="0.25">
      <c r="B193" s="1" t="s">
        <v>233</v>
      </c>
      <c r="C193" s="1" t="s">
        <v>198</v>
      </c>
      <c r="D193" s="1" t="s">
        <v>242</v>
      </c>
      <c r="E193" s="1" t="s">
        <v>302</v>
      </c>
      <c r="F193" s="2">
        <f t="shared" si="40"/>
        <v>250000</v>
      </c>
      <c r="G193" s="4">
        <f>+VLOOKUP(C193,Indicadores!B:C,2,FALSE)</f>
        <v>0.78000000000000014</v>
      </c>
      <c r="H193" s="1" t="str">
        <f t="shared" si="41"/>
        <v>No Cumple</v>
      </c>
      <c r="I193" s="4">
        <f>+VLOOKUP(C193,Indicadores!B:F,5,FALSE)</f>
        <v>1</v>
      </c>
      <c r="J193" s="1" t="str">
        <f t="shared" si="42"/>
        <v>Cumple</v>
      </c>
      <c r="K193" s="9">
        <f t="shared" si="50"/>
        <v>150000</v>
      </c>
      <c r="L193" s="4">
        <f>+VLOOKUP(C193,Indicadores!B:P,15,FALSE)</f>
        <v>0.48666666666666664</v>
      </c>
      <c r="M193" s="1" t="str">
        <f t="shared" si="43"/>
        <v>No Cumple</v>
      </c>
      <c r="N193" s="5">
        <f t="shared" si="44"/>
        <v>0</v>
      </c>
      <c r="O193" s="5">
        <f t="shared" si="51"/>
        <v>50000</v>
      </c>
      <c r="P193" s="4">
        <v>0.95</v>
      </c>
      <c r="Q193" s="5" t="str">
        <f t="shared" si="45"/>
        <v>Cumple</v>
      </c>
      <c r="R193" s="5">
        <f t="shared" si="46"/>
        <v>47500</v>
      </c>
      <c r="S193" s="5">
        <f t="shared" si="52"/>
        <v>50000</v>
      </c>
      <c r="T193" s="4">
        <f>+VLOOKUP(C193,Indicadores!B:V,21,FALSE)</f>
        <v>0.49</v>
      </c>
      <c r="U193" s="35" t="str">
        <f t="shared" si="47"/>
        <v>No Cumple</v>
      </c>
      <c r="V193" s="2">
        <f t="shared" si="48"/>
        <v>0</v>
      </c>
      <c r="W193" s="5" t="str">
        <f t="shared" si="53"/>
        <v>NO</v>
      </c>
      <c r="X193" s="5">
        <f t="shared" si="49"/>
        <v>0</v>
      </c>
      <c r="Y193" s="1"/>
    </row>
    <row r="194" spans="2:25" x14ac:dyDescent="0.25">
      <c r="G194" s="34"/>
      <c r="I194" s="34"/>
      <c r="L194" s="34"/>
    </row>
  </sheetData>
  <mergeCells count="5">
    <mergeCell ref="I4:J4"/>
    <mergeCell ref="G4:H4"/>
    <mergeCell ref="K4:N4"/>
    <mergeCell ref="S4:V4"/>
    <mergeCell ref="O4:R4"/>
  </mergeCells>
  <conditionalFormatting sqref="C5:C193">
    <cfRule type="duplicateValues" dxfId="15" priority="11"/>
  </conditionalFormatting>
  <conditionalFormatting sqref="H6:H193">
    <cfRule type="containsText" dxfId="14" priority="4" operator="containsText" text="No Cumple">
      <formula>NOT(ISERROR(SEARCH("No Cumple",H6)))</formula>
    </cfRule>
  </conditionalFormatting>
  <conditionalFormatting sqref="J6:J193">
    <cfRule type="containsText" dxfId="13" priority="3" operator="containsText" text="No Cumple">
      <formula>NOT(ISERROR(SEARCH("No Cumple",J6)))</formula>
    </cfRule>
  </conditionalFormatting>
  <conditionalFormatting sqref="M6:M193">
    <cfRule type="containsText" dxfId="12" priority="2" operator="containsText" text="No Cumple">
      <formula>NOT(ISERROR(SEARCH("No Cumple",M6)))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FCCA-4669-46FA-A0EE-49212767FBB1}">
  <dimension ref="B1:AB194"/>
  <sheetViews>
    <sheetView showGridLines="0" zoomScale="55" zoomScaleNormal="55" workbookViewId="0">
      <selection activeCell="V21" sqref="V21"/>
    </sheetView>
  </sheetViews>
  <sheetFormatPr baseColWidth="10" defaultRowHeight="15" x14ac:dyDescent="0.25"/>
  <cols>
    <col min="1" max="1" width="2.28515625" customWidth="1"/>
    <col min="2" max="2" width="19.42578125" customWidth="1"/>
    <col min="3" max="3" width="8.42578125" customWidth="1"/>
    <col min="4" max="4" width="21.42578125" customWidth="1"/>
    <col min="5" max="5" width="26.140625" customWidth="1"/>
    <col min="6" max="6" width="15.140625" style="26" hidden="1" customWidth="1"/>
    <col min="7" max="7" width="14.5703125" style="26" customWidth="1"/>
    <col min="8" max="8" width="13" style="26" customWidth="1"/>
    <col min="9" max="9" width="12.5703125" style="26" hidden="1" customWidth="1"/>
    <col min="10" max="10" width="16" style="26" hidden="1" customWidth="1"/>
    <col min="11" max="11" width="12.85546875" style="26" customWidth="1"/>
    <col min="12" max="12" width="16.28515625" style="26" customWidth="1"/>
    <col min="13" max="13" width="13.5703125" style="26" hidden="1" customWidth="1"/>
    <col min="14" max="14" width="14.5703125" style="26" customWidth="1"/>
    <col min="15" max="15" width="12.5703125" style="26" customWidth="1"/>
    <col min="16" max="16" width="12.5703125" style="26" bestFit="1" customWidth="1"/>
    <col min="17" max="17" width="13.5703125" style="26" hidden="1" customWidth="1"/>
    <col min="18" max="18" width="17.28515625" style="26" customWidth="1"/>
    <col min="19" max="19" width="17.5703125" style="26" customWidth="1"/>
    <col min="20" max="20" width="13.85546875" style="26" customWidth="1"/>
    <col min="21" max="21" width="13.5703125" style="26" hidden="1" customWidth="1"/>
    <col min="22" max="22" width="13.85546875" style="26" customWidth="1"/>
    <col min="23" max="23" width="15.28515625" style="26" customWidth="1"/>
    <col min="24" max="24" width="12.140625" style="26" customWidth="1"/>
    <col min="25" max="25" width="13.5703125" style="26" hidden="1" customWidth="1"/>
    <col min="26" max="26" width="15.42578125" style="26" customWidth="1"/>
    <col min="27" max="27" width="16.140625" style="26" customWidth="1"/>
    <col min="28" max="28" width="20.7109375" style="26" customWidth="1"/>
  </cols>
  <sheetData>
    <row r="1" spans="2:28" x14ac:dyDescent="0.25">
      <c r="Z1" s="27" t="s">
        <v>246</v>
      </c>
      <c r="AA1" s="28">
        <f>+COUNTIF(Z6:Z193,Z1)</f>
        <v>169</v>
      </c>
    </row>
    <row r="2" spans="2:28" ht="21" x14ac:dyDescent="0.35">
      <c r="B2" s="50" t="s">
        <v>300</v>
      </c>
      <c r="Z2" s="29"/>
      <c r="AA2" s="29"/>
    </row>
    <row r="3" spans="2:28" ht="15.75" x14ac:dyDescent="0.25">
      <c r="G3" s="31"/>
      <c r="H3" s="30" t="s">
        <v>251</v>
      </c>
      <c r="I3" s="31"/>
      <c r="J3" s="31"/>
      <c r="L3" s="30" t="s">
        <v>251</v>
      </c>
      <c r="M3" s="31"/>
      <c r="N3" s="30">
        <v>0.6</v>
      </c>
      <c r="R3" s="30">
        <v>0.2</v>
      </c>
      <c r="V3" s="30">
        <v>0.2</v>
      </c>
      <c r="W3" s="30"/>
    </row>
    <row r="4" spans="2:28" x14ac:dyDescent="0.25">
      <c r="F4" s="32">
        <v>250000</v>
      </c>
      <c r="G4" s="76" t="s">
        <v>222</v>
      </c>
      <c r="H4" s="77"/>
      <c r="I4" s="84"/>
      <c r="J4" s="85" t="s">
        <v>217</v>
      </c>
      <c r="K4" s="75"/>
      <c r="L4" s="75"/>
      <c r="M4" s="75"/>
      <c r="N4" s="86" t="s">
        <v>249</v>
      </c>
      <c r="O4" s="87"/>
      <c r="P4" s="87"/>
      <c r="Q4" s="87"/>
      <c r="R4" s="82" t="s">
        <v>250</v>
      </c>
      <c r="S4" s="83"/>
      <c r="T4" s="83"/>
      <c r="U4" s="83"/>
      <c r="V4" s="80" t="s">
        <v>247</v>
      </c>
      <c r="W4" s="81"/>
      <c r="X4" s="81"/>
      <c r="Y4" s="81"/>
      <c r="Z4" s="33"/>
      <c r="AA4" s="33">
        <f>+SUBTOTAL(9,AA6:AA193)</f>
        <v>23781000</v>
      </c>
    </row>
    <row r="5" spans="2:28" s="43" customFormat="1" ht="45" x14ac:dyDescent="0.25">
      <c r="B5" s="36" t="s">
        <v>0</v>
      </c>
      <c r="C5" s="36" t="s">
        <v>6</v>
      </c>
      <c r="D5" s="36" t="s">
        <v>213</v>
      </c>
      <c r="E5" s="36" t="s">
        <v>212</v>
      </c>
      <c r="F5" s="37" t="s">
        <v>1</v>
      </c>
      <c r="G5" s="38" t="s">
        <v>223</v>
      </c>
      <c r="H5" s="38" t="s">
        <v>297</v>
      </c>
      <c r="I5" s="38" t="s">
        <v>3</v>
      </c>
      <c r="J5" s="37" t="s">
        <v>225</v>
      </c>
      <c r="K5" s="37" t="s">
        <v>224</v>
      </c>
      <c r="L5" s="37" t="s">
        <v>297</v>
      </c>
      <c r="M5" s="37" t="s">
        <v>3</v>
      </c>
      <c r="N5" s="39" t="s">
        <v>265</v>
      </c>
      <c r="O5" s="39" t="s">
        <v>268</v>
      </c>
      <c r="P5" s="39" t="s">
        <v>266</v>
      </c>
      <c r="Q5" s="39" t="s">
        <v>3</v>
      </c>
      <c r="R5" s="40" t="s">
        <v>269</v>
      </c>
      <c r="S5" s="40" t="s">
        <v>270</v>
      </c>
      <c r="T5" s="40" t="s">
        <v>2</v>
      </c>
      <c r="U5" s="40" t="s">
        <v>3</v>
      </c>
      <c r="V5" s="41" t="s">
        <v>276</v>
      </c>
      <c r="W5" s="41" t="s">
        <v>280</v>
      </c>
      <c r="X5" s="41" t="s">
        <v>2</v>
      </c>
      <c r="Y5" s="41" t="s">
        <v>3</v>
      </c>
      <c r="Z5" s="42" t="s">
        <v>244</v>
      </c>
      <c r="AA5" s="42" t="s">
        <v>226</v>
      </c>
      <c r="AB5" s="37" t="s">
        <v>4</v>
      </c>
    </row>
    <row r="6" spans="2:28" x14ac:dyDescent="0.25">
      <c r="B6" s="1" t="s">
        <v>233</v>
      </c>
      <c r="C6" s="1" t="s">
        <v>11</v>
      </c>
      <c r="D6" s="1" t="s">
        <v>241</v>
      </c>
      <c r="E6" s="1" t="s">
        <v>199</v>
      </c>
      <c r="F6" s="2">
        <f>+$F$4*$G$3</f>
        <v>0</v>
      </c>
      <c r="G6" s="4">
        <f>+VLOOKUP(C6,Indicadores!B:C,2,FALSE)</f>
        <v>0.8841</v>
      </c>
      <c r="H6" s="1" t="str">
        <f>IF(G6&gt;=70%,"Cumple","No Cumple")</f>
        <v>Cumple</v>
      </c>
      <c r="I6" s="5">
        <f>+IF(G6&gt;=95%,F6*G6,0)</f>
        <v>0</v>
      </c>
      <c r="J6" s="9">
        <f>+$F$4*$J$3</f>
        <v>0</v>
      </c>
      <c r="K6" s="4">
        <f>+VLOOKUP(C6,Indicadores!B:F,5,FALSE)</f>
        <v>1</v>
      </c>
      <c r="L6" s="1" t="str">
        <f>IF(K6&gt;=70%,"Cumple","No Cumple")</f>
        <v>Cumple</v>
      </c>
      <c r="M6" s="5">
        <f>+IF(K6&gt;=95%,J6*K6,0)</f>
        <v>0</v>
      </c>
      <c r="N6" s="9">
        <f t="shared" ref="N6:N69" si="0">+$F$4*$N$3</f>
        <v>150000</v>
      </c>
      <c r="O6" s="4">
        <v>0.98</v>
      </c>
      <c r="P6" s="1" t="str">
        <f>IF(O6&gt;=80%,"Cumple","No Cumple")</f>
        <v>Cumple</v>
      </c>
      <c r="Q6" s="5">
        <f>IF(O6=80%,N6*70%,IF(AND(O6&gt;=81%,O6&lt;=90%),N6*80%,IF(AND(O6&gt;=91%,O6&lt;=95%),N6*90%,IF(O6=96%,N6*96%,IF(O6=97%,N6*97%,IF(O6=98%,N6*98%,IF(O6=99%,N6*99%,IF(O6=100%,N6,0))))))))</f>
        <v>147000</v>
      </c>
      <c r="R6" s="5">
        <f>+$F$4*$R$3</f>
        <v>50000</v>
      </c>
      <c r="S6" s="4">
        <f>+VLOOKUP(C6,Indicadores!B:Q,15,FALSE)</f>
        <v>0.86933333333333318</v>
      </c>
      <c r="T6" s="5" t="str">
        <f>IF(S6&gt;=80%,"Cumple","No Cumple")</f>
        <v>Cumple</v>
      </c>
      <c r="U6" s="5">
        <f>IF(S6=80%,R6*70%,IF(AND(S6&gt;=81%,S6&lt;=90%),R6*80%,IF(AND(S6&gt;=91%,S6&lt;=95%),R6*90%,IF(S6=96%,R6*96%,IF(S6=97%,R6*97%,IF(S6=98%,R6*98%,IF(S6=99%,R6*99%,IF(S6=100%,R6,0))))))))</f>
        <v>40000</v>
      </c>
      <c r="V6" s="5">
        <f>+$F$4*$V$3</f>
        <v>50000</v>
      </c>
      <c r="W6" s="4">
        <f>+VLOOKUP(C6,Indicadores!B:V,21,FALSE)</f>
        <v>0.48899999999999999</v>
      </c>
      <c r="X6" s="35" t="str">
        <f>IF(W6&gt;=100%,"Cumple","No Cumple")</f>
        <v>No Cumple</v>
      </c>
      <c r="Y6" s="2">
        <f>IF(W6=100%,V6,0)</f>
        <v>0</v>
      </c>
      <c r="Z6" s="5" t="str">
        <f>IF(AND(G6&gt;=70%,K6&gt;=70%),"SI","NO")</f>
        <v>SI</v>
      </c>
      <c r="AA6" s="5">
        <f>+IF(Z6="SI",Q6+U6+Y6,0)</f>
        <v>187000</v>
      </c>
      <c r="AB6" s="1"/>
    </row>
    <row r="7" spans="2:28" x14ac:dyDescent="0.25">
      <c r="B7" s="1" t="s">
        <v>233</v>
      </c>
      <c r="C7" s="1" t="s">
        <v>12</v>
      </c>
      <c r="D7" s="1" t="s">
        <v>241</v>
      </c>
      <c r="E7" s="1" t="s">
        <v>199</v>
      </c>
      <c r="F7" s="2">
        <f t="shared" ref="F7:F70" si="1">+$F$4*$G$3</f>
        <v>0</v>
      </c>
      <c r="G7" s="4">
        <f>+VLOOKUP(C7,Indicadores!B:C,2,FALSE)</f>
        <v>0.75190000000000012</v>
      </c>
      <c r="H7" s="1" t="str">
        <f t="shared" ref="H7:H70" si="2">IF(G7&gt;=70%,"Cumple","No Cumple")</f>
        <v>Cumple</v>
      </c>
      <c r="I7" s="5">
        <f t="shared" ref="I7:I70" si="3">+IF(G7&gt;=95%,F7*G7,0)</f>
        <v>0</v>
      </c>
      <c r="J7" s="9">
        <f t="shared" ref="J7:J70" si="4">+$F$4*$J$3</f>
        <v>0</v>
      </c>
      <c r="K7" s="4">
        <f>+VLOOKUP(C7,Indicadores!B:F,5,FALSE)</f>
        <v>1</v>
      </c>
      <c r="L7" s="1" t="str">
        <f t="shared" ref="L7:L70" si="5">IF(K7&gt;=70%,"Cumple","No Cumple")</f>
        <v>Cumple</v>
      </c>
      <c r="M7" s="5">
        <f t="shared" ref="M7:M70" si="6">+IF(K7&gt;=95%,J7*K7,0)</f>
        <v>0</v>
      </c>
      <c r="N7" s="9">
        <f t="shared" si="0"/>
        <v>150000</v>
      </c>
      <c r="O7" s="4">
        <f>+VLOOKUP(C7,Indicadores!B:P,14,FALSE)</f>
        <v>1</v>
      </c>
      <c r="P7" s="1" t="str">
        <f t="shared" ref="P7:P70" si="7">IF(O7&gt;=80%,"Cumple","No Cumple")</f>
        <v>Cumple</v>
      </c>
      <c r="Q7" s="5">
        <f t="shared" ref="Q7:Q70" si="8">IF(O7=80%,N7*70%,IF(AND(O7&gt;=81%,O7&lt;=90%),N7*80%,IF(AND(O7&gt;=91%,O7&lt;=95%),N7*90%,IF(O7=96%,N7*96%,IF(O7=97%,N7*97%,IF(O7=98%,N7*98%,IF(O7=99%,N7*99%,IF(O7=100%,N7,0))))))))</f>
        <v>150000</v>
      </c>
      <c r="R7" s="5">
        <f t="shared" ref="R7:R70" si="9">+$F$4*$R$3</f>
        <v>50000</v>
      </c>
      <c r="S7" s="4">
        <f>+VLOOKUP(C7,Indicadores!B:Q,15,FALSE)</f>
        <v>0.40476666666666666</v>
      </c>
      <c r="T7" s="5" t="str">
        <f t="shared" ref="T7:T70" si="10">IF(S7&gt;=80%,"Cumple","No Cumple")</f>
        <v>No Cumple</v>
      </c>
      <c r="U7" s="5">
        <f t="shared" ref="U7:U70" si="11">IF(S7=80%,R7*70%,IF(AND(S7&gt;=81%,S7&lt;=90%),R7*80%,IF(AND(S7&gt;=91%,S7&lt;=95%),R7*90%,IF(S7=96%,R7*96%,IF(S7=97%,R7*97%,IF(S7=98%,R7*98%,IF(S7=99%,R7*99%,IF(S7=100%,R7,0))))))))</f>
        <v>0</v>
      </c>
      <c r="V7" s="5">
        <f t="shared" ref="V7:V70" si="12">+$F$4*$V$3</f>
        <v>50000</v>
      </c>
      <c r="W7" s="4">
        <f>+VLOOKUP(C7,Indicadores!B:V,21,FALSE)</f>
        <v>1</v>
      </c>
      <c r="X7" s="35" t="str">
        <f t="shared" ref="X7:X70" si="13">IF(W7&gt;=100%,"Cumple","No Cumple")</f>
        <v>Cumple</v>
      </c>
      <c r="Y7" s="2">
        <f t="shared" ref="Y7:Y70" si="14">IF(W7=100%,V7,0)</f>
        <v>50000</v>
      </c>
      <c r="Z7" s="5" t="str">
        <f t="shared" ref="Z7:Z70" si="15">IF(AND(G7&gt;=70%,K7&gt;=70%),"SI","NO")</f>
        <v>SI</v>
      </c>
      <c r="AA7" s="5">
        <f t="shared" ref="AA7:AA70" si="16">+IF(Z7="SI",Q7+U7+Y7,0)</f>
        <v>200000</v>
      </c>
      <c r="AB7" s="1"/>
    </row>
    <row r="8" spans="2:28" x14ac:dyDescent="0.25">
      <c r="B8" s="1" t="s">
        <v>233</v>
      </c>
      <c r="C8" s="1" t="s">
        <v>13</v>
      </c>
      <c r="D8" s="1" t="s">
        <v>241</v>
      </c>
      <c r="E8" s="1" t="s">
        <v>199</v>
      </c>
      <c r="F8" s="2">
        <f t="shared" si="1"/>
        <v>0</v>
      </c>
      <c r="G8" s="4">
        <f>+VLOOKUP(C8,Indicadores!B:C,2,FALSE)</f>
        <v>0.7582181818181819</v>
      </c>
      <c r="H8" s="1" t="str">
        <f t="shared" si="2"/>
        <v>Cumple</v>
      </c>
      <c r="I8" s="5">
        <f t="shared" si="3"/>
        <v>0</v>
      </c>
      <c r="J8" s="9">
        <f t="shared" si="4"/>
        <v>0</v>
      </c>
      <c r="K8" s="4">
        <f>+VLOOKUP(C8,Indicadores!B:F,5,FALSE)</f>
        <v>0.44444444444444442</v>
      </c>
      <c r="L8" s="1" t="str">
        <f t="shared" si="5"/>
        <v>No Cumple</v>
      </c>
      <c r="M8" s="5">
        <f t="shared" si="6"/>
        <v>0</v>
      </c>
      <c r="N8" s="9">
        <f t="shared" si="0"/>
        <v>150000</v>
      </c>
      <c r="O8" s="4">
        <v>0.99</v>
      </c>
      <c r="P8" s="1" t="str">
        <f t="shared" si="7"/>
        <v>Cumple</v>
      </c>
      <c r="Q8" s="5">
        <f t="shared" si="8"/>
        <v>148500</v>
      </c>
      <c r="R8" s="5">
        <f t="shared" si="9"/>
        <v>50000</v>
      </c>
      <c r="S8" s="4">
        <f>+VLOOKUP(C8,Indicadores!B:Q,15,FALSE)</f>
        <v>0.39656666666666668</v>
      </c>
      <c r="T8" s="5" t="str">
        <f t="shared" si="10"/>
        <v>No Cumple</v>
      </c>
      <c r="U8" s="5">
        <f t="shared" si="11"/>
        <v>0</v>
      </c>
      <c r="V8" s="5">
        <f t="shared" si="12"/>
        <v>50000</v>
      </c>
      <c r="W8" s="4">
        <f>+VLOOKUP(C8,Indicadores!B:V,21,FALSE)</f>
        <v>0.48935000000000001</v>
      </c>
      <c r="X8" s="35" t="str">
        <f t="shared" si="13"/>
        <v>No Cumple</v>
      </c>
      <c r="Y8" s="2">
        <f t="shared" si="14"/>
        <v>0</v>
      </c>
      <c r="Z8" s="5" t="str">
        <f t="shared" si="15"/>
        <v>NO</v>
      </c>
      <c r="AA8" s="5">
        <f t="shared" si="16"/>
        <v>0</v>
      </c>
      <c r="AB8" s="1"/>
    </row>
    <row r="9" spans="2:28" x14ac:dyDescent="0.25">
      <c r="B9" s="1" t="s">
        <v>233</v>
      </c>
      <c r="C9" s="1" t="s">
        <v>14</v>
      </c>
      <c r="D9" s="1" t="s">
        <v>241</v>
      </c>
      <c r="E9" s="1" t="s">
        <v>199</v>
      </c>
      <c r="F9" s="2">
        <f t="shared" si="1"/>
        <v>0</v>
      </c>
      <c r="G9" s="4">
        <f>+VLOOKUP(C9,Indicadores!B:C,2,FALSE)</f>
        <v>0.70937272727272738</v>
      </c>
      <c r="H9" s="1" t="str">
        <f t="shared" si="2"/>
        <v>Cumple</v>
      </c>
      <c r="I9" s="5">
        <f t="shared" si="3"/>
        <v>0</v>
      </c>
      <c r="J9" s="9">
        <f t="shared" si="4"/>
        <v>0</v>
      </c>
      <c r="K9" s="4">
        <f>+VLOOKUP(C9,Indicadores!B:F,5,FALSE)</f>
        <v>0.82608695652173914</v>
      </c>
      <c r="L9" s="1" t="str">
        <f t="shared" si="5"/>
        <v>Cumple</v>
      </c>
      <c r="M9" s="5">
        <f t="shared" si="6"/>
        <v>0</v>
      </c>
      <c r="N9" s="9">
        <f t="shared" si="0"/>
        <v>150000</v>
      </c>
      <c r="O9" s="4">
        <f>+VLOOKUP(C9,Indicadores!B:P,14,FALSE)</f>
        <v>0.93940000000000001</v>
      </c>
      <c r="P9" s="1" t="str">
        <f t="shared" si="7"/>
        <v>Cumple</v>
      </c>
      <c r="Q9" s="5">
        <f t="shared" si="8"/>
        <v>135000</v>
      </c>
      <c r="R9" s="5">
        <f t="shared" si="9"/>
        <v>50000</v>
      </c>
      <c r="S9" s="4">
        <f>+VLOOKUP(C9,Indicadores!B:Q,15,FALSE)</f>
        <v>0.35353333333333331</v>
      </c>
      <c r="T9" s="5" t="str">
        <f t="shared" si="10"/>
        <v>No Cumple</v>
      </c>
      <c r="U9" s="5">
        <f t="shared" si="11"/>
        <v>0</v>
      </c>
      <c r="V9" s="5">
        <f t="shared" si="12"/>
        <v>50000</v>
      </c>
      <c r="W9" s="4">
        <f>+VLOOKUP(C9,Indicadores!B:V,21,FALSE)</f>
        <v>0.46970000000000001</v>
      </c>
      <c r="X9" s="35" t="str">
        <f t="shared" si="13"/>
        <v>No Cumple</v>
      </c>
      <c r="Y9" s="2">
        <f t="shared" si="14"/>
        <v>0</v>
      </c>
      <c r="Z9" s="5" t="str">
        <f t="shared" si="15"/>
        <v>SI</v>
      </c>
      <c r="AA9" s="5">
        <f t="shared" si="16"/>
        <v>135000</v>
      </c>
      <c r="AB9" s="1"/>
    </row>
    <row r="10" spans="2:28" x14ac:dyDescent="0.25">
      <c r="B10" s="1" t="s">
        <v>233</v>
      </c>
      <c r="C10" s="1" t="s">
        <v>15</v>
      </c>
      <c r="D10" s="1" t="s">
        <v>241</v>
      </c>
      <c r="E10" s="1" t="s">
        <v>199</v>
      </c>
      <c r="F10" s="2">
        <f t="shared" si="1"/>
        <v>0</v>
      </c>
      <c r="G10" s="4">
        <v>0.7</v>
      </c>
      <c r="H10" s="1" t="str">
        <f t="shared" si="2"/>
        <v>Cumple</v>
      </c>
      <c r="I10" s="5">
        <f t="shared" si="3"/>
        <v>0</v>
      </c>
      <c r="J10" s="9">
        <f t="shared" si="4"/>
        <v>0</v>
      </c>
      <c r="K10" s="4">
        <f>+VLOOKUP(C10,Indicadores!B:F,5,FALSE)</f>
        <v>1</v>
      </c>
      <c r="L10" s="1" t="str">
        <f t="shared" si="5"/>
        <v>Cumple</v>
      </c>
      <c r="M10" s="5">
        <f t="shared" si="6"/>
        <v>0</v>
      </c>
      <c r="N10" s="9">
        <f t="shared" si="0"/>
        <v>150000</v>
      </c>
      <c r="O10" s="4">
        <f>+VLOOKUP(C10,Indicadores!B:P,14,FALSE)</f>
        <v>1</v>
      </c>
      <c r="P10" s="1" t="str">
        <f t="shared" si="7"/>
        <v>Cumple</v>
      </c>
      <c r="Q10" s="5">
        <f t="shared" si="8"/>
        <v>150000</v>
      </c>
      <c r="R10" s="5">
        <f t="shared" si="9"/>
        <v>50000</v>
      </c>
      <c r="S10" s="4">
        <f>+VLOOKUP(C10,Indicadores!B:Q,15,FALSE)</f>
        <v>0.53333333333333333</v>
      </c>
      <c r="T10" s="5" t="str">
        <f t="shared" si="10"/>
        <v>No Cumple</v>
      </c>
      <c r="U10" s="5">
        <f t="shared" si="11"/>
        <v>0</v>
      </c>
      <c r="V10" s="5">
        <f t="shared" si="12"/>
        <v>50000</v>
      </c>
      <c r="W10" s="4">
        <f>+VLOOKUP(C10,Indicadores!B:V,21,FALSE)</f>
        <v>1</v>
      </c>
      <c r="X10" s="35" t="str">
        <f t="shared" si="13"/>
        <v>Cumple</v>
      </c>
      <c r="Y10" s="2">
        <f t="shared" si="14"/>
        <v>50000</v>
      </c>
      <c r="Z10" s="5" t="str">
        <f t="shared" si="15"/>
        <v>SI</v>
      </c>
      <c r="AA10" s="5">
        <f t="shared" si="16"/>
        <v>200000</v>
      </c>
      <c r="AB10" s="1"/>
    </row>
    <row r="11" spans="2:28" x14ac:dyDescent="0.25">
      <c r="B11" s="1" t="s">
        <v>233</v>
      </c>
      <c r="C11" s="1" t="s">
        <v>16</v>
      </c>
      <c r="D11" s="1" t="s">
        <v>241</v>
      </c>
      <c r="E11" s="1" t="s">
        <v>199</v>
      </c>
      <c r="F11" s="2">
        <f t="shared" si="1"/>
        <v>0</v>
      </c>
      <c r="G11" s="4">
        <f>+VLOOKUP(C11,Indicadores!B:C,2,FALSE)</f>
        <v>0.4869</v>
      </c>
      <c r="H11" s="1" t="str">
        <f t="shared" si="2"/>
        <v>No Cumple</v>
      </c>
      <c r="I11" s="5">
        <f t="shared" si="3"/>
        <v>0</v>
      </c>
      <c r="J11" s="9">
        <f t="shared" si="4"/>
        <v>0</v>
      </c>
      <c r="K11" s="4">
        <f>+VLOOKUP(C11,Indicadores!B:F,5,FALSE)</f>
        <v>1</v>
      </c>
      <c r="L11" s="1" t="str">
        <f t="shared" si="5"/>
        <v>Cumple</v>
      </c>
      <c r="M11" s="5">
        <f t="shared" si="6"/>
        <v>0</v>
      </c>
      <c r="N11" s="9">
        <f t="shared" si="0"/>
        <v>150000</v>
      </c>
      <c r="O11" s="4">
        <f>+VLOOKUP(C11,Indicadores!B:P,14,FALSE)</f>
        <v>8.4699999999999998E-2</v>
      </c>
      <c r="P11" s="1" t="str">
        <f t="shared" si="7"/>
        <v>No Cumple</v>
      </c>
      <c r="Q11" s="5">
        <f t="shared" si="8"/>
        <v>0</v>
      </c>
      <c r="R11" s="5">
        <f t="shared" si="9"/>
        <v>50000</v>
      </c>
      <c r="S11" s="4">
        <f>+VLOOKUP(C11,Indicadores!B:Q,15,FALSE)</f>
        <v>0.30066666666666669</v>
      </c>
      <c r="T11" s="5" t="str">
        <f t="shared" si="10"/>
        <v>No Cumple</v>
      </c>
      <c r="U11" s="5">
        <f t="shared" si="11"/>
        <v>0</v>
      </c>
      <c r="V11" s="5">
        <f t="shared" si="12"/>
        <v>50000</v>
      </c>
      <c r="W11" s="4">
        <f>+VLOOKUP(C11,Indicadores!B:V,21,FALSE)</f>
        <v>0.38984999999999997</v>
      </c>
      <c r="X11" s="35" t="str">
        <f t="shared" si="13"/>
        <v>No Cumple</v>
      </c>
      <c r="Y11" s="2">
        <f t="shared" si="14"/>
        <v>0</v>
      </c>
      <c r="Z11" s="5" t="str">
        <f t="shared" si="15"/>
        <v>NO</v>
      </c>
      <c r="AA11" s="5">
        <f t="shared" si="16"/>
        <v>0</v>
      </c>
      <c r="AB11" s="1"/>
    </row>
    <row r="12" spans="2:28" x14ac:dyDescent="0.25">
      <c r="B12" s="1" t="s">
        <v>233</v>
      </c>
      <c r="C12" s="1" t="s">
        <v>17</v>
      </c>
      <c r="D12" s="1" t="s">
        <v>241</v>
      </c>
      <c r="E12" s="1" t="s">
        <v>199</v>
      </c>
      <c r="F12" s="2">
        <f t="shared" si="1"/>
        <v>0</v>
      </c>
      <c r="G12" s="4">
        <f>+VLOOKUP(C12,Indicadores!B:C,2,FALSE)</f>
        <v>0.78221818181818181</v>
      </c>
      <c r="H12" s="1" t="str">
        <f t="shared" si="2"/>
        <v>Cumple</v>
      </c>
      <c r="I12" s="5">
        <f t="shared" si="3"/>
        <v>0</v>
      </c>
      <c r="J12" s="9">
        <f t="shared" si="4"/>
        <v>0</v>
      </c>
      <c r="K12" s="4">
        <f>+VLOOKUP(C12,Indicadores!B:F,5,FALSE)</f>
        <v>1</v>
      </c>
      <c r="L12" s="1" t="str">
        <f t="shared" si="5"/>
        <v>Cumple</v>
      </c>
      <c r="M12" s="5">
        <f t="shared" si="6"/>
        <v>0</v>
      </c>
      <c r="N12" s="9">
        <f t="shared" si="0"/>
        <v>150000</v>
      </c>
      <c r="O12" s="4">
        <f>+VLOOKUP(C12,Indicadores!B:P,14,FALSE)</f>
        <v>0.98899999999999999</v>
      </c>
      <c r="P12" s="1" t="str">
        <f t="shared" si="7"/>
        <v>Cumple</v>
      </c>
      <c r="Q12" s="5">
        <f t="shared" si="8"/>
        <v>0</v>
      </c>
      <c r="R12" s="5">
        <f t="shared" si="9"/>
        <v>50000</v>
      </c>
      <c r="S12" s="4">
        <f>+VLOOKUP(C12,Indicadores!B:Q,15,FALSE)</f>
        <v>0.56656666666666666</v>
      </c>
      <c r="T12" s="5" t="str">
        <f t="shared" si="10"/>
        <v>No Cumple</v>
      </c>
      <c r="U12" s="5">
        <f t="shared" si="11"/>
        <v>0</v>
      </c>
      <c r="V12" s="5">
        <f t="shared" si="12"/>
        <v>50000</v>
      </c>
      <c r="W12" s="4">
        <f>+VLOOKUP(C12,Indicadores!B:V,21,FALSE)</f>
        <v>0.4945</v>
      </c>
      <c r="X12" s="35" t="str">
        <f t="shared" si="13"/>
        <v>No Cumple</v>
      </c>
      <c r="Y12" s="2">
        <f t="shared" si="14"/>
        <v>0</v>
      </c>
      <c r="Z12" s="5" t="str">
        <f t="shared" si="15"/>
        <v>SI</v>
      </c>
      <c r="AA12" s="5">
        <f t="shared" si="16"/>
        <v>0</v>
      </c>
      <c r="AB12" s="1"/>
    </row>
    <row r="13" spans="2:28" x14ac:dyDescent="0.25">
      <c r="B13" s="1" t="s">
        <v>233</v>
      </c>
      <c r="C13" s="1" t="s">
        <v>18</v>
      </c>
      <c r="D13" s="1" t="s">
        <v>241</v>
      </c>
      <c r="E13" s="1" t="s">
        <v>199</v>
      </c>
      <c r="F13" s="2">
        <f t="shared" si="1"/>
        <v>0</v>
      </c>
      <c r="G13" s="4">
        <f>+VLOOKUP(C13,Indicadores!B:C,2,FALSE)</f>
        <v>0.75439999999999996</v>
      </c>
      <c r="H13" s="1" t="str">
        <f t="shared" si="2"/>
        <v>Cumple</v>
      </c>
      <c r="I13" s="5">
        <f t="shared" si="3"/>
        <v>0</v>
      </c>
      <c r="J13" s="9">
        <f t="shared" si="4"/>
        <v>0</v>
      </c>
      <c r="K13" s="4">
        <f>+VLOOKUP(C13,Indicadores!B:F,5,FALSE)</f>
        <v>0.9285714285714286</v>
      </c>
      <c r="L13" s="1" t="str">
        <f t="shared" si="5"/>
        <v>Cumple</v>
      </c>
      <c r="M13" s="5">
        <f t="shared" si="6"/>
        <v>0</v>
      </c>
      <c r="N13" s="9">
        <f t="shared" si="0"/>
        <v>150000</v>
      </c>
      <c r="O13" s="4">
        <f>+VLOOKUP(C13,Indicadores!B:P,14,FALSE)</f>
        <v>0.94030000000000002</v>
      </c>
      <c r="P13" s="1" t="str">
        <f t="shared" si="7"/>
        <v>Cumple</v>
      </c>
      <c r="Q13" s="5">
        <f t="shared" si="8"/>
        <v>135000</v>
      </c>
      <c r="R13" s="5">
        <f t="shared" si="9"/>
        <v>50000</v>
      </c>
      <c r="S13" s="4">
        <f>+VLOOKUP(C13,Indicadores!B:Q,15,FALSE)</f>
        <v>0.36899999999999999</v>
      </c>
      <c r="T13" s="5" t="str">
        <f t="shared" si="10"/>
        <v>No Cumple</v>
      </c>
      <c r="U13" s="5">
        <f t="shared" si="11"/>
        <v>0</v>
      </c>
      <c r="V13" s="5">
        <f t="shared" si="12"/>
        <v>50000</v>
      </c>
      <c r="W13" s="4">
        <f>+VLOOKUP(C13,Indicadores!B:V,21,FALSE)</f>
        <v>0.94030000000000002</v>
      </c>
      <c r="X13" s="35" t="str">
        <f t="shared" si="13"/>
        <v>No Cumple</v>
      </c>
      <c r="Y13" s="2">
        <f t="shared" si="14"/>
        <v>0</v>
      </c>
      <c r="Z13" s="5" t="str">
        <f t="shared" si="15"/>
        <v>SI</v>
      </c>
      <c r="AA13" s="5">
        <f t="shared" si="16"/>
        <v>135000</v>
      </c>
      <c r="AB13" s="1"/>
    </row>
    <row r="14" spans="2:28" x14ac:dyDescent="0.25">
      <c r="B14" s="1" t="s">
        <v>233</v>
      </c>
      <c r="C14" s="1" t="s">
        <v>19</v>
      </c>
      <c r="D14" s="1" t="s">
        <v>241</v>
      </c>
      <c r="E14" s="1" t="s">
        <v>199</v>
      </c>
      <c r="F14" s="2">
        <f t="shared" si="1"/>
        <v>0</v>
      </c>
      <c r="G14" s="4">
        <f>+VLOOKUP(C14,Indicadores!B:C,2,FALSE)</f>
        <v>0.73967272727272726</v>
      </c>
      <c r="H14" s="1" t="str">
        <f t="shared" si="2"/>
        <v>Cumple</v>
      </c>
      <c r="I14" s="5">
        <f t="shared" si="3"/>
        <v>0</v>
      </c>
      <c r="J14" s="9">
        <f t="shared" si="4"/>
        <v>0</v>
      </c>
      <c r="K14" s="4">
        <f>+VLOOKUP(C14,Indicadores!B:F,5,FALSE)</f>
        <v>0.5</v>
      </c>
      <c r="L14" s="1" t="str">
        <f t="shared" si="5"/>
        <v>No Cumple</v>
      </c>
      <c r="M14" s="5">
        <f t="shared" si="6"/>
        <v>0</v>
      </c>
      <c r="N14" s="9">
        <f t="shared" si="0"/>
        <v>150000</v>
      </c>
      <c r="O14" s="4">
        <f>+VLOOKUP(C14,Indicadores!B:P,14,FALSE)</f>
        <v>0.81820000000000004</v>
      </c>
      <c r="P14" s="1" t="str">
        <f t="shared" si="7"/>
        <v>Cumple</v>
      </c>
      <c r="Q14" s="5">
        <f t="shared" si="8"/>
        <v>120000</v>
      </c>
      <c r="R14" s="5">
        <f t="shared" si="9"/>
        <v>50000</v>
      </c>
      <c r="S14" s="4">
        <f>+VLOOKUP(C14,Indicadores!B:Q,15,FALSE)</f>
        <v>0.66163333333333341</v>
      </c>
      <c r="T14" s="5" t="str">
        <f t="shared" si="10"/>
        <v>No Cumple</v>
      </c>
      <c r="U14" s="5">
        <f t="shared" si="11"/>
        <v>0</v>
      </c>
      <c r="V14" s="5">
        <f t="shared" si="12"/>
        <v>50000</v>
      </c>
      <c r="W14" s="4">
        <f>+VLOOKUP(C14,Indicadores!B:V,21,FALSE)</f>
        <v>0.40910000000000002</v>
      </c>
      <c r="X14" s="35" t="str">
        <f t="shared" si="13"/>
        <v>No Cumple</v>
      </c>
      <c r="Y14" s="2">
        <f t="shared" si="14"/>
        <v>0</v>
      </c>
      <c r="Z14" s="5" t="str">
        <f t="shared" si="15"/>
        <v>NO</v>
      </c>
      <c r="AA14" s="5">
        <f t="shared" si="16"/>
        <v>0</v>
      </c>
      <c r="AB14" s="1"/>
    </row>
    <row r="15" spans="2:28" x14ac:dyDescent="0.25">
      <c r="B15" s="1" t="s">
        <v>233</v>
      </c>
      <c r="C15" s="1" t="s">
        <v>20</v>
      </c>
      <c r="D15" s="1" t="s">
        <v>241</v>
      </c>
      <c r="E15" s="1" t="s">
        <v>199</v>
      </c>
      <c r="F15" s="2">
        <f t="shared" si="1"/>
        <v>0</v>
      </c>
      <c r="G15" s="4">
        <f>+VLOOKUP(C15,Indicadores!B:C,2,FALSE)</f>
        <v>0.27650909090909087</v>
      </c>
      <c r="H15" s="1" t="str">
        <f t="shared" si="2"/>
        <v>No Cumple</v>
      </c>
      <c r="I15" s="5">
        <f t="shared" si="3"/>
        <v>0</v>
      </c>
      <c r="J15" s="9">
        <f t="shared" si="4"/>
        <v>0</v>
      </c>
      <c r="K15" s="4">
        <f>+VLOOKUP(C15,Indicadores!B:F,5,FALSE)</f>
        <v>1</v>
      </c>
      <c r="L15" s="1" t="str">
        <f t="shared" si="5"/>
        <v>Cumple</v>
      </c>
      <c r="M15" s="5">
        <f t="shared" si="6"/>
        <v>0</v>
      </c>
      <c r="N15" s="9">
        <f t="shared" si="0"/>
        <v>150000</v>
      </c>
      <c r="O15" s="4">
        <f>+VLOOKUP(C15,Indicadores!B:P,14,FALSE)</f>
        <v>0.33329999999999999</v>
      </c>
      <c r="P15" s="1" t="str">
        <f t="shared" si="7"/>
        <v>No Cumple</v>
      </c>
      <c r="Q15" s="5">
        <f t="shared" si="8"/>
        <v>0</v>
      </c>
      <c r="R15" s="5">
        <f t="shared" si="9"/>
        <v>50000</v>
      </c>
      <c r="S15" s="4">
        <f>+VLOOKUP(C15,Indicadores!B:Q,15,FALSE)</f>
        <v>0.11109999999999999</v>
      </c>
      <c r="T15" s="5" t="str">
        <f t="shared" si="10"/>
        <v>No Cumple</v>
      </c>
      <c r="U15" s="5">
        <f t="shared" si="11"/>
        <v>0</v>
      </c>
      <c r="V15" s="5">
        <f t="shared" si="12"/>
        <v>50000</v>
      </c>
      <c r="W15" s="4">
        <f>+VLOOKUP(C15,Indicadores!B:V,21,FALSE)</f>
        <v>0.375</v>
      </c>
      <c r="X15" s="35" t="str">
        <f t="shared" si="13"/>
        <v>No Cumple</v>
      </c>
      <c r="Y15" s="2">
        <f t="shared" si="14"/>
        <v>0</v>
      </c>
      <c r="Z15" s="5" t="str">
        <f t="shared" si="15"/>
        <v>NO</v>
      </c>
      <c r="AA15" s="5">
        <f t="shared" si="16"/>
        <v>0</v>
      </c>
      <c r="AB15" s="1"/>
    </row>
    <row r="16" spans="2:28" x14ac:dyDescent="0.25">
      <c r="B16" s="1" t="s">
        <v>233</v>
      </c>
      <c r="C16" s="1" t="s">
        <v>21</v>
      </c>
      <c r="D16" s="1" t="s">
        <v>241</v>
      </c>
      <c r="E16" s="1" t="s">
        <v>199</v>
      </c>
      <c r="F16" s="2">
        <f t="shared" si="1"/>
        <v>0</v>
      </c>
      <c r="G16" s="4">
        <f>+VLOOKUP(C16,Indicadores!B:C,2,FALSE)</f>
        <v>0.76430909090909083</v>
      </c>
      <c r="H16" s="1" t="str">
        <f t="shared" si="2"/>
        <v>Cumple</v>
      </c>
      <c r="I16" s="5">
        <f t="shared" si="3"/>
        <v>0</v>
      </c>
      <c r="J16" s="9">
        <f t="shared" si="4"/>
        <v>0</v>
      </c>
      <c r="K16" s="4">
        <f>+VLOOKUP(C16,Indicadores!B:F,5,FALSE)</f>
        <v>1</v>
      </c>
      <c r="L16" s="1" t="str">
        <f t="shared" si="5"/>
        <v>Cumple</v>
      </c>
      <c r="M16" s="5">
        <f t="shared" si="6"/>
        <v>0</v>
      </c>
      <c r="N16" s="9">
        <f t="shared" si="0"/>
        <v>150000</v>
      </c>
      <c r="O16" s="4">
        <f>+VLOOKUP(C16,Indicadores!B:P,14,FALSE)</f>
        <v>1</v>
      </c>
      <c r="P16" s="1" t="str">
        <f t="shared" si="7"/>
        <v>Cumple</v>
      </c>
      <c r="Q16" s="5">
        <f t="shared" si="8"/>
        <v>150000</v>
      </c>
      <c r="R16" s="5">
        <f t="shared" si="9"/>
        <v>50000</v>
      </c>
      <c r="S16" s="4">
        <f>+VLOOKUP(C16,Indicadores!B:Q,15,FALSE)</f>
        <v>0.66666666666666663</v>
      </c>
      <c r="T16" s="5" t="str">
        <f t="shared" si="10"/>
        <v>No Cumple</v>
      </c>
      <c r="U16" s="5">
        <f t="shared" si="11"/>
        <v>0</v>
      </c>
      <c r="V16" s="5">
        <f t="shared" si="12"/>
        <v>50000</v>
      </c>
      <c r="W16" s="4">
        <f>+VLOOKUP(C16,Indicadores!B:V,21,FALSE)</f>
        <v>1</v>
      </c>
      <c r="X16" s="35" t="str">
        <f t="shared" si="13"/>
        <v>Cumple</v>
      </c>
      <c r="Y16" s="2">
        <f t="shared" si="14"/>
        <v>50000</v>
      </c>
      <c r="Z16" s="5" t="str">
        <f t="shared" si="15"/>
        <v>SI</v>
      </c>
      <c r="AA16" s="5">
        <f t="shared" si="16"/>
        <v>200000</v>
      </c>
      <c r="AB16" s="1"/>
    </row>
    <row r="17" spans="2:28" x14ac:dyDescent="0.25">
      <c r="B17" s="1" t="s">
        <v>233</v>
      </c>
      <c r="C17" s="1" t="s">
        <v>22</v>
      </c>
      <c r="D17" s="1" t="s">
        <v>241</v>
      </c>
      <c r="E17" s="1" t="s">
        <v>199</v>
      </c>
      <c r="F17" s="2">
        <f t="shared" si="1"/>
        <v>0</v>
      </c>
      <c r="G17" s="4">
        <f>+VLOOKUP(C17,Indicadores!B:C,2,FALSE)</f>
        <v>0.73865454545454545</v>
      </c>
      <c r="H17" s="1" t="str">
        <f t="shared" si="2"/>
        <v>Cumple</v>
      </c>
      <c r="I17" s="5">
        <f t="shared" si="3"/>
        <v>0</v>
      </c>
      <c r="J17" s="9">
        <f t="shared" si="4"/>
        <v>0</v>
      </c>
      <c r="K17" s="4">
        <f>+VLOOKUP(C17,Indicadores!B:F,5,FALSE)</f>
        <v>1</v>
      </c>
      <c r="L17" s="1" t="str">
        <f t="shared" si="5"/>
        <v>Cumple</v>
      </c>
      <c r="M17" s="5">
        <f t="shared" si="6"/>
        <v>0</v>
      </c>
      <c r="N17" s="9">
        <f t="shared" si="0"/>
        <v>150000</v>
      </c>
      <c r="O17" s="4">
        <f>+VLOOKUP(C17,Indicadores!B:P,14,FALSE)</f>
        <v>0.91669999999999996</v>
      </c>
      <c r="P17" s="1" t="str">
        <f t="shared" si="7"/>
        <v>Cumple</v>
      </c>
      <c r="Q17" s="5">
        <f t="shared" si="8"/>
        <v>135000</v>
      </c>
      <c r="R17" s="5">
        <f t="shared" si="9"/>
        <v>50000</v>
      </c>
      <c r="S17" s="4">
        <f>+VLOOKUP(C17,Indicadores!B:Q,15,FALSE)</f>
        <v>0.30556666666666665</v>
      </c>
      <c r="T17" s="5" t="str">
        <f t="shared" si="10"/>
        <v>No Cumple</v>
      </c>
      <c r="U17" s="5">
        <f t="shared" si="11"/>
        <v>0</v>
      </c>
      <c r="V17" s="5">
        <f t="shared" si="12"/>
        <v>50000</v>
      </c>
      <c r="W17" s="4">
        <f>+VLOOKUP(C17,Indicadores!B:V,21,FALSE)</f>
        <v>0.91669999999999996</v>
      </c>
      <c r="X17" s="35" t="str">
        <f t="shared" si="13"/>
        <v>No Cumple</v>
      </c>
      <c r="Y17" s="2">
        <f t="shared" si="14"/>
        <v>0</v>
      </c>
      <c r="Z17" s="5" t="str">
        <f t="shared" si="15"/>
        <v>SI</v>
      </c>
      <c r="AA17" s="5">
        <f t="shared" si="16"/>
        <v>135000</v>
      </c>
      <c r="AB17" s="1"/>
    </row>
    <row r="18" spans="2:28" x14ac:dyDescent="0.25">
      <c r="B18" s="1" t="s">
        <v>233</v>
      </c>
      <c r="C18" s="1" t="s">
        <v>23</v>
      </c>
      <c r="D18" s="1" t="s">
        <v>241</v>
      </c>
      <c r="E18" s="1" t="s">
        <v>199</v>
      </c>
      <c r="F18" s="2">
        <f t="shared" si="1"/>
        <v>0</v>
      </c>
      <c r="G18" s="4">
        <f>+VLOOKUP(C18,Indicadores!B:C,2,FALSE)</f>
        <v>0.76424545454545456</v>
      </c>
      <c r="H18" s="1" t="str">
        <f t="shared" si="2"/>
        <v>Cumple</v>
      </c>
      <c r="I18" s="5">
        <f t="shared" si="3"/>
        <v>0</v>
      </c>
      <c r="J18" s="9">
        <f t="shared" si="4"/>
        <v>0</v>
      </c>
      <c r="K18" s="4">
        <f>+VLOOKUP(C18,Indicadores!B:F,5,FALSE)</f>
        <v>1</v>
      </c>
      <c r="L18" s="1" t="str">
        <f t="shared" si="5"/>
        <v>Cumple</v>
      </c>
      <c r="M18" s="5">
        <f t="shared" si="6"/>
        <v>0</v>
      </c>
      <c r="N18" s="9">
        <f t="shared" si="0"/>
        <v>150000</v>
      </c>
      <c r="O18" s="4">
        <f>+VLOOKUP(C18,Indicadores!B:P,14,FALSE)</f>
        <v>1</v>
      </c>
      <c r="P18" s="1" t="str">
        <f t="shared" si="7"/>
        <v>Cumple</v>
      </c>
      <c r="Q18" s="5">
        <f t="shared" si="8"/>
        <v>150000</v>
      </c>
      <c r="R18" s="5">
        <f t="shared" si="9"/>
        <v>50000</v>
      </c>
      <c r="S18" s="4">
        <f>+VLOOKUP(C18,Indicadores!B:Q,15,FALSE)</f>
        <v>0.43973333333333336</v>
      </c>
      <c r="T18" s="5" t="str">
        <f t="shared" si="10"/>
        <v>No Cumple</v>
      </c>
      <c r="U18" s="5">
        <f t="shared" si="11"/>
        <v>0</v>
      </c>
      <c r="V18" s="5">
        <f t="shared" si="12"/>
        <v>50000</v>
      </c>
      <c r="W18" s="4">
        <f>+VLOOKUP(C18,Indicadores!B:V,21,FALSE)</f>
        <v>0.5</v>
      </c>
      <c r="X18" s="35" t="str">
        <f t="shared" si="13"/>
        <v>No Cumple</v>
      </c>
      <c r="Y18" s="2">
        <f t="shared" si="14"/>
        <v>0</v>
      </c>
      <c r="Z18" s="5" t="str">
        <f t="shared" si="15"/>
        <v>SI</v>
      </c>
      <c r="AA18" s="5">
        <f t="shared" si="16"/>
        <v>150000</v>
      </c>
      <c r="AB18" s="1"/>
    </row>
    <row r="19" spans="2:28" x14ac:dyDescent="0.25">
      <c r="B19" s="1" t="s">
        <v>233</v>
      </c>
      <c r="C19" s="1" t="s">
        <v>24</v>
      </c>
      <c r="D19" s="1" t="s">
        <v>241</v>
      </c>
      <c r="E19" s="1" t="s">
        <v>199</v>
      </c>
      <c r="F19" s="2">
        <f t="shared" si="1"/>
        <v>0</v>
      </c>
      <c r="G19" s="4">
        <f>+VLOOKUP(C19,Indicadores!B:C,2,FALSE)</f>
        <v>0.77872727272727282</v>
      </c>
      <c r="H19" s="1" t="str">
        <f t="shared" si="2"/>
        <v>Cumple</v>
      </c>
      <c r="I19" s="5">
        <f t="shared" si="3"/>
        <v>0</v>
      </c>
      <c r="J19" s="9">
        <f t="shared" si="4"/>
        <v>0</v>
      </c>
      <c r="K19" s="4">
        <f>+VLOOKUP(C19,Indicadores!B:F,5,FALSE)</f>
        <v>0.66666666666666663</v>
      </c>
      <c r="L19" s="1" t="str">
        <f t="shared" si="5"/>
        <v>No Cumple</v>
      </c>
      <c r="M19" s="5">
        <f t="shared" si="6"/>
        <v>0</v>
      </c>
      <c r="N19" s="9">
        <f t="shared" si="0"/>
        <v>150000</v>
      </c>
      <c r="O19" s="4">
        <f>+VLOOKUP(C19,Indicadores!B:P,14,FALSE)</f>
        <v>1</v>
      </c>
      <c r="P19" s="1" t="str">
        <f t="shared" si="7"/>
        <v>Cumple</v>
      </c>
      <c r="Q19" s="5">
        <f t="shared" si="8"/>
        <v>150000</v>
      </c>
      <c r="R19" s="5">
        <f t="shared" si="9"/>
        <v>50000</v>
      </c>
      <c r="S19" s="4">
        <f>+VLOOKUP(C19,Indicadores!B:Q,15,FALSE)</f>
        <v>0.66510000000000002</v>
      </c>
      <c r="T19" s="5" t="str">
        <f t="shared" si="10"/>
        <v>No Cumple</v>
      </c>
      <c r="U19" s="5">
        <f t="shared" si="11"/>
        <v>0</v>
      </c>
      <c r="V19" s="5">
        <f t="shared" si="12"/>
        <v>50000</v>
      </c>
      <c r="W19" s="4">
        <f>+VLOOKUP(C19,Indicadores!B:V,21,FALSE)</f>
        <v>0.5</v>
      </c>
      <c r="X19" s="35" t="str">
        <f t="shared" si="13"/>
        <v>No Cumple</v>
      </c>
      <c r="Y19" s="2">
        <f t="shared" si="14"/>
        <v>0</v>
      </c>
      <c r="Z19" s="5" t="str">
        <f t="shared" si="15"/>
        <v>NO</v>
      </c>
      <c r="AA19" s="5">
        <f t="shared" si="16"/>
        <v>0</v>
      </c>
      <c r="AB19" s="1"/>
    </row>
    <row r="20" spans="2:28" x14ac:dyDescent="0.25">
      <c r="B20" s="1" t="s">
        <v>233</v>
      </c>
      <c r="C20" s="1" t="s">
        <v>25</v>
      </c>
      <c r="D20" s="1" t="s">
        <v>241</v>
      </c>
      <c r="E20" s="1" t="s">
        <v>199</v>
      </c>
      <c r="F20" s="2">
        <f t="shared" si="1"/>
        <v>0</v>
      </c>
      <c r="G20" s="4">
        <f>+VLOOKUP(C20,Indicadores!B:C,2,FALSE)</f>
        <v>0.74007272727272733</v>
      </c>
      <c r="H20" s="1" t="str">
        <f t="shared" si="2"/>
        <v>Cumple</v>
      </c>
      <c r="I20" s="5">
        <f t="shared" si="3"/>
        <v>0</v>
      </c>
      <c r="J20" s="9">
        <f t="shared" si="4"/>
        <v>0</v>
      </c>
      <c r="K20" s="4">
        <f>+VLOOKUP(C20,Indicadores!B:F,5,FALSE)</f>
        <v>0.83333333333333337</v>
      </c>
      <c r="L20" s="1" t="str">
        <f t="shared" si="5"/>
        <v>Cumple</v>
      </c>
      <c r="M20" s="5">
        <f t="shared" si="6"/>
        <v>0</v>
      </c>
      <c r="N20" s="9">
        <f t="shared" si="0"/>
        <v>150000</v>
      </c>
      <c r="O20" s="4">
        <f>+VLOOKUP(C20,Indicadores!B:P,14,FALSE)</f>
        <v>0.98440000000000005</v>
      </c>
      <c r="P20" s="1" t="str">
        <f t="shared" si="7"/>
        <v>Cumple</v>
      </c>
      <c r="Q20" s="5">
        <f t="shared" si="8"/>
        <v>0</v>
      </c>
      <c r="R20" s="5">
        <f t="shared" si="9"/>
        <v>50000</v>
      </c>
      <c r="S20" s="4">
        <f>+VLOOKUP(C20,Indicadores!B:Q,15,FALSE)</f>
        <v>0.33333333333333331</v>
      </c>
      <c r="T20" s="5" t="str">
        <f t="shared" si="10"/>
        <v>No Cumple</v>
      </c>
      <c r="U20" s="5">
        <f t="shared" si="11"/>
        <v>0</v>
      </c>
      <c r="V20" s="5">
        <f t="shared" si="12"/>
        <v>50000</v>
      </c>
      <c r="W20" s="4">
        <f>+VLOOKUP(C20,Indicadores!B:V,21,FALSE)</f>
        <v>0.49220000000000003</v>
      </c>
      <c r="X20" s="35" t="str">
        <f t="shared" si="13"/>
        <v>No Cumple</v>
      </c>
      <c r="Y20" s="2">
        <f t="shared" si="14"/>
        <v>0</v>
      </c>
      <c r="Z20" s="5" t="str">
        <f t="shared" si="15"/>
        <v>SI</v>
      </c>
      <c r="AA20" s="5">
        <f t="shared" si="16"/>
        <v>0</v>
      </c>
      <c r="AB20" s="1"/>
    </row>
    <row r="21" spans="2:28" x14ac:dyDescent="0.25">
      <c r="B21" s="1" t="s">
        <v>233</v>
      </c>
      <c r="C21" s="1" t="s">
        <v>26</v>
      </c>
      <c r="D21" s="1" t="s">
        <v>241</v>
      </c>
      <c r="E21" s="1" t="s">
        <v>199</v>
      </c>
      <c r="F21" s="2">
        <f t="shared" si="1"/>
        <v>0</v>
      </c>
      <c r="G21" s="4">
        <f>+VLOOKUP(C21,Indicadores!B:C,2,FALSE)</f>
        <v>0.75609090909090915</v>
      </c>
      <c r="H21" s="1" t="str">
        <f t="shared" si="2"/>
        <v>Cumple</v>
      </c>
      <c r="I21" s="5">
        <f t="shared" si="3"/>
        <v>0</v>
      </c>
      <c r="J21" s="9">
        <f t="shared" si="4"/>
        <v>0</v>
      </c>
      <c r="K21" s="4">
        <f>+VLOOKUP(C21,Indicadores!B:F,5,FALSE)</f>
        <v>1</v>
      </c>
      <c r="L21" s="1" t="str">
        <f t="shared" si="5"/>
        <v>Cumple</v>
      </c>
      <c r="M21" s="5">
        <f t="shared" si="6"/>
        <v>0</v>
      </c>
      <c r="N21" s="9">
        <f t="shared" si="0"/>
        <v>150000</v>
      </c>
      <c r="O21" s="4">
        <f>+VLOOKUP(C21,Indicadores!B:P,14,FALSE)</f>
        <v>0.97560000000000002</v>
      </c>
      <c r="P21" s="1" t="str">
        <f t="shared" si="7"/>
        <v>Cumple</v>
      </c>
      <c r="Q21" s="5">
        <f t="shared" si="8"/>
        <v>0</v>
      </c>
      <c r="R21" s="5">
        <f t="shared" si="9"/>
        <v>50000</v>
      </c>
      <c r="S21" s="4">
        <f>+VLOOKUP(C21,Indicadores!B:Q,15,FALSE)</f>
        <v>0.38210000000000005</v>
      </c>
      <c r="T21" s="5" t="str">
        <f t="shared" si="10"/>
        <v>No Cumple</v>
      </c>
      <c r="U21" s="5">
        <f t="shared" si="11"/>
        <v>0</v>
      </c>
      <c r="V21" s="5">
        <f t="shared" si="12"/>
        <v>50000</v>
      </c>
      <c r="W21" s="4">
        <f>+VLOOKUP(C21,Indicadores!B:V,21,FALSE)</f>
        <v>0.48780000000000001</v>
      </c>
      <c r="X21" s="35" t="str">
        <f t="shared" si="13"/>
        <v>No Cumple</v>
      </c>
      <c r="Y21" s="2">
        <f t="shared" si="14"/>
        <v>0</v>
      </c>
      <c r="Z21" s="5" t="str">
        <f t="shared" si="15"/>
        <v>SI</v>
      </c>
      <c r="AA21" s="5">
        <f t="shared" si="16"/>
        <v>0</v>
      </c>
      <c r="AB21" s="1"/>
    </row>
    <row r="22" spans="2:28" x14ac:dyDescent="0.25">
      <c r="B22" s="1" t="s">
        <v>233</v>
      </c>
      <c r="C22" s="1" t="s">
        <v>27</v>
      </c>
      <c r="D22" s="1" t="s">
        <v>241</v>
      </c>
      <c r="E22" s="1" t="s">
        <v>200</v>
      </c>
      <c r="F22" s="2">
        <f t="shared" si="1"/>
        <v>0</v>
      </c>
      <c r="G22" s="4">
        <f>+VLOOKUP(C22,Indicadores!B:C,2,FALSE)</f>
        <v>0.8050272727272727</v>
      </c>
      <c r="H22" s="1" t="str">
        <f t="shared" si="2"/>
        <v>Cumple</v>
      </c>
      <c r="I22" s="5">
        <f t="shared" si="3"/>
        <v>0</v>
      </c>
      <c r="J22" s="9">
        <f t="shared" si="4"/>
        <v>0</v>
      </c>
      <c r="K22" s="4">
        <f>+VLOOKUP(C22,Indicadores!B:F,5,FALSE)</f>
        <v>1</v>
      </c>
      <c r="L22" s="1" t="str">
        <f t="shared" si="5"/>
        <v>Cumple</v>
      </c>
      <c r="M22" s="5">
        <f t="shared" si="6"/>
        <v>0</v>
      </c>
      <c r="N22" s="9">
        <f t="shared" si="0"/>
        <v>150000</v>
      </c>
      <c r="O22" s="4">
        <f>+VLOOKUP(C22,Indicadores!B:P,14,FALSE)</f>
        <v>1</v>
      </c>
      <c r="P22" s="1" t="str">
        <f t="shared" si="7"/>
        <v>Cumple</v>
      </c>
      <c r="Q22" s="5">
        <f t="shared" si="8"/>
        <v>150000</v>
      </c>
      <c r="R22" s="5">
        <f t="shared" si="9"/>
        <v>50000</v>
      </c>
      <c r="S22" s="4">
        <f>+VLOOKUP(C22,Indicadores!B:Q,15,FALSE)</f>
        <v>0.61946666666666672</v>
      </c>
      <c r="T22" s="5" t="str">
        <f t="shared" si="10"/>
        <v>No Cumple</v>
      </c>
      <c r="U22" s="5">
        <f t="shared" si="11"/>
        <v>0</v>
      </c>
      <c r="V22" s="5">
        <f t="shared" si="12"/>
        <v>50000</v>
      </c>
      <c r="W22" s="4">
        <f>+VLOOKUP(C22,Indicadores!B:V,21,FALSE)</f>
        <v>1</v>
      </c>
      <c r="X22" s="35" t="str">
        <f t="shared" si="13"/>
        <v>Cumple</v>
      </c>
      <c r="Y22" s="2">
        <f t="shared" si="14"/>
        <v>50000</v>
      </c>
      <c r="Z22" s="5" t="str">
        <f t="shared" si="15"/>
        <v>SI</v>
      </c>
      <c r="AA22" s="5">
        <f t="shared" si="16"/>
        <v>200000</v>
      </c>
      <c r="AB22" s="1"/>
    </row>
    <row r="23" spans="2:28" x14ac:dyDescent="0.25">
      <c r="B23" s="1" t="s">
        <v>233</v>
      </c>
      <c r="C23" s="1" t="s">
        <v>28</v>
      </c>
      <c r="D23" s="1" t="s">
        <v>241</v>
      </c>
      <c r="E23" s="1" t="s">
        <v>200</v>
      </c>
      <c r="F23" s="2">
        <f t="shared" si="1"/>
        <v>0</v>
      </c>
      <c r="G23" s="4">
        <f>+VLOOKUP(C23,Indicadores!B:C,2,FALSE)</f>
        <v>0.76277272727272727</v>
      </c>
      <c r="H23" s="1" t="str">
        <f t="shared" si="2"/>
        <v>Cumple</v>
      </c>
      <c r="I23" s="5">
        <f t="shared" si="3"/>
        <v>0</v>
      </c>
      <c r="J23" s="9">
        <f t="shared" si="4"/>
        <v>0</v>
      </c>
      <c r="K23" s="4">
        <f>+VLOOKUP(C23,Indicadores!B:F,5,FALSE)</f>
        <v>1</v>
      </c>
      <c r="L23" s="1" t="str">
        <f t="shared" si="5"/>
        <v>Cumple</v>
      </c>
      <c r="M23" s="5">
        <f t="shared" si="6"/>
        <v>0</v>
      </c>
      <c r="N23" s="9">
        <f t="shared" si="0"/>
        <v>150000</v>
      </c>
      <c r="O23" s="4">
        <f>+VLOOKUP(C23,Indicadores!B:P,14,FALSE)</f>
        <v>1</v>
      </c>
      <c r="P23" s="1" t="str">
        <f t="shared" si="7"/>
        <v>Cumple</v>
      </c>
      <c r="Q23" s="5">
        <f t="shared" si="8"/>
        <v>150000</v>
      </c>
      <c r="R23" s="5">
        <f t="shared" si="9"/>
        <v>50000</v>
      </c>
      <c r="S23" s="4">
        <f>+VLOOKUP(C23,Indicadores!B:Q,15,FALSE)</f>
        <v>0.48530000000000001</v>
      </c>
      <c r="T23" s="5" t="str">
        <f t="shared" si="10"/>
        <v>No Cumple</v>
      </c>
      <c r="U23" s="5">
        <f t="shared" si="11"/>
        <v>0</v>
      </c>
      <c r="V23" s="5">
        <f t="shared" si="12"/>
        <v>50000</v>
      </c>
      <c r="W23" s="4">
        <f>+VLOOKUP(C23,Indicadores!B:V,21,FALSE)</f>
        <v>1</v>
      </c>
      <c r="X23" s="35" t="str">
        <f t="shared" si="13"/>
        <v>Cumple</v>
      </c>
      <c r="Y23" s="2">
        <f t="shared" si="14"/>
        <v>50000</v>
      </c>
      <c r="Z23" s="5" t="str">
        <f t="shared" si="15"/>
        <v>SI</v>
      </c>
      <c r="AA23" s="5">
        <f t="shared" si="16"/>
        <v>200000</v>
      </c>
      <c r="AB23" s="1"/>
    </row>
    <row r="24" spans="2:28" x14ac:dyDescent="0.25">
      <c r="B24" s="1" t="s">
        <v>233</v>
      </c>
      <c r="C24" s="1" t="s">
        <v>29</v>
      </c>
      <c r="D24" s="1" t="s">
        <v>241</v>
      </c>
      <c r="E24" s="1" t="s">
        <v>200</v>
      </c>
      <c r="F24" s="2">
        <f t="shared" si="1"/>
        <v>0</v>
      </c>
      <c r="G24" s="4">
        <f>+VLOOKUP(C24,Indicadores!B:C,2,FALSE)</f>
        <v>0.83382727272727275</v>
      </c>
      <c r="H24" s="1" t="str">
        <f t="shared" si="2"/>
        <v>Cumple</v>
      </c>
      <c r="I24" s="5">
        <f t="shared" si="3"/>
        <v>0</v>
      </c>
      <c r="J24" s="9">
        <f t="shared" si="4"/>
        <v>0</v>
      </c>
      <c r="K24" s="4">
        <f>+VLOOKUP(C24,Indicadores!B:F,5,FALSE)</f>
        <v>1</v>
      </c>
      <c r="L24" s="1" t="str">
        <f t="shared" si="5"/>
        <v>Cumple</v>
      </c>
      <c r="M24" s="5">
        <f t="shared" si="6"/>
        <v>0</v>
      </c>
      <c r="N24" s="9">
        <f t="shared" si="0"/>
        <v>150000</v>
      </c>
      <c r="O24" s="4">
        <f>+VLOOKUP(C24,Indicadores!B:P,14,FALSE)</f>
        <v>1</v>
      </c>
      <c r="P24" s="1" t="str">
        <f t="shared" si="7"/>
        <v>Cumple</v>
      </c>
      <c r="Q24" s="5">
        <f t="shared" si="8"/>
        <v>150000</v>
      </c>
      <c r="R24" s="5">
        <f t="shared" si="9"/>
        <v>50000</v>
      </c>
      <c r="S24" s="4">
        <f>+VLOOKUP(C24,Indicadores!B:Q,15,FALSE)</f>
        <v>0.4371666666666667</v>
      </c>
      <c r="T24" s="5" t="str">
        <f t="shared" si="10"/>
        <v>No Cumple</v>
      </c>
      <c r="U24" s="5">
        <f t="shared" si="11"/>
        <v>0</v>
      </c>
      <c r="V24" s="5">
        <f t="shared" si="12"/>
        <v>50000</v>
      </c>
      <c r="W24" s="4">
        <f>+VLOOKUP(C24,Indicadores!B:V,21,FALSE)</f>
        <v>1</v>
      </c>
      <c r="X24" s="35" t="str">
        <f t="shared" si="13"/>
        <v>Cumple</v>
      </c>
      <c r="Y24" s="2">
        <f t="shared" si="14"/>
        <v>50000</v>
      </c>
      <c r="Z24" s="5" t="str">
        <f t="shared" si="15"/>
        <v>SI</v>
      </c>
      <c r="AA24" s="5">
        <f t="shared" si="16"/>
        <v>200000</v>
      </c>
      <c r="AB24" s="1"/>
    </row>
    <row r="25" spans="2:28" x14ac:dyDescent="0.25">
      <c r="B25" s="1" t="s">
        <v>233</v>
      </c>
      <c r="C25" s="1" t="s">
        <v>30</v>
      </c>
      <c r="D25" s="1" t="s">
        <v>241</v>
      </c>
      <c r="E25" s="1" t="s">
        <v>200</v>
      </c>
      <c r="F25" s="2">
        <f t="shared" si="1"/>
        <v>0</v>
      </c>
      <c r="G25" s="4">
        <f>+VLOOKUP(C25,Indicadores!B:C,2,FALSE)</f>
        <v>0.84884545454545457</v>
      </c>
      <c r="H25" s="1" t="str">
        <f t="shared" si="2"/>
        <v>Cumple</v>
      </c>
      <c r="I25" s="5">
        <f t="shared" si="3"/>
        <v>0</v>
      </c>
      <c r="J25" s="9">
        <f t="shared" si="4"/>
        <v>0</v>
      </c>
      <c r="K25" s="4">
        <f>+VLOOKUP(C25,Indicadores!B:F,5,FALSE)</f>
        <v>1</v>
      </c>
      <c r="L25" s="1" t="str">
        <f t="shared" si="5"/>
        <v>Cumple</v>
      </c>
      <c r="M25" s="5">
        <f t="shared" si="6"/>
        <v>0</v>
      </c>
      <c r="N25" s="9">
        <f t="shared" si="0"/>
        <v>150000</v>
      </c>
      <c r="O25" s="4">
        <f>+VLOOKUP(C25,Indicadores!B:P,14,FALSE)</f>
        <v>1</v>
      </c>
      <c r="P25" s="1" t="str">
        <f t="shared" si="7"/>
        <v>Cumple</v>
      </c>
      <c r="Q25" s="5">
        <f t="shared" si="8"/>
        <v>150000</v>
      </c>
      <c r="R25" s="5">
        <f t="shared" si="9"/>
        <v>50000</v>
      </c>
      <c r="S25" s="4">
        <f>+VLOOKUP(C25,Indicadores!B:Q,15,FALSE)</f>
        <v>0.84649999999999992</v>
      </c>
      <c r="T25" s="5" t="str">
        <f t="shared" si="10"/>
        <v>Cumple</v>
      </c>
      <c r="U25" s="5">
        <f t="shared" si="11"/>
        <v>40000</v>
      </c>
      <c r="V25" s="5">
        <f t="shared" si="12"/>
        <v>50000</v>
      </c>
      <c r="W25" s="4">
        <f>+VLOOKUP(C25,Indicadores!B:V,21,FALSE)</f>
        <v>0.5</v>
      </c>
      <c r="X25" s="35" t="str">
        <f t="shared" si="13"/>
        <v>No Cumple</v>
      </c>
      <c r="Y25" s="2">
        <f t="shared" si="14"/>
        <v>0</v>
      </c>
      <c r="Z25" s="5" t="str">
        <f t="shared" si="15"/>
        <v>SI</v>
      </c>
      <c r="AA25" s="5">
        <f t="shared" si="16"/>
        <v>190000</v>
      </c>
      <c r="AB25" s="1"/>
    </row>
    <row r="26" spans="2:28" x14ac:dyDescent="0.25">
      <c r="B26" s="1" t="s">
        <v>233</v>
      </c>
      <c r="C26" s="1" t="s">
        <v>31</v>
      </c>
      <c r="D26" s="1" t="s">
        <v>241</v>
      </c>
      <c r="E26" s="1" t="s">
        <v>200</v>
      </c>
      <c r="F26" s="2">
        <f t="shared" si="1"/>
        <v>0</v>
      </c>
      <c r="G26" s="4">
        <f>+VLOOKUP(C26,Indicadores!B:C,2,FALSE)</f>
        <v>0.7612363636363636</v>
      </c>
      <c r="H26" s="1" t="str">
        <f t="shared" si="2"/>
        <v>Cumple</v>
      </c>
      <c r="I26" s="5">
        <f t="shared" si="3"/>
        <v>0</v>
      </c>
      <c r="J26" s="9">
        <f t="shared" si="4"/>
        <v>0</v>
      </c>
      <c r="K26" s="4">
        <f>+VLOOKUP(C26,Indicadores!B:F,5,FALSE)</f>
        <v>1</v>
      </c>
      <c r="L26" s="1" t="str">
        <f t="shared" si="5"/>
        <v>Cumple</v>
      </c>
      <c r="M26" s="5">
        <f t="shared" si="6"/>
        <v>0</v>
      </c>
      <c r="N26" s="9">
        <f t="shared" si="0"/>
        <v>150000</v>
      </c>
      <c r="O26" s="4">
        <f>+VLOOKUP(C26,Indicadores!B:P,14,FALSE)</f>
        <v>1</v>
      </c>
      <c r="P26" s="1" t="str">
        <f t="shared" si="7"/>
        <v>Cumple</v>
      </c>
      <c r="Q26" s="5">
        <f t="shared" si="8"/>
        <v>150000</v>
      </c>
      <c r="R26" s="5">
        <f t="shared" si="9"/>
        <v>50000</v>
      </c>
      <c r="S26" s="4">
        <f>+VLOOKUP(C26,Indicadores!B:Q,15,FALSE)</f>
        <v>0.63419999999999999</v>
      </c>
      <c r="T26" s="5" t="str">
        <f t="shared" si="10"/>
        <v>No Cumple</v>
      </c>
      <c r="U26" s="5">
        <f t="shared" si="11"/>
        <v>0</v>
      </c>
      <c r="V26" s="5">
        <f t="shared" si="12"/>
        <v>50000</v>
      </c>
      <c r="W26" s="4">
        <f>+VLOOKUP(C26,Indicadores!B:V,21,FALSE)</f>
        <v>1</v>
      </c>
      <c r="X26" s="35" t="str">
        <f t="shared" si="13"/>
        <v>Cumple</v>
      </c>
      <c r="Y26" s="2">
        <f t="shared" si="14"/>
        <v>50000</v>
      </c>
      <c r="Z26" s="5" t="str">
        <f t="shared" si="15"/>
        <v>SI</v>
      </c>
      <c r="AA26" s="5">
        <f t="shared" si="16"/>
        <v>200000</v>
      </c>
      <c r="AB26" s="1"/>
    </row>
    <row r="27" spans="2:28" x14ac:dyDescent="0.25">
      <c r="B27" s="1" t="s">
        <v>233</v>
      </c>
      <c r="C27" s="1" t="s">
        <v>32</v>
      </c>
      <c r="D27" s="1" t="s">
        <v>241</v>
      </c>
      <c r="E27" s="1" t="s">
        <v>200</v>
      </c>
      <c r="F27" s="2">
        <f t="shared" si="1"/>
        <v>0</v>
      </c>
      <c r="G27" s="4">
        <f>+VLOOKUP(C27,Indicadores!B:C,2,FALSE)</f>
        <v>0.75548181818181814</v>
      </c>
      <c r="H27" s="1" t="str">
        <f t="shared" si="2"/>
        <v>Cumple</v>
      </c>
      <c r="I27" s="5">
        <f t="shared" si="3"/>
        <v>0</v>
      </c>
      <c r="J27" s="9">
        <f t="shared" si="4"/>
        <v>0</v>
      </c>
      <c r="K27" s="4">
        <f>+VLOOKUP(C27,Indicadores!B:F,5,FALSE)</f>
        <v>1</v>
      </c>
      <c r="L27" s="1" t="str">
        <f t="shared" si="5"/>
        <v>Cumple</v>
      </c>
      <c r="M27" s="5">
        <f t="shared" si="6"/>
        <v>0</v>
      </c>
      <c r="N27" s="9">
        <f t="shared" si="0"/>
        <v>150000</v>
      </c>
      <c r="O27" s="4">
        <f>+VLOOKUP(C27,Indicadores!B:P,14,FALSE)</f>
        <v>1</v>
      </c>
      <c r="P27" s="1" t="str">
        <f t="shared" si="7"/>
        <v>Cumple</v>
      </c>
      <c r="Q27" s="5">
        <f t="shared" si="8"/>
        <v>150000</v>
      </c>
      <c r="R27" s="5">
        <f t="shared" si="9"/>
        <v>50000</v>
      </c>
      <c r="S27" s="4">
        <f>+VLOOKUP(C27,Indicadores!B:Q,15,FALSE)</f>
        <v>0.55913333333333337</v>
      </c>
      <c r="T27" s="5" t="str">
        <f t="shared" si="10"/>
        <v>No Cumple</v>
      </c>
      <c r="U27" s="5">
        <f t="shared" si="11"/>
        <v>0</v>
      </c>
      <c r="V27" s="5">
        <f t="shared" si="12"/>
        <v>50000</v>
      </c>
      <c r="W27" s="4">
        <f>+VLOOKUP(C27,Indicadores!B:V,21,FALSE)</f>
        <v>1</v>
      </c>
      <c r="X27" s="35" t="str">
        <f t="shared" si="13"/>
        <v>Cumple</v>
      </c>
      <c r="Y27" s="2">
        <f t="shared" si="14"/>
        <v>50000</v>
      </c>
      <c r="Z27" s="5" t="str">
        <f t="shared" si="15"/>
        <v>SI</v>
      </c>
      <c r="AA27" s="5">
        <f t="shared" si="16"/>
        <v>200000</v>
      </c>
      <c r="AB27" s="1"/>
    </row>
    <row r="28" spans="2:28" x14ac:dyDescent="0.25">
      <c r="B28" s="1" t="s">
        <v>233</v>
      </c>
      <c r="C28" s="1" t="s">
        <v>33</v>
      </c>
      <c r="D28" s="1" t="s">
        <v>241</v>
      </c>
      <c r="E28" s="1" t="s">
        <v>200</v>
      </c>
      <c r="F28" s="2">
        <f t="shared" si="1"/>
        <v>0</v>
      </c>
      <c r="G28" s="4">
        <f>+VLOOKUP(C28,Indicadores!B:C,2,FALSE)</f>
        <v>0.85924545454545442</v>
      </c>
      <c r="H28" s="1" t="str">
        <f t="shared" si="2"/>
        <v>Cumple</v>
      </c>
      <c r="I28" s="5">
        <f t="shared" si="3"/>
        <v>0</v>
      </c>
      <c r="J28" s="9">
        <f t="shared" si="4"/>
        <v>0</v>
      </c>
      <c r="K28" s="4">
        <f>+VLOOKUP(C28,Indicadores!B:F,5,FALSE)</f>
        <v>1</v>
      </c>
      <c r="L28" s="1" t="str">
        <f t="shared" si="5"/>
        <v>Cumple</v>
      </c>
      <c r="M28" s="5">
        <f t="shared" si="6"/>
        <v>0</v>
      </c>
      <c r="N28" s="9">
        <f t="shared" si="0"/>
        <v>150000</v>
      </c>
      <c r="O28" s="4">
        <f>+VLOOKUP(C28,Indicadores!B:P,14,FALSE)</f>
        <v>0.99119999999999997</v>
      </c>
      <c r="P28" s="1" t="str">
        <f t="shared" si="7"/>
        <v>Cumple</v>
      </c>
      <c r="Q28" s="5">
        <f t="shared" si="8"/>
        <v>0</v>
      </c>
      <c r="R28" s="5">
        <f t="shared" si="9"/>
        <v>50000</v>
      </c>
      <c r="S28" s="4">
        <f>+VLOOKUP(C28,Indicadores!B:Q,15,FALSE)</f>
        <v>0.72873333333333334</v>
      </c>
      <c r="T28" s="5" t="str">
        <f t="shared" si="10"/>
        <v>No Cumple</v>
      </c>
      <c r="U28" s="5">
        <f t="shared" si="11"/>
        <v>0</v>
      </c>
      <c r="V28" s="5">
        <f t="shared" si="12"/>
        <v>50000</v>
      </c>
      <c r="W28" s="4">
        <f>+VLOOKUP(C28,Indicadores!B:V,21,FALSE)</f>
        <v>0.99560000000000004</v>
      </c>
      <c r="X28" s="35" t="str">
        <f t="shared" si="13"/>
        <v>No Cumple</v>
      </c>
      <c r="Y28" s="2">
        <f t="shared" si="14"/>
        <v>0</v>
      </c>
      <c r="Z28" s="5" t="str">
        <f t="shared" si="15"/>
        <v>SI</v>
      </c>
      <c r="AA28" s="5">
        <f t="shared" si="16"/>
        <v>0</v>
      </c>
      <c r="AB28" s="1"/>
    </row>
    <row r="29" spans="2:28" x14ac:dyDescent="0.25">
      <c r="B29" s="1" t="s">
        <v>233</v>
      </c>
      <c r="C29" s="1" t="s">
        <v>34</v>
      </c>
      <c r="D29" s="1" t="s">
        <v>241</v>
      </c>
      <c r="E29" s="1" t="s">
        <v>200</v>
      </c>
      <c r="F29" s="2">
        <f t="shared" si="1"/>
        <v>0</v>
      </c>
      <c r="G29" s="4">
        <f>+VLOOKUP(C29,Indicadores!B:C,2,FALSE)</f>
        <v>0.8066363636363636</v>
      </c>
      <c r="H29" s="1" t="str">
        <f t="shared" si="2"/>
        <v>Cumple</v>
      </c>
      <c r="I29" s="5">
        <f t="shared" si="3"/>
        <v>0</v>
      </c>
      <c r="J29" s="9">
        <f t="shared" si="4"/>
        <v>0</v>
      </c>
      <c r="K29" s="4">
        <f>+VLOOKUP(C29,Indicadores!B:F,5,FALSE)</f>
        <v>1</v>
      </c>
      <c r="L29" s="1" t="str">
        <f t="shared" si="5"/>
        <v>Cumple</v>
      </c>
      <c r="M29" s="5">
        <f t="shared" si="6"/>
        <v>0</v>
      </c>
      <c r="N29" s="9">
        <f t="shared" si="0"/>
        <v>150000</v>
      </c>
      <c r="O29" s="4">
        <f>+VLOOKUP(C29,Indicadores!B:P,14,FALSE)</f>
        <v>1</v>
      </c>
      <c r="P29" s="1" t="str">
        <f t="shared" si="7"/>
        <v>Cumple</v>
      </c>
      <c r="Q29" s="5">
        <f t="shared" si="8"/>
        <v>150000</v>
      </c>
      <c r="R29" s="5">
        <f t="shared" si="9"/>
        <v>50000</v>
      </c>
      <c r="S29" s="4">
        <f>+VLOOKUP(C29,Indicadores!B:Q,15,FALSE)</f>
        <v>0.69840000000000002</v>
      </c>
      <c r="T29" s="5" t="str">
        <f t="shared" si="10"/>
        <v>No Cumple</v>
      </c>
      <c r="U29" s="5">
        <f t="shared" si="11"/>
        <v>0</v>
      </c>
      <c r="V29" s="5">
        <f t="shared" si="12"/>
        <v>50000</v>
      </c>
      <c r="W29" s="4">
        <f>+VLOOKUP(C29,Indicadores!B:V,21,FALSE)</f>
        <v>1</v>
      </c>
      <c r="X29" s="35" t="str">
        <f t="shared" si="13"/>
        <v>Cumple</v>
      </c>
      <c r="Y29" s="2">
        <f t="shared" si="14"/>
        <v>50000</v>
      </c>
      <c r="Z29" s="5" t="str">
        <f t="shared" si="15"/>
        <v>SI</v>
      </c>
      <c r="AA29" s="5">
        <f t="shared" si="16"/>
        <v>200000</v>
      </c>
      <c r="AB29" s="1"/>
    </row>
    <row r="30" spans="2:28" x14ac:dyDescent="0.25">
      <c r="B30" s="1" t="s">
        <v>233</v>
      </c>
      <c r="C30" s="1" t="s">
        <v>35</v>
      </c>
      <c r="D30" s="1" t="s">
        <v>241</v>
      </c>
      <c r="E30" s="1" t="s">
        <v>200</v>
      </c>
      <c r="F30" s="2">
        <f t="shared" si="1"/>
        <v>0</v>
      </c>
      <c r="G30" s="4">
        <f>+VLOOKUP(C30,Indicadores!B:C,2,FALSE)</f>
        <v>0.8267181818181818</v>
      </c>
      <c r="H30" s="1" t="str">
        <f t="shared" si="2"/>
        <v>Cumple</v>
      </c>
      <c r="I30" s="5">
        <f t="shared" si="3"/>
        <v>0</v>
      </c>
      <c r="J30" s="9">
        <f t="shared" si="4"/>
        <v>0</v>
      </c>
      <c r="K30" s="4">
        <f>+VLOOKUP(C30,Indicadores!B:F,5,FALSE)</f>
        <v>1</v>
      </c>
      <c r="L30" s="1" t="str">
        <f t="shared" si="5"/>
        <v>Cumple</v>
      </c>
      <c r="M30" s="5">
        <f t="shared" si="6"/>
        <v>0</v>
      </c>
      <c r="N30" s="9">
        <f t="shared" si="0"/>
        <v>150000</v>
      </c>
      <c r="O30" s="4">
        <f>+VLOOKUP(C30,Indicadores!B:P,14,FALSE)</f>
        <v>0.96879999999999999</v>
      </c>
      <c r="P30" s="1" t="str">
        <f t="shared" si="7"/>
        <v>Cumple</v>
      </c>
      <c r="Q30" s="5">
        <f t="shared" si="8"/>
        <v>0</v>
      </c>
      <c r="R30" s="5">
        <f t="shared" si="9"/>
        <v>50000</v>
      </c>
      <c r="S30" s="4">
        <f>+VLOOKUP(C30,Indicadores!B:Q,15,FALSE)</f>
        <v>0.67359999999999998</v>
      </c>
      <c r="T30" s="5" t="str">
        <f t="shared" si="10"/>
        <v>No Cumple</v>
      </c>
      <c r="U30" s="5">
        <f t="shared" si="11"/>
        <v>0</v>
      </c>
      <c r="V30" s="5">
        <f t="shared" si="12"/>
        <v>50000</v>
      </c>
      <c r="W30" s="4">
        <f>+VLOOKUP(C30,Indicadores!B:V,21,FALSE)</f>
        <v>0.99219999999999997</v>
      </c>
      <c r="X30" s="35" t="str">
        <f t="shared" si="13"/>
        <v>No Cumple</v>
      </c>
      <c r="Y30" s="2">
        <f t="shared" si="14"/>
        <v>0</v>
      </c>
      <c r="Z30" s="5" t="str">
        <f t="shared" si="15"/>
        <v>SI</v>
      </c>
      <c r="AA30" s="5">
        <f t="shared" si="16"/>
        <v>0</v>
      </c>
      <c r="AB30" s="1"/>
    </row>
    <row r="31" spans="2:28" x14ac:dyDescent="0.25">
      <c r="B31" s="1" t="s">
        <v>233</v>
      </c>
      <c r="C31" s="1" t="s">
        <v>36</v>
      </c>
      <c r="D31" s="1" t="s">
        <v>241</v>
      </c>
      <c r="E31" s="1" t="s">
        <v>200</v>
      </c>
      <c r="F31" s="2">
        <f t="shared" si="1"/>
        <v>0</v>
      </c>
      <c r="G31" s="4">
        <f>+VLOOKUP(C31,Indicadores!B:C,2,FALSE)</f>
        <v>0.85950909090909089</v>
      </c>
      <c r="H31" s="1" t="str">
        <f t="shared" si="2"/>
        <v>Cumple</v>
      </c>
      <c r="I31" s="5">
        <f t="shared" si="3"/>
        <v>0</v>
      </c>
      <c r="J31" s="9">
        <f t="shared" si="4"/>
        <v>0</v>
      </c>
      <c r="K31" s="4">
        <f>+VLOOKUP(C31,Indicadores!B:F,5,FALSE)</f>
        <v>1</v>
      </c>
      <c r="L31" s="1" t="str">
        <f t="shared" si="5"/>
        <v>Cumple</v>
      </c>
      <c r="M31" s="5">
        <f t="shared" si="6"/>
        <v>0</v>
      </c>
      <c r="N31" s="9">
        <f t="shared" si="0"/>
        <v>150000</v>
      </c>
      <c r="O31" s="4">
        <f>+VLOOKUP(C31,Indicadores!B:P,14,FALSE)</f>
        <v>1</v>
      </c>
      <c r="P31" s="1" t="str">
        <f t="shared" si="7"/>
        <v>Cumple</v>
      </c>
      <c r="Q31" s="5">
        <f t="shared" si="8"/>
        <v>150000</v>
      </c>
      <c r="R31" s="5">
        <f t="shared" si="9"/>
        <v>50000</v>
      </c>
      <c r="S31" s="4">
        <f>+VLOOKUP(C31,Indicadores!B:Q,15,FALSE)</f>
        <v>0.78860000000000008</v>
      </c>
      <c r="T31" s="5" t="str">
        <f t="shared" si="10"/>
        <v>No Cumple</v>
      </c>
      <c r="U31" s="5">
        <f t="shared" si="11"/>
        <v>0</v>
      </c>
      <c r="V31" s="5">
        <f t="shared" si="12"/>
        <v>50000</v>
      </c>
      <c r="W31" s="4">
        <f>+VLOOKUP(C31,Indicadores!B:V,21,FALSE)</f>
        <v>1</v>
      </c>
      <c r="X31" s="35" t="str">
        <f t="shared" si="13"/>
        <v>Cumple</v>
      </c>
      <c r="Y31" s="2">
        <f t="shared" si="14"/>
        <v>50000</v>
      </c>
      <c r="Z31" s="5" t="str">
        <f t="shared" si="15"/>
        <v>SI</v>
      </c>
      <c r="AA31" s="5">
        <f t="shared" si="16"/>
        <v>200000</v>
      </c>
      <c r="AB31" s="1"/>
    </row>
    <row r="32" spans="2:28" x14ac:dyDescent="0.25">
      <c r="B32" s="1" t="s">
        <v>233</v>
      </c>
      <c r="C32" s="1" t="s">
        <v>37</v>
      </c>
      <c r="D32" s="1" t="s">
        <v>241</v>
      </c>
      <c r="E32" s="1" t="s">
        <v>200</v>
      </c>
      <c r="F32" s="2">
        <f t="shared" si="1"/>
        <v>0</v>
      </c>
      <c r="G32" s="4">
        <f>+VLOOKUP(C32,Indicadores!B:C,2,FALSE)</f>
        <v>0.92803636363636377</v>
      </c>
      <c r="H32" s="1" t="str">
        <f t="shared" si="2"/>
        <v>Cumple</v>
      </c>
      <c r="I32" s="5">
        <f t="shared" si="3"/>
        <v>0</v>
      </c>
      <c r="J32" s="9">
        <f t="shared" si="4"/>
        <v>0</v>
      </c>
      <c r="K32" s="4">
        <f>+VLOOKUP(C32,Indicadores!B:F,5,FALSE)</f>
        <v>1</v>
      </c>
      <c r="L32" s="1" t="str">
        <f t="shared" si="5"/>
        <v>Cumple</v>
      </c>
      <c r="M32" s="5">
        <f t="shared" si="6"/>
        <v>0</v>
      </c>
      <c r="N32" s="9">
        <f t="shared" si="0"/>
        <v>150000</v>
      </c>
      <c r="O32" s="4">
        <f>+VLOOKUP(C32,Indicadores!B:P,14,FALSE)</f>
        <v>1</v>
      </c>
      <c r="P32" s="1" t="str">
        <f t="shared" si="7"/>
        <v>Cumple</v>
      </c>
      <c r="Q32" s="5">
        <f t="shared" si="8"/>
        <v>150000</v>
      </c>
      <c r="R32" s="5">
        <f t="shared" si="9"/>
        <v>50000</v>
      </c>
      <c r="S32" s="4">
        <f>+VLOOKUP(C32,Indicadores!B:Q,15,FALSE)</f>
        <v>0.94543333333333335</v>
      </c>
      <c r="T32" s="5" t="str">
        <f t="shared" si="10"/>
        <v>Cumple</v>
      </c>
      <c r="U32" s="5">
        <f t="shared" si="11"/>
        <v>45000</v>
      </c>
      <c r="V32" s="5">
        <f t="shared" si="12"/>
        <v>50000</v>
      </c>
      <c r="W32" s="4">
        <f>+VLOOKUP(C32,Indicadores!B:V,21,FALSE)</f>
        <v>1</v>
      </c>
      <c r="X32" s="35" t="str">
        <f t="shared" si="13"/>
        <v>Cumple</v>
      </c>
      <c r="Y32" s="2">
        <f t="shared" si="14"/>
        <v>50000</v>
      </c>
      <c r="Z32" s="5" t="str">
        <f t="shared" si="15"/>
        <v>SI</v>
      </c>
      <c r="AA32" s="5">
        <f t="shared" si="16"/>
        <v>245000</v>
      </c>
      <c r="AB32" s="1"/>
    </row>
    <row r="33" spans="2:28" x14ac:dyDescent="0.25">
      <c r="B33" s="1" t="s">
        <v>233</v>
      </c>
      <c r="C33" s="1" t="s">
        <v>38</v>
      </c>
      <c r="D33" s="1" t="s">
        <v>241</v>
      </c>
      <c r="E33" s="1" t="s">
        <v>200</v>
      </c>
      <c r="F33" s="2">
        <f t="shared" si="1"/>
        <v>0</v>
      </c>
      <c r="G33" s="4">
        <f>+VLOOKUP(C33,Indicadores!B:C,2,FALSE)</f>
        <v>0.83635454545454557</v>
      </c>
      <c r="H33" s="1" t="str">
        <f t="shared" si="2"/>
        <v>Cumple</v>
      </c>
      <c r="I33" s="5">
        <f t="shared" si="3"/>
        <v>0</v>
      </c>
      <c r="J33" s="9">
        <f t="shared" si="4"/>
        <v>0</v>
      </c>
      <c r="K33" s="4">
        <f>+VLOOKUP(C33,Indicadores!B:F,5,FALSE)</f>
        <v>0.8</v>
      </c>
      <c r="L33" s="1" t="str">
        <f t="shared" si="5"/>
        <v>Cumple</v>
      </c>
      <c r="M33" s="5">
        <f t="shared" si="6"/>
        <v>0</v>
      </c>
      <c r="N33" s="9">
        <f t="shared" si="0"/>
        <v>150000</v>
      </c>
      <c r="O33" s="4">
        <f>+VLOOKUP(C33,Indicadores!B:P,14,FALSE)</f>
        <v>1</v>
      </c>
      <c r="P33" s="1" t="str">
        <f t="shared" si="7"/>
        <v>Cumple</v>
      </c>
      <c r="Q33" s="5">
        <f t="shared" si="8"/>
        <v>150000</v>
      </c>
      <c r="R33" s="5">
        <f t="shared" si="9"/>
        <v>50000</v>
      </c>
      <c r="S33" s="4">
        <f>+VLOOKUP(C33,Indicadores!B:Q,15,FALSE)</f>
        <v>0.57199999999999995</v>
      </c>
      <c r="T33" s="5" t="str">
        <f t="shared" si="10"/>
        <v>No Cumple</v>
      </c>
      <c r="U33" s="5">
        <f t="shared" si="11"/>
        <v>0</v>
      </c>
      <c r="V33" s="5">
        <f t="shared" si="12"/>
        <v>50000</v>
      </c>
      <c r="W33" s="4">
        <f>+VLOOKUP(C33,Indicadores!B:V,21,FALSE)</f>
        <v>1</v>
      </c>
      <c r="X33" s="35" t="str">
        <f t="shared" si="13"/>
        <v>Cumple</v>
      </c>
      <c r="Y33" s="2">
        <f t="shared" si="14"/>
        <v>50000</v>
      </c>
      <c r="Z33" s="5" t="str">
        <f t="shared" si="15"/>
        <v>SI</v>
      </c>
      <c r="AA33" s="5">
        <f t="shared" si="16"/>
        <v>200000</v>
      </c>
      <c r="AB33" s="1"/>
    </row>
    <row r="34" spans="2:28" x14ac:dyDescent="0.25">
      <c r="B34" s="1" t="s">
        <v>233</v>
      </c>
      <c r="C34" s="1" t="s">
        <v>39</v>
      </c>
      <c r="D34" s="1" t="s">
        <v>241</v>
      </c>
      <c r="E34" s="1" t="s">
        <v>200</v>
      </c>
      <c r="F34" s="2">
        <f t="shared" si="1"/>
        <v>0</v>
      </c>
      <c r="G34" s="4">
        <f>+VLOOKUP(C34,Indicadores!B:C,2,FALSE)</f>
        <v>0.84659090909090906</v>
      </c>
      <c r="H34" s="1" t="str">
        <f t="shared" si="2"/>
        <v>Cumple</v>
      </c>
      <c r="I34" s="5">
        <f t="shared" si="3"/>
        <v>0</v>
      </c>
      <c r="J34" s="9">
        <f t="shared" si="4"/>
        <v>0</v>
      </c>
      <c r="K34" s="4">
        <f>+VLOOKUP(C34,Indicadores!B:F,5,FALSE)</f>
        <v>1</v>
      </c>
      <c r="L34" s="1" t="str">
        <f t="shared" si="5"/>
        <v>Cumple</v>
      </c>
      <c r="M34" s="5">
        <f t="shared" si="6"/>
        <v>0</v>
      </c>
      <c r="N34" s="9">
        <f t="shared" si="0"/>
        <v>150000</v>
      </c>
      <c r="O34" s="4">
        <f>+VLOOKUP(C34,Indicadores!B:P,14,FALSE)</f>
        <v>1</v>
      </c>
      <c r="P34" s="1" t="str">
        <f t="shared" si="7"/>
        <v>Cumple</v>
      </c>
      <c r="Q34" s="5">
        <f t="shared" si="8"/>
        <v>150000</v>
      </c>
      <c r="R34" s="5">
        <f t="shared" si="9"/>
        <v>50000</v>
      </c>
      <c r="S34" s="4">
        <f>+VLOOKUP(C34,Indicadores!B:Q,15,FALSE)</f>
        <v>0.77083333333333337</v>
      </c>
      <c r="T34" s="5" t="str">
        <f t="shared" si="10"/>
        <v>No Cumple</v>
      </c>
      <c r="U34" s="5">
        <f t="shared" si="11"/>
        <v>0</v>
      </c>
      <c r="V34" s="5">
        <f t="shared" si="12"/>
        <v>50000</v>
      </c>
      <c r="W34" s="4">
        <f>+VLOOKUP(C34,Indicadores!B:V,21,FALSE)</f>
        <v>1</v>
      </c>
      <c r="X34" s="35" t="str">
        <f t="shared" si="13"/>
        <v>Cumple</v>
      </c>
      <c r="Y34" s="2">
        <f t="shared" si="14"/>
        <v>50000</v>
      </c>
      <c r="Z34" s="5" t="str">
        <f t="shared" si="15"/>
        <v>SI</v>
      </c>
      <c r="AA34" s="5">
        <f t="shared" si="16"/>
        <v>200000</v>
      </c>
      <c r="AB34" s="1"/>
    </row>
    <row r="35" spans="2:28" x14ac:dyDescent="0.25">
      <c r="B35" s="1" t="s">
        <v>233</v>
      </c>
      <c r="C35" s="1" t="s">
        <v>40</v>
      </c>
      <c r="D35" s="1" t="s">
        <v>241</v>
      </c>
      <c r="E35" s="1" t="s">
        <v>200</v>
      </c>
      <c r="F35" s="2">
        <f t="shared" si="1"/>
        <v>0</v>
      </c>
      <c r="G35" s="4">
        <f>+VLOOKUP(C35,Indicadores!B:C,2,FALSE)</f>
        <v>0.80819090909090907</v>
      </c>
      <c r="H35" s="1" t="str">
        <f t="shared" si="2"/>
        <v>Cumple</v>
      </c>
      <c r="I35" s="5">
        <f t="shared" si="3"/>
        <v>0</v>
      </c>
      <c r="J35" s="9">
        <f t="shared" si="4"/>
        <v>0</v>
      </c>
      <c r="K35" s="4">
        <f>+VLOOKUP(C35,Indicadores!B:F,5,FALSE)</f>
        <v>1</v>
      </c>
      <c r="L35" s="1" t="str">
        <f t="shared" si="5"/>
        <v>Cumple</v>
      </c>
      <c r="M35" s="5">
        <f t="shared" si="6"/>
        <v>0</v>
      </c>
      <c r="N35" s="9">
        <f t="shared" si="0"/>
        <v>150000</v>
      </c>
      <c r="O35" s="4">
        <f>+VLOOKUP(C35,Indicadores!B:P,14,FALSE)</f>
        <v>1</v>
      </c>
      <c r="P35" s="1" t="str">
        <f t="shared" si="7"/>
        <v>Cumple</v>
      </c>
      <c r="Q35" s="5">
        <f t="shared" si="8"/>
        <v>150000</v>
      </c>
      <c r="R35" s="5">
        <f t="shared" si="9"/>
        <v>50000</v>
      </c>
      <c r="S35" s="4">
        <f>+VLOOKUP(C35,Indicadores!B:Q,15,FALSE)</f>
        <v>0.49963333333333332</v>
      </c>
      <c r="T35" s="5" t="str">
        <f t="shared" si="10"/>
        <v>No Cumple</v>
      </c>
      <c r="U35" s="5">
        <f t="shared" si="11"/>
        <v>0</v>
      </c>
      <c r="V35" s="5">
        <f t="shared" si="12"/>
        <v>50000</v>
      </c>
      <c r="W35" s="4">
        <f>+VLOOKUP(C35,Indicadores!B:V,21,FALSE)</f>
        <v>1</v>
      </c>
      <c r="X35" s="35" t="str">
        <f t="shared" si="13"/>
        <v>Cumple</v>
      </c>
      <c r="Y35" s="2">
        <f t="shared" si="14"/>
        <v>50000</v>
      </c>
      <c r="Z35" s="5" t="str">
        <f t="shared" si="15"/>
        <v>SI</v>
      </c>
      <c r="AA35" s="5">
        <f t="shared" si="16"/>
        <v>200000</v>
      </c>
      <c r="AB35" s="1"/>
    </row>
    <row r="36" spans="2:28" x14ac:dyDescent="0.25">
      <c r="B36" s="1" t="s">
        <v>233</v>
      </c>
      <c r="C36" s="1" t="s">
        <v>41</v>
      </c>
      <c r="D36" s="1" t="s">
        <v>241</v>
      </c>
      <c r="E36" s="1" t="s">
        <v>200</v>
      </c>
      <c r="F36" s="2">
        <f t="shared" si="1"/>
        <v>0</v>
      </c>
      <c r="G36" s="4">
        <f>+VLOOKUP(C36,Indicadores!B:C,2,FALSE)</f>
        <v>0.85299999999999987</v>
      </c>
      <c r="H36" s="1" t="str">
        <f t="shared" si="2"/>
        <v>Cumple</v>
      </c>
      <c r="I36" s="5">
        <f t="shared" si="3"/>
        <v>0</v>
      </c>
      <c r="J36" s="9">
        <f t="shared" si="4"/>
        <v>0</v>
      </c>
      <c r="K36" s="4">
        <f>+VLOOKUP(C36,Indicadores!B:F,5,FALSE)</f>
        <v>1</v>
      </c>
      <c r="L36" s="1" t="str">
        <f t="shared" si="5"/>
        <v>Cumple</v>
      </c>
      <c r="M36" s="5">
        <f t="shared" si="6"/>
        <v>0</v>
      </c>
      <c r="N36" s="9">
        <f t="shared" si="0"/>
        <v>150000</v>
      </c>
      <c r="O36" s="4">
        <f>+VLOOKUP(C36,Indicadores!B:P,14,FALSE)</f>
        <v>1</v>
      </c>
      <c r="P36" s="1" t="str">
        <f t="shared" si="7"/>
        <v>Cumple</v>
      </c>
      <c r="Q36" s="5">
        <f t="shared" si="8"/>
        <v>150000</v>
      </c>
      <c r="R36" s="5">
        <f t="shared" si="9"/>
        <v>50000</v>
      </c>
      <c r="S36" s="4">
        <f>+VLOOKUP(C36,Indicadores!B:Q,15,FALSE)</f>
        <v>0.80320000000000003</v>
      </c>
      <c r="T36" s="5" t="str">
        <f t="shared" si="10"/>
        <v>Cumple</v>
      </c>
      <c r="U36" s="5">
        <f t="shared" si="11"/>
        <v>0</v>
      </c>
      <c r="V36" s="5">
        <f t="shared" si="12"/>
        <v>50000</v>
      </c>
      <c r="W36" s="4">
        <f>+VLOOKUP(C36,Indicadores!B:V,21,FALSE)</f>
        <v>1</v>
      </c>
      <c r="X36" s="35" t="str">
        <f t="shared" si="13"/>
        <v>Cumple</v>
      </c>
      <c r="Y36" s="2">
        <f t="shared" si="14"/>
        <v>50000</v>
      </c>
      <c r="Z36" s="5" t="str">
        <f t="shared" si="15"/>
        <v>SI</v>
      </c>
      <c r="AA36" s="5">
        <f t="shared" si="16"/>
        <v>200000</v>
      </c>
      <c r="AB36" s="1"/>
    </row>
    <row r="37" spans="2:28" x14ac:dyDescent="0.25">
      <c r="B37" s="1" t="s">
        <v>233</v>
      </c>
      <c r="C37" s="1" t="s">
        <v>42</v>
      </c>
      <c r="D37" s="1" t="s">
        <v>241</v>
      </c>
      <c r="E37" s="1" t="s">
        <v>200</v>
      </c>
      <c r="F37" s="2">
        <f t="shared" si="1"/>
        <v>0</v>
      </c>
      <c r="G37" s="4">
        <f>+VLOOKUP(C37,Indicadores!B:C,2,FALSE)</f>
        <v>0.81572727272727275</v>
      </c>
      <c r="H37" s="1" t="str">
        <f t="shared" si="2"/>
        <v>Cumple</v>
      </c>
      <c r="I37" s="5">
        <f t="shared" si="3"/>
        <v>0</v>
      </c>
      <c r="J37" s="9">
        <f t="shared" si="4"/>
        <v>0</v>
      </c>
      <c r="K37" s="4">
        <f>+VLOOKUP(C37,Indicadores!B:F,5,FALSE)</f>
        <v>1</v>
      </c>
      <c r="L37" s="1" t="str">
        <f t="shared" si="5"/>
        <v>Cumple</v>
      </c>
      <c r="M37" s="5">
        <f t="shared" si="6"/>
        <v>0</v>
      </c>
      <c r="N37" s="9">
        <f t="shared" si="0"/>
        <v>150000</v>
      </c>
      <c r="O37" s="4">
        <f>+VLOOKUP(C37,Indicadores!B:P,14,FALSE)</f>
        <v>1</v>
      </c>
      <c r="P37" s="1" t="str">
        <f t="shared" si="7"/>
        <v>Cumple</v>
      </c>
      <c r="Q37" s="5">
        <f t="shared" si="8"/>
        <v>150000</v>
      </c>
      <c r="R37" s="5">
        <f t="shared" si="9"/>
        <v>50000</v>
      </c>
      <c r="S37" s="4">
        <f>+VLOOKUP(C37,Indicadores!B:Q,15,FALSE)</f>
        <v>0.54003333333333325</v>
      </c>
      <c r="T37" s="5" t="str">
        <f t="shared" si="10"/>
        <v>No Cumple</v>
      </c>
      <c r="U37" s="5">
        <f t="shared" si="11"/>
        <v>0</v>
      </c>
      <c r="V37" s="5">
        <f t="shared" si="12"/>
        <v>50000</v>
      </c>
      <c r="W37" s="4">
        <f>+VLOOKUP(C37,Indicadores!B:V,21,FALSE)</f>
        <v>1</v>
      </c>
      <c r="X37" s="35" t="str">
        <f t="shared" si="13"/>
        <v>Cumple</v>
      </c>
      <c r="Y37" s="2">
        <f t="shared" si="14"/>
        <v>50000</v>
      </c>
      <c r="Z37" s="5" t="str">
        <f t="shared" si="15"/>
        <v>SI</v>
      </c>
      <c r="AA37" s="5">
        <f t="shared" si="16"/>
        <v>200000</v>
      </c>
      <c r="AB37" s="1"/>
    </row>
    <row r="38" spans="2:28" x14ac:dyDescent="0.25">
      <c r="B38" s="1" t="s">
        <v>233</v>
      </c>
      <c r="C38" s="1" t="s">
        <v>43</v>
      </c>
      <c r="D38" s="1" t="s">
        <v>242</v>
      </c>
      <c r="E38" s="1" t="s">
        <v>201</v>
      </c>
      <c r="F38" s="2">
        <f t="shared" si="1"/>
        <v>0</v>
      </c>
      <c r="G38" s="4">
        <f>+VLOOKUP(C38,Indicadores!B:C,2,FALSE)</f>
        <v>0.7536272727272727</v>
      </c>
      <c r="H38" s="1" t="str">
        <f t="shared" si="2"/>
        <v>Cumple</v>
      </c>
      <c r="I38" s="5">
        <f t="shared" si="3"/>
        <v>0</v>
      </c>
      <c r="J38" s="9">
        <f t="shared" si="4"/>
        <v>0</v>
      </c>
      <c r="K38" s="4">
        <f>+VLOOKUP(C38,Indicadores!B:F,5,FALSE)</f>
        <v>1</v>
      </c>
      <c r="L38" s="1" t="str">
        <f t="shared" si="5"/>
        <v>Cumple</v>
      </c>
      <c r="M38" s="5">
        <f t="shared" si="6"/>
        <v>0</v>
      </c>
      <c r="N38" s="9">
        <f t="shared" si="0"/>
        <v>150000</v>
      </c>
      <c r="O38" s="4">
        <f>+VLOOKUP(C38,Indicadores!B:P,14,FALSE)</f>
        <v>1</v>
      </c>
      <c r="P38" s="1" t="str">
        <f t="shared" si="7"/>
        <v>Cumple</v>
      </c>
      <c r="Q38" s="5">
        <f t="shared" si="8"/>
        <v>150000</v>
      </c>
      <c r="R38" s="5">
        <f t="shared" si="9"/>
        <v>50000</v>
      </c>
      <c r="S38" s="4">
        <f>+VLOOKUP(C38,Indicadores!B:Q,15,FALSE)</f>
        <v>0.57143333333333335</v>
      </c>
      <c r="T38" s="5" t="str">
        <f t="shared" si="10"/>
        <v>No Cumple</v>
      </c>
      <c r="U38" s="5">
        <f t="shared" si="11"/>
        <v>0</v>
      </c>
      <c r="V38" s="5">
        <f t="shared" si="12"/>
        <v>50000</v>
      </c>
      <c r="W38" s="4">
        <f>+VLOOKUP(C38,Indicadores!B:V,21,FALSE)</f>
        <v>1</v>
      </c>
      <c r="X38" s="35" t="str">
        <f t="shared" si="13"/>
        <v>Cumple</v>
      </c>
      <c r="Y38" s="2">
        <f t="shared" si="14"/>
        <v>50000</v>
      </c>
      <c r="Z38" s="5" t="str">
        <f t="shared" si="15"/>
        <v>SI</v>
      </c>
      <c r="AA38" s="5">
        <f t="shared" si="16"/>
        <v>200000</v>
      </c>
      <c r="AB38" s="1"/>
    </row>
    <row r="39" spans="2:28" x14ac:dyDescent="0.25">
      <c r="B39" s="1" t="s">
        <v>233</v>
      </c>
      <c r="C39" s="3" t="s">
        <v>44</v>
      </c>
      <c r="D39" s="1" t="s">
        <v>242</v>
      </c>
      <c r="E39" s="1" t="s">
        <v>201</v>
      </c>
      <c r="F39" s="2">
        <f t="shared" si="1"/>
        <v>0</v>
      </c>
      <c r="G39" s="4">
        <v>0.7</v>
      </c>
      <c r="H39" s="1" t="str">
        <f t="shared" si="2"/>
        <v>Cumple</v>
      </c>
      <c r="I39" s="5">
        <f t="shared" si="3"/>
        <v>0</v>
      </c>
      <c r="J39" s="9">
        <f t="shared" si="4"/>
        <v>0</v>
      </c>
      <c r="K39" s="4">
        <f>+VLOOKUP(C39,Indicadores!B:F,5,FALSE)</f>
        <v>0.93333333333333335</v>
      </c>
      <c r="L39" s="1" t="str">
        <f t="shared" si="5"/>
        <v>Cumple</v>
      </c>
      <c r="M39" s="5">
        <f t="shared" si="6"/>
        <v>0</v>
      </c>
      <c r="N39" s="9">
        <f t="shared" si="0"/>
        <v>150000</v>
      </c>
      <c r="O39" s="4">
        <v>0.99</v>
      </c>
      <c r="P39" s="1" t="str">
        <f t="shared" si="7"/>
        <v>Cumple</v>
      </c>
      <c r="Q39" s="5">
        <f t="shared" si="8"/>
        <v>148500</v>
      </c>
      <c r="R39" s="5">
        <f t="shared" si="9"/>
        <v>50000</v>
      </c>
      <c r="S39" s="4">
        <f>+VLOOKUP(C39,Indicadores!B:Q,15,FALSE)</f>
        <v>0.72526666666666662</v>
      </c>
      <c r="T39" s="5" t="str">
        <f t="shared" si="10"/>
        <v>No Cumple</v>
      </c>
      <c r="U39" s="5">
        <f t="shared" si="11"/>
        <v>0</v>
      </c>
      <c r="V39" s="5">
        <f t="shared" si="12"/>
        <v>50000</v>
      </c>
      <c r="W39" s="4">
        <f>+VLOOKUP(C39,Indicadores!B:V,21,FALSE)</f>
        <v>0.5</v>
      </c>
      <c r="X39" s="35" t="str">
        <f t="shared" si="13"/>
        <v>No Cumple</v>
      </c>
      <c r="Y39" s="2">
        <f t="shared" si="14"/>
        <v>0</v>
      </c>
      <c r="Z39" s="5" t="str">
        <f t="shared" si="15"/>
        <v>SI</v>
      </c>
      <c r="AA39" s="5">
        <f t="shared" si="16"/>
        <v>148500</v>
      </c>
      <c r="AB39" s="1"/>
    </row>
    <row r="40" spans="2:28" x14ac:dyDescent="0.25">
      <c r="B40" s="1" t="s">
        <v>233</v>
      </c>
      <c r="C40" s="1" t="s">
        <v>45</v>
      </c>
      <c r="D40" s="1" t="s">
        <v>242</v>
      </c>
      <c r="E40" s="1" t="s">
        <v>201</v>
      </c>
      <c r="F40" s="2">
        <f t="shared" si="1"/>
        <v>0</v>
      </c>
      <c r="G40" s="4">
        <v>0.7</v>
      </c>
      <c r="H40" s="1" t="str">
        <f t="shared" si="2"/>
        <v>Cumple</v>
      </c>
      <c r="I40" s="5">
        <f t="shared" si="3"/>
        <v>0</v>
      </c>
      <c r="J40" s="9">
        <f t="shared" si="4"/>
        <v>0</v>
      </c>
      <c r="K40" s="4">
        <f>+VLOOKUP(C40,Indicadores!B:F,5,FALSE)</f>
        <v>1</v>
      </c>
      <c r="L40" s="1" t="str">
        <f t="shared" si="5"/>
        <v>Cumple</v>
      </c>
      <c r="M40" s="5">
        <f t="shared" si="6"/>
        <v>0</v>
      </c>
      <c r="N40" s="9">
        <f t="shared" si="0"/>
        <v>150000</v>
      </c>
      <c r="O40" s="4">
        <f>+VLOOKUP(C40,Indicadores!B:P,14,FALSE)</f>
        <v>5.8099999999999999E-2</v>
      </c>
      <c r="P40" s="1" t="str">
        <f t="shared" si="7"/>
        <v>No Cumple</v>
      </c>
      <c r="Q40" s="5">
        <f t="shared" si="8"/>
        <v>0</v>
      </c>
      <c r="R40" s="5">
        <f t="shared" si="9"/>
        <v>50000</v>
      </c>
      <c r="S40" s="4">
        <f>+VLOOKUP(C40,Indicadores!B:Q,15,FALSE)</f>
        <v>5.4266666666666664E-2</v>
      </c>
      <c r="T40" s="5" t="str">
        <f t="shared" si="10"/>
        <v>No Cumple</v>
      </c>
      <c r="U40" s="5">
        <f t="shared" si="11"/>
        <v>0</v>
      </c>
      <c r="V40" s="5">
        <f t="shared" si="12"/>
        <v>50000</v>
      </c>
      <c r="W40" s="4">
        <f>+VLOOKUP(C40,Indicadores!B:V,21,FALSE)</f>
        <v>0.49419999999999997</v>
      </c>
      <c r="X40" s="35" t="str">
        <f t="shared" si="13"/>
        <v>No Cumple</v>
      </c>
      <c r="Y40" s="2">
        <f t="shared" si="14"/>
        <v>0</v>
      </c>
      <c r="Z40" s="5" t="str">
        <f t="shared" si="15"/>
        <v>SI</v>
      </c>
      <c r="AA40" s="5">
        <f t="shared" si="16"/>
        <v>0</v>
      </c>
      <c r="AB40" s="1"/>
    </row>
    <row r="41" spans="2:28" x14ac:dyDescent="0.25">
      <c r="B41" s="1" t="s">
        <v>233</v>
      </c>
      <c r="C41" s="1" t="s">
        <v>46</v>
      </c>
      <c r="D41" s="1" t="s">
        <v>242</v>
      </c>
      <c r="E41" s="1" t="s">
        <v>201</v>
      </c>
      <c r="F41" s="2">
        <f t="shared" si="1"/>
        <v>0</v>
      </c>
      <c r="G41" s="4">
        <f>+VLOOKUP(C41,Indicadores!B:C,2,FALSE)</f>
        <v>0.7530363636363635</v>
      </c>
      <c r="H41" s="1" t="str">
        <f t="shared" si="2"/>
        <v>Cumple</v>
      </c>
      <c r="I41" s="5">
        <f t="shared" si="3"/>
        <v>0</v>
      </c>
      <c r="J41" s="9">
        <f t="shared" si="4"/>
        <v>0</v>
      </c>
      <c r="K41" s="4">
        <f>+VLOOKUP(C41,Indicadores!B:F,5,FALSE)</f>
        <v>0.95238095238095233</v>
      </c>
      <c r="L41" s="1" t="str">
        <f t="shared" si="5"/>
        <v>Cumple</v>
      </c>
      <c r="M41" s="5">
        <f t="shared" si="6"/>
        <v>0</v>
      </c>
      <c r="N41" s="9">
        <f t="shared" si="0"/>
        <v>150000</v>
      </c>
      <c r="O41" s="4">
        <f>+VLOOKUP(C41,Indicadores!B:P,14,FALSE)</f>
        <v>0.98229999999999995</v>
      </c>
      <c r="P41" s="1" t="str">
        <f t="shared" si="7"/>
        <v>Cumple</v>
      </c>
      <c r="Q41" s="5">
        <f t="shared" si="8"/>
        <v>0</v>
      </c>
      <c r="R41" s="5">
        <f t="shared" si="9"/>
        <v>50000</v>
      </c>
      <c r="S41" s="4">
        <f>+VLOOKUP(C41,Indicadores!B:Q,15,FALSE)</f>
        <v>0.49006666666666665</v>
      </c>
      <c r="T41" s="5" t="str">
        <f t="shared" si="10"/>
        <v>No Cumple</v>
      </c>
      <c r="U41" s="5">
        <f t="shared" si="11"/>
        <v>0</v>
      </c>
      <c r="V41" s="5">
        <f t="shared" si="12"/>
        <v>50000</v>
      </c>
      <c r="W41" s="4">
        <f>+VLOOKUP(C41,Indicadores!B:V,21,FALSE)</f>
        <v>0.49559999999999998</v>
      </c>
      <c r="X41" s="35" t="str">
        <f t="shared" si="13"/>
        <v>No Cumple</v>
      </c>
      <c r="Y41" s="2">
        <f t="shared" si="14"/>
        <v>0</v>
      </c>
      <c r="Z41" s="5" t="str">
        <f t="shared" si="15"/>
        <v>SI</v>
      </c>
      <c r="AA41" s="5">
        <f t="shared" si="16"/>
        <v>0</v>
      </c>
      <c r="AB41" s="1"/>
    </row>
    <row r="42" spans="2:28" x14ac:dyDescent="0.25">
      <c r="B42" s="1" t="s">
        <v>233</v>
      </c>
      <c r="C42" s="3" t="s">
        <v>47</v>
      </c>
      <c r="D42" s="1" t="s">
        <v>242</v>
      </c>
      <c r="E42" s="1" t="s">
        <v>201</v>
      </c>
      <c r="F42" s="2">
        <f t="shared" si="1"/>
        <v>0</v>
      </c>
      <c r="G42" s="4">
        <f>+VLOOKUP(C42,Indicadores!B:C,2,FALSE)</f>
        <v>0.78945454545454541</v>
      </c>
      <c r="H42" s="1" t="str">
        <f t="shared" si="2"/>
        <v>Cumple</v>
      </c>
      <c r="I42" s="5">
        <f t="shared" si="3"/>
        <v>0</v>
      </c>
      <c r="J42" s="9">
        <f t="shared" si="4"/>
        <v>0</v>
      </c>
      <c r="K42" s="4">
        <f>+VLOOKUP(C42,Indicadores!B:F,5,FALSE)</f>
        <v>1</v>
      </c>
      <c r="L42" s="1" t="str">
        <f t="shared" si="5"/>
        <v>Cumple</v>
      </c>
      <c r="M42" s="5">
        <f t="shared" si="6"/>
        <v>0</v>
      </c>
      <c r="N42" s="9">
        <f t="shared" si="0"/>
        <v>150000</v>
      </c>
      <c r="O42" s="4">
        <f>+VLOOKUP(C42,Indicadores!B:P,14,FALSE)</f>
        <v>0.99119999999999997</v>
      </c>
      <c r="P42" s="1" t="str">
        <f t="shared" si="7"/>
        <v>Cumple</v>
      </c>
      <c r="Q42" s="5">
        <f t="shared" si="8"/>
        <v>0</v>
      </c>
      <c r="R42" s="5">
        <f t="shared" si="9"/>
        <v>50000</v>
      </c>
      <c r="S42" s="4">
        <f>+VLOOKUP(C42,Indicadores!B:Q,15,FALSE)</f>
        <v>0.47879999999999995</v>
      </c>
      <c r="T42" s="5" t="str">
        <f t="shared" si="10"/>
        <v>No Cumple</v>
      </c>
      <c r="U42" s="5">
        <f t="shared" si="11"/>
        <v>0</v>
      </c>
      <c r="V42" s="5">
        <f t="shared" si="12"/>
        <v>50000</v>
      </c>
      <c r="W42" s="4">
        <f>+VLOOKUP(C42,Indicadores!B:V,21,FALSE)</f>
        <v>0.49559999999999998</v>
      </c>
      <c r="X42" s="35" t="str">
        <f t="shared" si="13"/>
        <v>No Cumple</v>
      </c>
      <c r="Y42" s="2">
        <f t="shared" si="14"/>
        <v>0</v>
      </c>
      <c r="Z42" s="5" t="str">
        <f t="shared" si="15"/>
        <v>SI</v>
      </c>
      <c r="AA42" s="5">
        <f t="shared" si="16"/>
        <v>0</v>
      </c>
      <c r="AB42" s="1"/>
    </row>
    <row r="43" spans="2:28" x14ac:dyDescent="0.25">
      <c r="B43" s="1" t="s">
        <v>233</v>
      </c>
      <c r="C43" s="1" t="s">
        <v>48</v>
      </c>
      <c r="D43" s="1" t="s">
        <v>242</v>
      </c>
      <c r="E43" s="1" t="s">
        <v>201</v>
      </c>
      <c r="F43" s="2">
        <f t="shared" si="1"/>
        <v>0</v>
      </c>
      <c r="G43" s="4">
        <f>+VLOOKUP(C43,Indicadores!B:C,2,FALSE)</f>
        <v>0.75649999999999984</v>
      </c>
      <c r="H43" s="1" t="str">
        <f t="shared" si="2"/>
        <v>Cumple</v>
      </c>
      <c r="I43" s="5">
        <f t="shared" si="3"/>
        <v>0</v>
      </c>
      <c r="J43" s="9">
        <f t="shared" si="4"/>
        <v>0</v>
      </c>
      <c r="K43" s="4">
        <f>+VLOOKUP(C43,Indicadores!B:F,5,FALSE)</f>
        <v>1</v>
      </c>
      <c r="L43" s="1" t="str">
        <f t="shared" si="5"/>
        <v>Cumple</v>
      </c>
      <c r="M43" s="5">
        <f t="shared" si="6"/>
        <v>0</v>
      </c>
      <c r="N43" s="9">
        <f t="shared" si="0"/>
        <v>150000</v>
      </c>
      <c r="O43" s="4">
        <f>+VLOOKUP(C43,Indicadores!B:P,14,FALSE)</f>
        <v>0.96430000000000005</v>
      </c>
      <c r="P43" s="1" t="str">
        <f t="shared" si="7"/>
        <v>Cumple</v>
      </c>
      <c r="Q43" s="5">
        <f t="shared" si="8"/>
        <v>0</v>
      </c>
      <c r="R43" s="5">
        <f t="shared" si="9"/>
        <v>50000</v>
      </c>
      <c r="S43" s="4">
        <f>+VLOOKUP(C43,Indicadores!B:Q,15,FALSE)</f>
        <v>0.66666666666666663</v>
      </c>
      <c r="T43" s="5" t="str">
        <f t="shared" si="10"/>
        <v>No Cumple</v>
      </c>
      <c r="U43" s="5">
        <f t="shared" si="11"/>
        <v>0</v>
      </c>
      <c r="V43" s="5">
        <f t="shared" si="12"/>
        <v>50000</v>
      </c>
      <c r="W43" s="4">
        <f>+VLOOKUP(C43,Indicadores!B:V,21,FALSE)</f>
        <v>0.96430000000000005</v>
      </c>
      <c r="X43" s="35" t="str">
        <f t="shared" si="13"/>
        <v>No Cumple</v>
      </c>
      <c r="Y43" s="2">
        <f t="shared" si="14"/>
        <v>0</v>
      </c>
      <c r="Z43" s="5" t="str">
        <f t="shared" si="15"/>
        <v>SI</v>
      </c>
      <c r="AA43" s="5">
        <f t="shared" si="16"/>
        <v>0</v>
      </c>
      <c r="AB43" s="1"/>
    </row>
    <row r="44" spans="2:28" x14ac:dyDescent="0.25">
      <c r="B44" s="1" t="s">
        <v>233</v>
      </c>
      <c r="C44" s="1" t="s">
        <v>49</v>
      </c>
      <c r="D44" s="1" t="s">
        <v>242</v>
      </c>
      <c r="E44" s="1" t="s">
        <v>201</v>
      </c>
      <c r="F44" s="2">
        <f t="shared" si="1"/>
        <v>0</v>
      </c>
      <c r="G44" s="4">
        <f>+VLOOKUP(C44,Indicadores!B:C,2,FALSE)</f>
        <v>0.89160909090909091</v>
      </c>
      <c r="H44" s="1" t="str">
        <f t="shared" si="2"/>
        <v>Cumple</v>
      </c>
      <c r="I44" s="5">
        <f t="shared" si="3"/>
        <v>0</v>
      </c>
      <c r="J44" s="9">
        <f t="shared" si="4"/>
        <v>0</v>
      </c>
      <c r="K44" s="4">
        <f>+VLOOKUP(C44,Indicadores!B:F,5,FALSE)</f>
        <v>1</v>
      </c>
      <c r="L44" s="1" t="str">
        <f t="shared" si="5"/>
        <v>Cumple</v>
      </c>
      <c r="M44" s="5">
        <f t="shared" si="6"/>
        <v>0</v>
      </c>
      <c r="N44" s="9">
        <f t="shared" si="0"/>
        <v>150000</v>
      </c>
      <c r="O44" s="4">
        <f>+VLOOKUP(C44,Indicadores!B:P,14,FALSE)</f>
        <v>1</v>
      </c>
      <c r="P44" s="1" t="str">
        <f t="shared" si="7"/>
        <v>Cumple</v>
      </c>
      <c r="Q44" s="5">
        <f t="shared" si="8"/>
        <v>150000</v>
      </c>
      <c r="R44" s="5">
        <f t="shared" si="9"/>
        <v>50000</v>
      </c>
      <c r="S44" s="4">
        <f>+VLOOKUP(C44,Indicadores!B:Q,15,FALSE)</f>
        <v>0.85896666666666677</v>
      </c>
      <c r="T44" s="5" t="str">
        <f t="shared" si="10"/>
        <v>Cumple</v>
      </c>
      <c r="U44" s="5">
        <f t="shared" si="11"/>
        <v>40000</v>
      </c>
      <c r="V44" s="5">
        <f t="shared" si="12"/>
        <v>50000</v>
      </c>
      <c r="W44" s="4">
        <f>+VLOOKUP(C44,Indicadores!B:V,21,FALSE)</f>
        <v>0.5</v>
      </c>
      <c r="X44" s="35" t="str">
        <f t="shared" si="13"/>
        <v>No Cumple</v>
      </c>
      <c r="Y44" s="2">
        <f t="shared" si="14"/>
        <v>0</v>
      </c>
      <c r="Z44" s="5" t="str">
        <f t="shared" si="15"/>
        <v>SI</v>
      </c>
      <c r="AA44" s="5">
        <f t="shared" si="16"/>
        <v>190000</v>
      </c>
      <c r="AB44" s="1"/>
    </row>
    <row r="45" spans="2:28" x14ac:dyDescent="0.25">
      <c r="B45" s="1" t="s">
        <v>233</v>
      </c>
      <c r="C45" s="1" t="s">
        <v>50</v>
      </c>
      <c r="D45" s="1" t="s">
        <v>242</v>
      </c>
      <c r="E45" s="1" t="s">
        <v>201</v>
      </c>
      <c r="F45" s="2">
        <f t="shared" si="1"/>
        <v>0</v>
      </c>
      <c r="G45" s="4">
        <f>+VLOOKUP(C45,Indicadores!B:C,2,FALSE)</f>
        <v>0.79950909090909095</v>
      </c>
      <c r="H45" s="1" t="str">
        <f t="shared" si="2"/>
        <v>Cumple</v>
      </c>
      <c r="I45" s="5">
        <f t="shared" si="3"/>
        <v>0</v>
      </c>
      <c r="J45" s="9">
        <f t="shared" si="4"/>
        <v>0</v>
      </c>
      <c r="K45" s="4">
        <f>+VLOOKUP(C45,Indicadores!B:F,5,FALSE)</f>
        <v>1</v>
      </c>
      <c r="L45" s="1" t="str">
        <f t="shared" si="5"/>
        <v>Cumple</v>
      </c>
      <c r="M45" s="5">
        <f t="shared" si="6"/>
        <v>0</v>
      </c>
      <c r="N45" s="9">
        <f t="shared" si="0"/>
        <v>150000</v>
      </c>
      <c r="O45" s="4">
        <f>+VLOOKUP(C45,Indicadores!B:P,14,FALSE)</f>
        <v>1</v>
      </c>
      <c r="P45" s="1" t="str">
        <f t="shared" si="7"/>
        <v>Cumple</v>
      </c>
      <c r="Q45" s="5">
        <f t="shared" si="8"/>
        <v>150000</v>
      </c>
      <c r="R45" s="5">
        <f t="shared" si="9"/>
        <v>50000</v>
      </c>
      <c r="S45" s="4">
        <f>+VLOOKUP(C45,Indicadores!B:Q,15,FALSE)</f>
        <v>0.51119999999999999</v>
      </c>
      <c r="T45" s="5" t="str">
        <f t="shared" si="10"/>
        <v>No Cumple</v>
      </c>
      <c r="U45" s="5">
        <f t="shared" si="11"/>
        <v>0</v>
      </c>
      <c r="V45" s="5">
        <f t="shared" si="12"/>
        <v>50000</v>
      </c>
      <c r="W45" s="4">
        <f>+VLOOKUP(C45,Indicadores!B:V,21,FALSE)</f>
        <v>0.5</v>
      </c>
      <c r="X45" s="35" t="str">
        <f t="shared" si="13"/>
        <v>No Cumple</v>
      </c>
      <c r="Y45" s="2">
        <f t="shared" si="14"/>
        <v>0</v>
      </c>
      <c r="Z45" s="5" t="str">
        <f t="shared" si="15"/>
        <v>SI</v>
      </c>
      <c r="AA45" s="5">
        <f t="shared" si="16"/>
        <v>150000</v>
      </c>
      <c r="AB45" s="1"/>
    </row>
    <row r="46" spans="2:28" x14ac:dyDescent="0.25">
      <c r="B46" s="1" t="s">
        <v>233</v>
      </c>
      <c r="C46" s="1" t="s">
        <v>51</v>
      </c>
      <c r="D46" s="1" t="s">
        <v>242</v>
      </c>
      <c r="E46" s="1" t="s">
        <v>201</v>
      </c>
      <c r="F46" s="2">
        <f t="shared" si="1"/>
        <v>0</v>
      </c>
      <c r="G46" s="4">
        <f>+VLOOKUP(C46,Indicadores!B:C,2,FALSE)</f>
        <v>0.7218181818181818</v>
      </c>
      <c r="H46" s="1" t="str">
        <f t="shared" si="2"/>
        <v>Cumple</v>
      </c>
      <c r="I46" s="5">
        <f t="shared" si="3"/>
        <v>0</v>
      </c>
      <c r="J46" s="9">
        <f t="shared" si="4"/>
        <v>0</v>
      </c>
      <c r="K46" s="4">
        <f>+VLOOKUP(C46,Indicadores!B:F,5,FALSE)</f>
        <v>1</v>
      </c>
      <c r="L46" s="1" t="str">
        <f t="shared" si="5"/>
        <v>Cumple</v>
      </c>
      <c r="M46" s="5">
        <f t="shared" si="6"/>
        <v>0</v>
      </c>
      <c r="N46" s="9">
        <f t="shared" si="0"/>
        <v>150000</v>
      </c>
      <c r="O46" s="4">
        <f>+VLOOKUP(C46,Indicadores!B:P,14,FALSE)</f>
        <v>0.96</v>
      </c>
      <c r="P46" s="1" t="str">
        <f t="shared" si="7"/>
        <v>Cumple</v>
      </c>
      <c r="Q46" s="5">
        <f t="shared" si="8"/>
        <v>144000</v>
      </c>
      <c r="R46" s="5">
        <f t="shared" si="9"/>
        <v>50000</v>
      </c>
      <c r="S46" s="4">
        <f>+VLOOKUP(C46,Indicadores!B:Q,15,FALSE)</f>
        <v>0.32666666666666666</v>
      </c>
      <c r="T46" s="5" t="str">
        <f t="shared" si="10"/>
        <v>No Cumple</v>
      </c>
      <c r="U46" s="5">
        <f t="shared" si="11"/>
        <v>0</v>
      </c>
      <c r="V46" s="5">
        <f t="shared" si="12"/>
        <v>50000</v>
      </c>
      <c r="W46" s="4">
        <f>+VLOOKUP(C46,Indicadores!B:V,21,FALSE)</f>
        <v>0.48</v>
      </c>
      <c r="X46" s="35" t="str">
        <f t="shared" si="13"/>
        <v>No Cumple</v>
      </c>
      <c r="Y46" s="2">
        <f t="shared" si="14"/>
        <v>0</v>
      </c>
      <c r="Z46" s="5" t="str">
        <f t="shared" si="15"/>
        <v>SI</v>
      </c>
      <c r="AA46" s="5">
        <f t="shared" si="16"/>
        <v>144000</v>
      </c>
      <c r="AB46" s="1"/>
    </row>
    <row r="47" spans="2:28" x14ac:dyDescent="0.25">
      <c r="B47" s="1" t="s">
        <v>233</v>
      </c>
      <c r="C47" s="1" t="s">
        <v>52</v>
      </c>
      <c r="D47" s="1" t="s">
        <v>242</v>
      </c>
      <c r="E47" s="1" t="s">
        <v>201</v>
      </c>
      <c r="F47" s="2">
        <f t="shared" si="1"/>
        <v>0</v>
      </c>
      <c r="G47" s="4">
        <f>+VLOOKUP(C47,Indicadores!B:C,2,FALSE)</f>
        <v>0.3695</v>
      </c>
      <c r="H47" s="1" t="str">
        <f t="shared" si="2"/>
        <v>No Cumple</v>
      </c>
      <c r="I47" s="5">
        <f t="shared" si="3"/>
        <v>0</v>
      </c>
      <c r="J47" s="9">
        <f t="shared" si="4"/>
        <v>0</v>
      </c>
      <c r="K47" s="4">
        <f>+VLOOKUP(C47,Indicadores!B:F,5,FALSE)</f>
        <v>1</v>
      </c>
      <c r="L47" s="1" t="str">
        <f t="shared" si="5"/>
        <v>Cumple</v>
      </c>
      <c r="M47" s="5">
        <f t="shared" si="6"/>
        <v>0</v>
      </c>
      <c r="N47" s="9">
        <f t="shared" si="0"/>
        <v>150000</v>
      </c>
      <c r="O47" s="4">
        <f>+VLOOKUP(C47,Indicadores!B:P,14,FALSE)</f>
        <v>1.61E-2</v>
      </c>
      <c r="P47" s="1" t="str">
        <f t="shared" si="7"/>
        <v>No Cumple</v>
      </c>
      <c r="Q47" s="5">
        <f t="shared" si="8"/>
        <v>0</v>
      </c>
      <c r="R47" s="5">
        <f t="shared" si="9"/>
        <v>50000</v>
      </c>
      <c r="S47" s="4">
        <f>+VLOOKUP(C47,Indicadores!B:Q,15,FALSE)</f>
        <v>0.10453333333333333</v>
      </c>
      <c r="T47" s="5" t="str">
        <f t="shared" si="10"/>
        <v>No Cumple</v>
      </c>
      <c r="U47" s="5">
        <f t="shared" si="11"/>
        <v>0</v>
      </c>
      <c r="V47" s="5">
        <f t="shared" si="12"/>
        <v>50000</v>
      </c>
      <c r="W47" s="4">
        <f>+VLOOKUP(C47,Indicadores!B:V,21,FALSE)</f>
        <v>0.9839</v>
      </c>
      <c r="X47" s="35" t="str">
        <f t="shared" si="13"/>
        <v>No Cumple</v>
      </c>
      <c r="Y47" s="2">
        <f t="shared" si="14"/>
        <v>0</v>
      </c>
      <c r="Z47" s="5" t="str">
        <f t="shared" si="15"/>
        <v>NO</v>
      </c>
      <c r="AA47" s="5">
        <f t="shared" si="16"/>
        <v>0</v>
      </c>
      <c r="AB47" s="1"/>
    </row>
    <row r="48" spans="2:28" x14ac:dyDescent="0.25">
      <c r="B48" s="1" t="s">
        <v>233</v>
      </c>
      <c r="C48" s="1" t="s">
        <v>53</v>
      </c>
      <c r="D48" s="1" t="s">
        <v>242</v>
      </c>
      <c r="E48" s="1" t="s">
        <v>201</v>
      </c>
      <c r="F48" s="2">
        <f t="shared" si="1"/>
        <v>0</v>
      </c>
      <c r="G48" s="4">
        <f>+VLOOKUP(C48,Indicadores!B:C,2,FALSE)</f>
        <v>0.77899090909090918</v>
      </c>
      <c r="H48" s="1" t="str">
        <f t="shared" si="2"/>
        <v>Cumple</v>
      </c>
      <c r="I48" s="5">
        <f t="shared" si="3"/>
        <v>0</v>
      </c>
      <c r="J48" s="9">
        <f t="shared" si="4"/>
        <v>0</v>
      </c>
      <c r="K48" s="4">
        <f>+VLOOKUP(C48,Indicadores!B:F,5,FALSE)</f>
        <v>1</v>
      </c>
      <c r="L48" s="1" t="str">
        <f t="shared" si="5"/>
        <v>Cumple</v>
      </c>
      <c r="M48" s="5">
        <f t="shared" si="6"/>
        <v>0</v>
      </c>
      <c r="N48" s="9">
        <f t="shared" si="0"/>
        <v>150000</v>
      </c>
      <c r="O48" s="4">
        <f>+VLOOKUP(C48,Indicadores!B:P,14,FALSE)</f>
        <v>1</v>
      </c>
      <c r="P48" s="1" t="str">
        <f t="shared" si="7"/>
        <v>Cumple</v>
      </c>
      <c r="Q48" s="5">
        <f t="shared" si="8"/>
        <v>150000</v>
      </c>
      <c r="R48" s="5">
        <f t="shared" si="9"/>
        <v>50000</v>
      </c>
      <c r="S48" s="4">
        <f>+VLOOKUP(C48,Indicadores!B:Q,15,FALSE)</f>
        <v>0.60586666666666666</v>
      </c>
      <c r="T48" s="5" t="str">
        <f t="shared" si="10"/>
        <v>No Cumple</v>
      </c>
      <c r="U48" s="5">
        <f t="shared" si="11"/>
        <v>0</v>
      </c>
      <c r="V48" s="5">
        <f t="shared" si="12"/>
        <v>50000</v>
      </c>
      <c r="W48" s="4">
        <f>+VLOOKUP(C48,Indicadores!B:V,21,FALSE)</f>
        <v>0.5</v>
      </c>
      <c r="X48" s="35" t="str">
        <f t="shared" si="13"/>
        <v>No Cumple</v>
      </c>
      <c r="Y48" s="2">
        <f t="shared" si="14"/>
        <v>0</v>
      </c>
      <c r="Z48" s="5" t="str">
        <f t="shared" si="15"/>
        <v>SI</v>
      </c>
      <c r="AA48" s="5">
        <f t="shared" si="16"/>
        <v>150000</v>
      </c>
      <c r="AB48" s="1"/>
    </row>
    <row r="49" spans="2:28" x14ac:dyDescent="0.25">
      <c r="B49" s="1" t="s">
        <v>233</v>
      </c>
      <c r="C49" s="1" t="s">
        <v>54</v>
      </c>
      <c r="D49" s="1" t="s">
        <v>242</v>
      </c>
      <c r="E49" s="1" t="s">
        <v>201</v>
      </c>
      <c r="F49" s="2">
        <f t="shared" si="1"/>
        <v>0</v>
      </c>
      <c r="G49" s="4">
        <f>+VLOOKUP(C49,Indicadores!B:C,2,FALSE)</f>
        <v>0.74939999999999996</v>
      </c>
      <c r="H49" s="1" t="str">
        <f t="shared" si="2"/>
        <v>Cumple</v>
      </c>
      <c r="I49" s="5">
        <f t="shared" si="3"/>
        <v>0</v>
      </c>
      <c r="J49" s="9">
        <f t="shared" si="4"/>
        <v>0</v>
      </c>
      <c r="K49" s="4">
        <f>+VLOOKUP(C49,Indicadores!B:F,5,FALSE)</f>
        <v>1</v>
      </c>
      <c r="L49" s="1" t="str">
        <f t="shared" si="5"/>
        <v>Cumple</v>
      </c>
      <c r="M49" s="5">
        <f t="shared" si="6"/>
        <v>0</v>
      </c>
      <c r="N49" s="9">
        <f t="shared" si="0"/>
        <v>150000</v>
      </c>
      <c r="O49" s="4">
        <v>0.97</v>
      </c>
      <c r="P49" s="1" t="str">
        <f t="shared" si="7"/>
        <v>Cumple</v>
      </c>
      <c r="Q49" s="5">
        <f t="shared" si="8"/>
        <v>145500</v>
      </c>
      <c r="R49" s="5">
        <f t="shared" si="9"/>
        <v>50000</v>
      </c>
      <c r="S49" s="4">
        <f>+VLOOKUP(C49,Indicadores!B:Q,15,FALSE)</f>
        <v>0.37559999999999999</v>
      </c>
      <c r="T49" s="5" t="str">
        <f t="shared" si="10"/>
        <v>No Cumple</v>
      </c>
      <c r="U49" s="5">
        <f t="shared" si="11"/>
        <v>0</v>
      </c>
      <c r="V49" s="5">
        <f t="shared" si="12"/>
        <v>50000</v>
      </c>
      <c r="W49" s="4">
        <f>+VLOOKUP(C49,Indicadores!B:V,21,FALSE)</f>
        <v>0.97299999999999998</v>
      </c>
      <c r="X49" s="35" t="str">
        <f t="shared" si="13"/>
        <v>No Cumple</v>
      </c>
      <c r="Y49" s="2">
        <f t="shared" si="14"/>
        <v>0</v>
      </c>
      <c r="Z49" s="5" t="str">
        <f t="shared" si="15"/>
        <v>SI</v>
      </c>
      <c r="AA49" s="5">
        <f t="shared" si="16"/>
        <v>145500</v>
      </c>
      <c r="AB49" s="1"/>
    </row>
    <row r="50" spans="2:28" x14ac:dyDescent="0.25">
      <c r="B50" s="1" t="s">
        <v>233</v>
      </c>
      <c r="C50" s="1" t="s">
        <v>55</v>
      </c>
      <c r="D50" s="1" t="s">
        <v>242</v>
      </c>
      <c r="E50" s="1" t="s">
        <v>201</v>
      </c>
      <c r="F50" s="2">
        <f t="shared" si="1"/>
        <v>0</v>
      </c>
      <c r="G50" s="4">
        <f>+VLOOKUP(C50,Indicadores!B:C,2,FALSE)</f>
        <v>0.83699090909090923</v>
      </c>
      <c r="H50" s="1" t="str">
        <f t="shared" si="2"/>
        <v>Cumple</v>
      </c>
      <c r="I50" s="5">
        <f t="shared" si="3"/>
        <v>0</v>
      </c>
      <c r="J50" s="9">
        <f t="shared" si="4"/>
        <v>0</v>
      </c>
      <c r="K50" s="4">
        <f>+VLOOKUP(C50,Indicadores!B:F,5,FALSE)</f>
        <v>1</v>
      </c>
      <c r="L50" s="1" t="str">
        <f t="shared" si="5"/>
        <v>Cumple</v>
      </c>
      <c r="M50" s="5">
        <f t="shared" si="6"/>
        <v>0</v>
      </c>
      <c r="N50" s="9">
        <f t="shared" si="0"/>
        <v>150000</v>
      </c>
      <c r="O50" s="4">
        <f>+VLOOKUP(C50,Indicadores!B:P,14,FALSE)</f>
        <v>1</v>
      </c>
      <c r="P50" s="1" t="str">
        <f t="shared" si="7"/>
        <v>Cumple</v>
      </c>
      <c r="Q50" s="5">
        <f t="shared" si="8"/>
        <v>150000</v>
      </c>
      <c r="R50" s="5">
        <f t="shared" si="9"/>
        <v>50000</v>
      </c>
      <c r="S50" s="4">
        <f>+VLOOKUP(C50,Indicadores!B:Q,15,FALSE)</f>
        <v>0.83046666666666669</v>
      </c>
      <c r="T50" s="5" t="str">
        <f t="shared" si="10"/>
        <v>Cumple</v>
      </c>
      <c r="U50" s="5">
        <f t="shared" si="11"/>
        <v>40000</v>
      </c>
      <c r="V50" s="5">
        <f t="shared" si="12"/>
        <v>50000</v>
      </c>
      <c r="W50" s="4">
        <f>+VLOOKUP(C50,Indicadores!B:V,21,FALSE)</f>
        <v>0.5</v>
      </c>
      <c r="X50" s="35" t="str">
        <f t="shared" si="13"/>
        <v>No Cumple</v>
      </c>
      <c r="Y50" s="2">
        <f t="shared" si="14"/>
        <v>0</v>
      </c>
      <c r="Z50" s="5" t="str">
        <f t="shared" si="15"/>
        <v>SI</v>
      </c>
      <c r="AA50" s="5">
        <f t="shared" si="16"/>
        <v>190000</v>
      </c>
      <c r="AB50" s="1"/>
    </row>
    <row r="51" spans="2:28" x14ac:dyDescent="0.25">
      <c r="B51" s="1" t="s">
        <v>233</v>
      </c>
      <c r="C51" s="1" t="s">
        <v>56</v>
      </c>
      <c r="D51" s="1" t="s">
        <v>242</v>
      </c>
      <c r="E51" s="1" t="s">
        <v>201</v>
      </c>
      <c r="F51" s="2">
        <f t="shared" si="1"/>
        <v>0</v>
      </c>
      <c r="G51" s="4">
        <f>+VLOOKUP(C51,Indicadores!B:C,2,FALSE)</f>
        <v>0.75</v>
      </c>
      <c r="H51" s="1" t="str">
        <f t="shared" si="2"/>
        <v>Cumple</v>
      </c>
      <c r="I51" s="5">
        <f t="shared" si="3"/>
        <v>0</v>
      </c>
      <c r="J51" s="9">
        <f t="shared" si="4"/>
        <v>0</v>
      </c>
      <c r="K51" s="4">
        <f>+VLOOKUP(C51,Indicadores!B:F,5,FALSE)</f>
        <v>1</v>
      </c>
      <c r="L51" s="1" t="str">
        <f t="shared" si="5"/>
        <v>Cumple</v>
      </c>
      <c r="M51" s="5">
        <f t="shared" si="6"/>
        <v>0</v>
      </c>
      <c r="N51" s="9">
        <f t="shared" si="0"/>
        <v>150000</v>
      </c>
      <c r="O51" s="4">
        <f>+VLOOKUP(C51,Indicadores!B:P,14,FALSE)</f>
        <v>1</v>
      </c>
      <c r="P51" s="1" t="str">
        <f t="shared" si="7"/>
        <v>Cumple</v>
      </c>
      <c r="Q51" s="5">
        <f t="shared" si="8"/>
        <v>150000</v>
      </c>
      <c r="R51" s="5">
        <f t="shared" si="9"/>
        <v>50000</v>
      </c>
      <c r="S51" s="4">
        <f>+VLOOKUP(C51,Indicadores!B:Q,15,FALSE)</f>
        <v>0.34089999999999998</v>
      </c>
      <c r="T51" s="5" t="str">
        <f t="shared" si="10"/>
        <v>No Cumple</v>
      </c>
      <c r="U51" s="5">
        <f t="shared" si="11"/>
        <v>0</v>
      </c>
      <c r="V51" s="5">
        <f t="shared" si="12"/>
        <v>50000</v>
      </c>
      <c r="W51" s="4">
        <f>+VLOOKUP(C51,Indicadores!B:V,21,FALSE)</f>
        <v>0.5</v>
      </c>
      <c r="X51" s="35" t="str">
        <f t="shared" si="13"/>
        <v>No Cumple</v>
      </c>
      <c r="Y51" s="2">
        <f t="shared" si="14"/>
        <v>0</v>
      </c>
      <c r="Z51" s="5" t="str">
        <f t="shared" si="15"/>
        <v>SI</v>
      </c>
      <c r="AA51" s="5">
        <f t="shared" si="16"/>
        <v>150000</v>
      </c>
      <c r="AB51" s="8"/>
    </row>
    <row r="52" spans="2:28" x14ac:dyDescent="0.25">
      <c r="B52" s="1" t="s">
        <v>233</v>
      </c>
      <c r="C52" s="1" t="s">
        <v>57</v>
      </c>
      <c r="D52" s="1" t="s">
        <v>242</v>
      </c>
      <c r="E52" s="1" t="s">
        <v>201</v>
      </c>
      <c r="F52" s="2">
        <f t="shared" si="1"/>
        <v>0</v>
      </c>
      <c r="G52" s="4">
        <f>+VLOOKUP(C52,Indicadores!B:C,2,FALSE)</f>
        <v>0.91754545454545455</v>
      </c>
      <c r="H52" s="1" t="str">
        <f t="shared" si="2"/>
        <v>Cumple</v>
      </c>
      <c r="I52" s="5">
        <f t="shared" si="3"/>
        <v>0</v>
      </c>
      <c r="J52" s="9">
        <f t="shared" si="4"/>
        <v>0</v>
      </c>
      <c r="K52" s="4">
        <f>+VLOOKUP(C52,Indicadores!B:F,5,FALSE)</f>
        <v>1</v>
      </c>
      <c r="L52" s="1" t="str">
        <f t="shared" si="5"/>
        <v>Cumple</v>
      </c>
      <c r="M52" s="5">
        <f t="shared" si="6"/>
        <v>0</v>
      </c>
      <c r="N52" s="9">
        <f t="shared" si="0"/>
        <v>150000</v>
      </c>
      <c r="O52" s="4">
        <f>+VLOOKUP(C52,Indicadores!B:P,14,FALSE)</f>
        <v>1</v>
      </c>
      <c r="P52" s="1" t="str">
        <f t="shared" si="7"/>
        <v>Cumple</v>
      </c>
      <c r="Q52" s="5">
        <f t="shared" si="8"/>
        <v>150000</v>
      </c>
      <c r="R52" s="5">
        <f t="shared" si="9"/>
        <v>50000</v>
      </c>
      <c r="S52" s="4">
        <f>+VLOOKUP(C52,Indicadores!B:Q,15,FALSE)</f>
        <v>0.87790000000000001</v>
      </c>
      <c r="T52" s="5" t="str">
        <f t="shared" si="10"/>
        <v>Cumple</v>
      </c>
      <c r="U52" s="5">
        <f t="shared" si="11"/>
        <v>40000</v>
      </c>
      <c r="V52" s="5">
        <f t="shared" si="12"/>
        <v>50000</v>
      </c>
      <c r="W52" s="4">
        <f>+VLOOKUP(C52,Indicadores!B:V,21,FALSE)</f>
        <v>0.5</v>
      </c>
      <c r="X52" s="35" t="str">
        <f t="shared" si="13"/>
        <v>No Cumple</v>
      </c>
      <c r="Y52" s="2">
        <f t="shared" si="14"/>
        <v>0</v>
      </c>
      <c r="Z52" s="5" t="str">
        <f t="shared" si="15"/>
        <v>SI</v>
      </c>
      <c r="AA52" s="5">
        <f t="shared" si="16"/>
        <v>190000</v>
      </c>
      <c r="AB52" s="1"/>
    </row>
    <row r="53" spans="2:28" x14ac:dyDescent="0.25">
      <c r="B53" s="1" t="s">
        <v>233</v>
      </c>
      <c r="C53" s="1" t="s">
        <v>58</v>
      </c>
      <c r="D53" s="1" t="s">
        <v>242</v>
      </c>
      <c r="E53" s="1" t="s">
        <v>201</v>
      </c>
      <c r="F53" s="2">
        <f t="shared" si="1"/>
        <v>0</v>
      </c>
      <c r="G53" s="4">
        <f>+VLOOKUP(C53,Indicadores!B:C,2,FALSE)</f>
        <v>0.76043636363636358</v>
      </c>
      <c r="H53" s="1" t="str">
        <f t="shared" si="2"/>
        <v>Cumple</v>
      </c>
      <c r="I53" s="5">
        <f t="shared" si="3"/>
        <v>0</v>
      </c>
      <c r="J53" s="9">
        <f t="shared" si="4"/>
        <v>0</v>
      </c>
      <c r="K53" s="4">
        <f>+VLOOKUP(C53,Indicadores!B:F,5,FALSE)</f>
        <v>1</v>
      </c>
      <c r="L53" s="1" t="str">
        <f t="shared" si="5"/>
        <v>Cumple</v>
      </c>
      <c r="M53" s="5">
        <f t="shared" si="6"/>
        <v>0</v>
      </c>
      <c r="N53" s="9">
        <f t="shared" si="0"/>
        <v>150000</v>
      </c>
      <c r="O53" s="4">
        <f>+VLOOKUP(C53,Indicadores!B:P,14,FALSE)</f>
        <v>0.97919999999999996</v>
      </c>
      <c r="P53" s="1" t="str">
        <f t="shared" si="7"/>
        <v>Cumple</v>
      </c>
      <c r="Q53" s="5">
        <f t="shared" si="8"/>
        <v>0</v>
      </c>
      <c r="R53" s="5">
        <f t="shared" si="9"/>
        <v>50000</v>
      </c>
      <c r="S53" s="4">
        <f>+VLOOKUP(C53,Indicadores!B:Q,15,FALSE)</f>
        <v>0.41436666666666661</v>
      </c>
      <c r="T53" s="5" t="str">
        <f t="shared" si="10"/>
        <v>No Cumple</v>
      </c>
      <c r="U53" s="5">
        <f t="shared" si="11"/>
        <v>0</v>
      </c>
      <c r="V53" s="5">
        <f t="shared" si="12"/>
        <v>50000</v>
      </c>
      <c r="W53" s="4">
        <f>+VLOOKUP(C53,Indicadores!B:V,21,FALSE)</f>
        <v>0.49480000000000002</v>
      </c>
      <c r="X53" s="35" t="str">
        <f t="shared" si="13"/>
        <v>No Cumple</v>
      </c>
      <c r="Y53" s="2">
        <f t="shared" si="14"/>
        <v>0</v>
      </c>
      <c r="Z53" s="5" t="str">
        <f t="shared" si="15"/>
        <v>SI</v>
      </c>
      <c r="AA53" s="5">
        <f t="shared" si="16"/>
        <v>0</v>
      </c>
      <c r="AB53" s="1"/>
    </row>
    <row r="54" spans="2:28" x14ac:dyDescent="0.25">
      <c r="B54" s="1" t="s">
        <v>234</v>
      </c>
      <c r="C54" s="1" t="s">
        <v>59</v>
      </c>
      <c r="D54" s="1" t="s">
        <v>243</v>
      </c>
      <c r="E54" s="1" t="s">
        <v>202</v>
      </c>
      <c r="F54" s="2">
        <f t="shared" si="1"/>
        <v>0</v>
      </c>
      <c r="G54" s="4">
        <f>+VLOOKUP(C54,Indicadores!B:C,2,FALSE)</f>
        <v>0.75942727272727273</v>
      </c>
      <c r="H54" s="1" t="str">
        <f t="shared" si="2"/>
        <v>Cumple</v>
      </c>
      <c r="I54" s="5">
        <f t="shared" si="3"/>
        <v>0</v>
      </c>
      <c r="J54" s="9">
        <f t="shared" si="4"/>
        <v>0</v>
      </c>
      <c r="K54" s="4">
        <f>+VLOOKUP(C54,Indicadores!B:F,5,FALSE)</f>
        <v>1</v>
      </c>
      <c r="L54" s="1" t="str">
        <f t="shared" si="5"/>
        <v>Cumple</v>
      </c>
      <c r="M54" s="5">
        <f t="shared" si="6"/>
        <v>0</v>
      </c>
      <c r="N54" s="9">
        <f t="shared" si="0"/>
        <v>150000</v>
      </c>
      <c r="O54" s="4">
        <f>+VLOOKUP(C54,Indicadores!B:P,14,FALSE)</f>
        <v>1</v>
      </c>
      <c r="P54" s="1" t="str">
        <f t="shared" si="7"/>
        <v>Cumple</v>
      </c>
      <c r="Q54" s="5">
        <f t="shared" si="8"/>
        <v>150000</v>
      </c>
      <c r="R54" s="5">
        <f t="shared" si="9"/>
        <v>50000</v>
      </c>
      <c r="S54" s="4">
        <f>+VLOOKUP(C54,Indicadores!B:Q,15,FALSE)</f>
        <v>0.52253333333333341</v>
      </c>
      <c r="T54" s="5" t="str">
        <f t="shared" si="10"/>
        <v>No Cumple</v>
      </c>
      <c r="U54" s="5">
        <f t="shared" si="11"/>
        <v>0</v>
      </c>
      <c r="V54" s="5">
        <f t="shared" si="12"/>
        <v>50000</v>
      </c>
      <c r="W54" s="4">
        <f>+VLOOKUP(C54,Indicadores!B:V,21,FALSE)</f>
        <v>1</v>
      </c>
      <c r="X54" s="35" t="str">
        <f t="shared" si="13"/>
        <v>Cumple</v>
      </c>
      <c r="Y54" s="2">
        <f t="shared" si="14"/>
        <v>50000</v>
      </c>
      <c r="Z54" s="5" t="str">
        <f t="shared" si="15"/>
        <v>SI</v>
      </c>
      <c r="AA54" s="5">
        <f t="shared" si="16"/>
        <v>200000</v>
      </c>
      <c r="AB54" s="1"/>
    </row>
    <row r="55" spans="2:28" x14ac:dyDescent="0.25">
      <c r="B55" s="1" t="s">
        <v>234</v>
      </c>
      <c r="C55" s="1" t="s">
        <v>60</v>
      </c>
      <c r="D55" s="1" t="s">
        <v>243</v>
      </c>
      <c r="E55" s="1" t="s">
        <v>202</v>
      </c>
      <c r="F55" s="2">
        <f t="shared" si="1"/>
        <v>0</v>
      </c>
      <c r="G55" s="4">
        <f>+VLOOKUP(C55,Indicadores!B:C,2,FALSE)</f>
        <v>0.74545454545454559</v>
      </c>
      <c r="H55" s="1" t="str">
        <f t="shared" si="2"/>
        <v>Cumple</v>
      </c>
      <c r="I55" s="5">
        <f t="shared" si="3"/>
        <v>0</v>
      </c>
      <c r="J55" s="9">
        <f t="shared" si="4"/>
        <v>0</v>
      </c>
      <c r="K55" s="4">
        <f>+VLOOKUP(C55,Indicadores!B:F,5,FALSE)</f>
        <v>1</v>
      </c>
      <c r="L55" s="1" t="str">
        <f t="shared" si="5"/>
        <v>Cumple</v>
      </c>
      <c r="M55" s="5">
        <f t="shared" si="6"/>
        <v>0</v>
      </c>
      <c r="N55" s="9">
        <f t="shared" si="0"/>
        <v>150000</v>
      </c>
      <c r="O55" s="4">
        <f>+VLOOKUP(C55,Indicadores!B:P,14,FALSE)</f>
        <v>0.98</v>
      </c>
      <c r="P55" s="1" t="str">
        <f t="shared" si="7"/>
        <v>Cumple</v>
      </c>
      <c r="Q55" s="5">
        <f t="shared" si="8"/>
        <v>147000</v>
      </c>
      <c r="R55" s="5">
        <f t="shared" si="9"/>
        <v>50000</v>
      </c>
      <c r="S55" s="4">
        <f>+VLOOKUP(C55,Indicadores!B:Q,15,FALSE)</f>
        <v>0.51333333333333331</v>
      </c>
      <c r="T55" s="5" t="str">
        <f t="shared" si="10"/>
        <v>No Cumple</v>
      </c>
      <c r="U55" s="5">
        <f t="shared" si="11"/>
        <v>0</v>
      </c>
      <c r="V55" s="5">
        <f t="shared" si="12"/>
        <v>50000</v>
      </c>
      <c r="W55" s="4">
        <f>+VLOOKUP(C55,Indicadores!B:V,21,FALSE)</f>
        <v>0.49</v>
      </c>
      <c r="X55" s="35" t="str">
        <f t="shared" si="13"/>
        <v>No Cumple</v>
      </c>
      <c r="Y55" s="2">
        <f t="shared" si="14"/>
        <v>0</v>
      </c>
      <c r="Z55" s="5" t="str">
        <f t="shared" si="15"/>
        <v>SI</v>
      </c>
      <c r="AA55" s="5">
        <f t="shared" si="16"/>
        <v>147000</v>
      </c>
      <c r="AB55" s="1"/>
    </row>
    <row r="56" spans="2:28" x14ac:dyDescent="0.25">
      <c r="B56" s="1" t="s">
        <v>234</v>
      </c>
      <c r="C56" s="1" t="s">
        <v>61</v>
      </c>
      <c r="D56" s="1" t="s">
        <v>243</v>
      </c>
      <c r="E56" s="1" t="s">
        <v>202</v>
      </c>
      <c r="F56" s="2">
        <f t="shared" si="1"/>
        <v>0</v>
      </c>
      <c r="G56" s="4">
        <f>+VLOOKUP(C56,Indicadores!B:C,2,FALSE)</f>
        <v>0.81584545454545454</v>
      </c>
      <c r="H56" s="1" t="str">
        <f t="shared" si="2"/>
        <v>Cumple</v>
      </c>
      <c r="I56" s="5">
        <f t="shared" si="3"/>
        <v>0</v>
      </c>
      <c r="J56" s="9">
        <f t="shared" si="4"/>
        <v>0</v>
      </c>
      <c r="K56" s="4">
        <f>+VLOOKUP(C56,Indicadores!B:F,5,FALSE)</f>
        <v>1</v>
      </c>
      <c r="L56" s="1" t="str">
        <f t="shared" si="5"/>
        <v>Cumple</v>
      </c>
      <c r="M56" s="5">
        <f t="shared" si="6"/>
        <v>0</v>
      </c>
      <c r="N56" s="9">
        <f t="shared" si="0"/>
        <v>150000</v>
      </c>
      <c r="O56" s="4">
        <f>+VLOOKUP(C56,Indicadores!B:P,14,FALSE)</f>
        <v>1</v>
      </c>
      <c r="P56" s="1" t="str">
        <f t="shared" si="7"/>
        <v>Cumple</v>
      </c>
      <c r="Q56" s="5">
        <f t="shared" si="8"/>
        <v>150000</v>
      </c>
      <c r="R56" s="5">
        <f t="shared" si="9"/>
        <v>50000</v>
      </c>
      <c r="S56" s="4">
        <f>+VLOOKUP(C56,Indicadores!B:Q,15,FALSE)</f>
        <v>0.57356666666666667</v>
      </c>
      <c r="T56" s="5" t="str">
        <f t="shared" si="10"/>
        <v>No Cumple</v>
      </c>
      <c r="U56" s="5">
        <f t="shared" si="11"/>
        <v>0</v>
      </c>
      <c r="V56" s="5">
        <f t="shared" si="12"/>
        <v>50000</v>
      </c>
      <c r="W56" s="4">
        <f>+VLOOKUP(C56,Indicadores!B:V,21,FALSE)</f>
        <v>0.5</v>
      </c>
      <c r="X56" s="35" t="str">
        <f t="shared" si="13"/>
        <v>No Cumple</v>
      </c>
      <c r="Y56" s="2">
        <f t="shared" si="14"/>
        <v>0</v>
      </c>
      <c r="Z56" s="5" t="str">
        <f t="shared" si="15"/>
        <v>SI</v>
      </c>
      <c r="AA56" s="5">
        <f t="shared" si="16"/>
        <v>150000</v>
      </c>
      <c r="AB56" s="1"/>
    </row>
    <row r="57" spans="2:28" x14ac:dyDescent="0.25">
      <c r="B57" s="1" t="s">
        <v>234</v>
      </c>
      <c r="C57" s="1" t="s">
        <v>62</v>
      </c>
      <c r="D57" s="1" t="s">
        <v>243</v>
      </c>
      <c r="E57" s="1" t="s">
        <v>202</v>
      </c>
      <c r="F57" s="2">
        <f t="shared" si="1"/>
        <v>0</v>
      </c>
      <c r="G57" s="4">
        <f>+VLOOKUP(C57,Indicadores!B:C,2,FALSE)</f>
        <v>0.85741818181818197</v>
      </c>
      <c r="H57" s="1" t="str">
        <f t="shared" si="2"/>
        <v>Cumple</v>
      </c>
      <c r="I57" s="5">
        <f t="shared" si="3"/>
        <v>0</v>
      </c>
      <c r="J57" s="9">
        <f t="shared" si="4"/>
        <v>0</v>
      </c>
      <c r="K57" s="4">
        <f>+VLOOKUP(C57,Indicadores!B:F,5,FALSE)</f>
        <v>0.95</v>
      </c>
      <c r="L57" s="1" t="str">
        <f t="shared" si="5"/>
        <v>Cumple</v>
      </c>
      <c r="M57" s="5">
        <f t="shared" si="6"/>
        <v>0</v>
      </c>
      <c r="N57" s="9">
        <f t="shared" si="0"/>
        <v>150000</v>
      </c>
      <c r="O57" s="4">
        <f>+VLOOKUP(C57,Indicadores!B:P,14,FALSE)</f>
        <v>1</v>
      </c>
      <c r="P57" s="1" t="str">
        <f t="shared" si="7"/>
        <v>Cumple</v>
      </c>
      <c r="Q57" s="5">
        <f t="shared" si="8"/>
        <v>150000</v>
      </c>
      <c r="R57" s="5">
        <f t="shared" si="9"/>
        <v>50000</v>
      </c>
      <c r="S57" s="4">
        <f>+VLOOKUP(C57,Indicadores!B:Q,15,FALSE)</f>
        <v>0.73606666666666676</v>
      </c>
      <c r="T57" s="5" t="str">
        <f t="shared" si="10"/>
        <v>No Cumple</v>
      </c>
      <c r="U57" s="5">
        <f t="shared" si="11"/>
        <v>0</v>
      </c>
      <c r="V57" s="5">
        <f t="shared" si="12"/>
        <v>50000</v>
      </c>
      <c r="W57" s="4">
        <f>+VLOOKUP(C57,Indicadores!B:V,21,FALSE)</f>
        <v>0.5</v>
      </c>
      <c r="X57" s="35" t="str">
        <f t="shared" si="13"/>
        <v>No Cumple</v>
      </c>
      <c r="Y57" s="2">
        <f t="shared" si="14"/>
        <v>0</v>
      </c>
      <c r="Z57" s="5" t="str">
        <f t="shared" si="15"/>
        <v>SI</v>
      </c>
      <c r="AA57" s="5">
        <f t="shared" si="16"/>
        <v>150000</v>
      </c>
      <c r="AB57" s="1"/>
    </row>
    <row r="58" spans="2:28" x14ac:dyDescent="0.25">
      <c r="B58" s="1" t="s">
        <v>234</v>
      </c>
      <c r="C58" s="1" t="s">
        <v>63</v>
      </c>
      <c r="D58" s="1" t="s">
        <v>243</v>
      </c>
      <c r="E58" s="1" t="s">
        <v>202</v>
      </c>
      <c r="F58" s="2">
        <f t="shared" si="1"/>
        <v>0</v>
      </c>
      <c r="G58" s="4">
        <f>+VLOOKUP(C58,Indicadores!B:C,2,FALSE)</f>
        <v>0.81049090909090904</v>
      </c>
      <c r="H58" s="1" t="str">
        <f t="shared" si="2"/>
        <v>Cumple</v>
      </c>
      <c r="I58" s="5">
        <f t="shared" si="3"/>
        <v>0</v>
      </c>
      <c r="J58" s="9">
        <f t="shared" si="4"/>
        <v>0</v>
      </c>
      <c r="K58" s="4">
        <f>+VLOOKUP(C58,Indicadores!B:F,5,FALSE)</f>
        <v>1</v>
      </c>
      <c r="L58" s="1" t="str">
        <f t="shared" si="5"/>
        <v>Cumple</v>
      </c>
      <c r="M58" s="5">
        <f t="shared" si="6"/>
        <v>0</v>
      </c>
      <c r="N58" s="9">
        <f t="shared" si="0"/>
        <v>150000</v>
      </c>
      <c r="O58" s="4">
        <f>+VLOOKUP(C58,Indicadores!B:P,14,FALSE)</f>
        <v>1</v>
      </c>
      <c r="P58" s="1" t="str">
        <f t="shared" si="7"/>
        <v>Cumple</v>
      </c>
      <c r="Q58" s="5">
        <f t="shared" si="8"/>
        <v>150000</v>
      </c>
      <c r="R58" s="5">
        <f t="shared" si="9"/>
        <v>50000</v>
      </c>
      <c r="S58" s="4">
        <f>+VLOOKUP(C58,Indicadores!B:Q,15,FALSE)</f>
        <v>0.46286666666666659</v>
      </c>
      <c r="T58" s="5" t="str">
        <f t="shared" si="10"/>
        <v>No Cumple</v>
      </c>
      <c r="U58" s="5">
        <f t="shared" si="11"/>
        <v>0</v>
      </c>
      <c r="V58" s="5">
        <f t="shared" si="12"/>
        <v>50000</v>
      </c>
      <c r="W58" s="4">
        <f>+VLOOKUP(C58,Indicadores!B:V,21,FALSE)</f>
        <v>0.5</v>
      </c>
      <c r="X58" s="35" t="str">
        <f t="shared" si="13"/>
        <v>No Cumple</v>
      </c>
      <c r="Y58" s="2">
        <f t="shared" si="14"/>
        <v>0</v>
      </c>
      <c r="Z58" s="5" t="str">
        <f t="shared" si="15"/>
        <v>SI</v>
      </c>
      <c r="AA58" s="5">
        <f t="shared" si="16"/>
        <v>150000</v>
      </c>
      <c r="AB58" s="1"/>
    </row>
    <row r="59" spans="2:28" x14ac:dyDescent="0.25">
      <c r="B59" s="1" t="s">
        <v>234</v>
      </c>
      <c r="C59" s="1" t="s">
        <v>64</v>
      </c>
      <c r="D59" s="1" t="s">
        <v>243</v>
      </c>
      <c r="E59" s="1" t="s">
        <v>202</v>
      </c>
      <c r="F59" s="2">
        <f t="shared" si="1"/>
        <v>0</v>
      </c>
      <c r="G59" s="4">
        <f>+VLOOKUP(C59,Indicadores!B:C,2,FALSE)</f>
        <v>0.79825454545454544</v>
      </c>
      <c r="H59" s="1" t="str">
        <f t="shared" si="2"/>
        <v>Cumple</v>
      </c>
      <c r="I59" s="5">
        <f t="shared" si="3"/>
        <v>0</v>
      </c>
      <c r="J59" s="9">
        <f t="shared" si="4"/>
        <v>0</v>
      </c>
      <c r="K59" s="4">
        <f>+VLOOKUP(C59,Indicadores!B:F,5,FALSE)</f>
        <v>1</v>
      </c>
      <c r="L59" s="1" t="str">
        <f t="shared" si="5"/>
        <v>Cumple</v>
      </c>
      <c r="M59" s="5">
        <f t="shared" si="6"/>
        <v>0</v>
      </c>
      <c r="N59" s="9">
        <f t="shared" si="0"/>
        <v>150000</v>
      </c>
      <c r="O59" s="4">
        <f>+VLOOKUP(C59,Indicadores!B:P,14,FALSE)</f>
        <v>1</v>
      </c>
      <c r="P59" s="1" t="str">
        <f t="shared" si="7"/>
        <v>Cumple</v>
      </c>
      <c r="Q59" s="5">
        <f t="shared" si="8"/>
        <v>150000</v>
      </c>
      <c r="R59" s="5">
        <f t="shared" si="9"/>
        <v>50000</v>
      </c>
      <c r="S59" s="4">
        <f>+VLOOKUP(C59,Indicadores!B:Q,15,FALSE)</f>
        <v>0.36109999999999998</v>
      </c>
      <c r="T59" s="5" t="str">
        <f t="shared" si="10"/>
        <v>No Cumple</v>
      </c>
      <c r="U59" s="5">
        <f t="shared" si="11"/>
        <v>0</v>
      </c>
      <c r="V59" s="5">
        <f t="shared" si="12"/>
        <v>50000</v>
      </c>
      <c r="W59" s="4">
        <f>+VLOOKUP(C59,Indicadores!B:V,21,FALSE)</f>
        <v>1</v>
      </c>
      <c r="X59" s="35" t="str">
        <f t="shared" si="13"/>
        <v>Cumple</v>
      </c>
      <c r="Y59" s="2">
        <f t="shared" si="14"/>
        <v>50000</v>
      </c>
      <c r="Z59" s="5" t="str">
        <f t="shared" si="15"/>
        <v>SI</v>
      </c>
      <c r="AA59" s="5">
        <f t="shared" si="16"/>
        <v>200000</v>
      </c>
      <c r="AB59" s="1"/>
    </row>
    <row r="60" spans="2:28" x14ac:dyDescent="0.25">
      <c r="B60" s="1" t="s">
        <v>234</v>
      </c>
      <c r="C60" s="1" t="s">
        <v>65</v>
      </c>
      <c r="D60" s="1" t="s">
        <v>243</v>
      </c>
      <c r="E60" s="1" t="s">
        <v>202</v>
      </c>
      <c r="F60" s="2">
        <f t="shared" si="1"/>
        <v>0</v>
      </c>
      <c r="G60" s="4">
        <f>+VLOOKUP(C60,Indicadores!B:C,2,FALSE)</f>
        <v>0.76489090909090907</v>
      </c>
      <c r="H60" s="1" t="str">
        <f t="shared" si="2"/>
        <v>Cumple</v>
      </c>
      <c r="I60" s="5">
        <f t="shared" si="3"/>
        <v>0</v>
      </c>
      <c r="J60" s="9">
        <f t="shared" si="4"/>
        <v>0</v>
      </c>
      <c r="K60" s="4">
        <f>+VLOOKUP(C60,Indicadores!B:F,5,FALSE)</f>
        <v>0.92307692307692313</v>
      </c>
      <c r="L60" s="1" t="str">
        <f t="shared" si="5"/>
        <v>Cumple</v>
      </c>
      <c r="M60" s="5">
        <f t="shared" si="6"/>
        <v>0</v>
      </c>
      <c r="N60" s="9">
        <f t="shared" si="0"/>
        <v>150000</v>
      </c>
      <c r="O60" s="4">
        <f>+VLOOKUP(C60,Indicadores!B:P,14,FALSE)</f>
        <v>1</v>
      </c>
      <c r="P60" s="1" t="str">
        <f t="shared" si="7"/>
        <v>Cumple</v>
      </c>
      <c r="Q60" s="5">
        <f t="shared" si="8"/>
        <v>150000</v>
      </c>
      <c r="R60" s="5">
        <f t="shared" si="9"/>
        <v>50000</v>
      </c>
      <c r="S60" s="4">
        <f>+VLOOKUP(C60,Indicadores!B:Q,15,FALSE)</f>
        <v>0.50383333333333336</v>
      </c>
      <c r="T60" s="5" t="str">
        <f t="shared" si="10"/>
        <v>No Cumple</v>
      </c>
      <c r="U60" s="5">
        <f t="shared" si="11"/>
        <v>0</v>
      </c>
      <c r="V60" s="5">
        <f t="shared" si="12"/>
        <v>50000</v>
      </c>
      <c r="W60" s="4">
        <f>+VLOOKUP(C60,Indicadores!B:V,21,FALSE)</f>
        <v>0.5</v>
      </c>
      <c r="X60" s="35" t="str">
        <f t="shared" si="13"/>
        <v>No Cumple</v>
      </c>
      <c r="Y60" s="2">
        <f t="shared" si="14"/>
        <v>0</v>
      </c>
      <c r="Z60" s="5" t="str">
        <f t="shared" si="15"/>
        <v>SI</v>
      </c>
      <c r="AA60" s="5">
        <f t="shared" si="16"/>
        <v>150000</v>
      </c>
      <c r="AB60" s="1"/>
    </row>
    <row r="61" spans="2:28" x14ac:dyDescent="0.25">
      <c r="B61" s="1" t="s">
        <v>234</v>
      </c>
      <c r="C61" s="1" t="s">
        <v>66</v>
      </c>
      <c r="D61" s="1" t="s">
        <v>243</v>
      </c>
      <c r="E61" s="1" t="s">
        <v>202</v>
      </c>
      <c r="F61" s="2">
        <f t="shared" si="1"/>
        <v>0</v>
      </c>
      <c r="G61" s="4">
        <f>+VLOOKUP(C61,Indicadores!B:C,2,FALSE)</f>
        <v>0.79330909090909085</v>
      </c>
      <c r="H61" s="1" t="str">
        <f t="shared" si="2"/>
        <v>Cumple</v>
      </c>
      <c r="I61" s="5">
        <f t="shared" si="3"/>
        <v>0</v>
      </c>
      <c r="J61" s="9">
        <f t="shared" si="4"/>
        <v>0</v>
      </c>
      <c r="K61" s="4">
        <f>+VLOOKUP(C61,Indicadores!B:F,5,FALSE)</f>
        <v>1</v>
      </c>
      <c r="L61" s="1" t="str">
        <f t="shared" si="5"/>
        <v>Cumple</v>
      </c>
      <c r="M61" s="5">
        <f t="shared" si="6"/>
        <v>0</v>
      </c>
      <c r="N61" s="9">
        <f t="shared" si="0"/>
        <v>150000</v>
      </c>
      <c r="O61" s="4">
        <f>+VLOOKUP(C61,Indicadores!B:P,14,FALSE)</f>
        <v>1</v>
      </c>
      <c r="P61" s="1" t="str">
        <f t="shared" si="7"/>
        <v>Cumple</v>
      </c>
      <c r="Q61" s="5">
        <f t="shared" si="8"/>
        <v>150000</v>
      </c>
      <c r="R61" s="5">
        <f t="shared" si="9"/>
        <v>50000</v>
      </c>
      <c r="S61" s="4">
        <f>+VLOOKUP(C61,Indicadores!B:Q,15,FALSE)</f>
        <v>0.6166666666666667</v>
      </c>
      <c r="T61" s="5" t="str">
        <f t="shared" si="10"/>
        <v>No Cumple</v>
      </c>
      <c r="U61" s="5">
        <f t="shared" si="11"/>
        <v>0</v>
      </c>
      <c r="V61" s="5">
        <f t="shared" si="12"/>
        <v>50000</v>
      </c>
      <c r="W61" s="4">
        <f>+VLOOKUP(C61,Indicadores!B:V,21,FALSE)</f>
        <v>1</v>
      </c>
      <c r="X61" s="35" t="str">
        <f t="shared" si="13"/>
        <v>Cumple</v>
      </c>
      <c r="Y61" s="2">
        <f t="shared" si="14"/>
        <v>50000</v>
      </c>
      <c r="Z61" s="5" t="str">
        <f t="shared" si="15"/>
        <v>SI</v>
      </c>
      <c r="AA61" s="5">
        <f t="shared" si="16"/>
        <v>200000</v>
      </c>
      <c r="AB61" s="1"/>
    </row>
    <row r="62" spans="2:28" x14ac:dyDescent="0.25">
      <c r="B62" s="1" t="s">
        <v>234</v>
      </c>
      <c r="C62" s="1" t="s">
        <v>67</v>
      </c>
      <c r="D62" s="1" t="s">
        <v>243</v>
      </c>
      <c r="E62" s="1" t="s">
        <v>202</v>
      </c>
      <c r="F62" s="2">
        <f t="shared" si="1"/>
        <v>0</v>
      </c>
      <c r="G62" s="4">
        <f>+VLOOKUP(C62,Indicadores!B:C,2,FALSE)</f>
        <v>0.79930909090909086</v>
      </c>
      <c r="H62" s="1" t="str">
        <f t="shared" si="2"/>
        <v>Cumple</v>
      </c>
      <c r="I62" s="5">
        <f t="shared" si="3"/>
        <v>0</v>
      </c>
      <c r="J62" s="9">
        <f t="shared" si="4"/>
        <v>0</v>
      </c>
      <c r="K62" s="4">
        <f>+VLOOKUP(C62,Indicadores!B:F,5,FALSE)</f>
        <v>1</v>
      </c>
      <c r="L62" s="1" t="str">
        <f t="shared" si="5"/>
        <v>Cumple</v>
      </c>
      <c r="M62" s="5">
        <f t="shared" si="6"/>
        <v>0</v>
      </c>
      <c r="N62" s="9">
        <f t="shared" si="0"/>
        <v>150000</v>
      </c>
      <c r="O62" s="4">
        <f>+VLOOKUP(C62,Indicadores!B:P,14,FALSE)</f>
        <v>1</v>
      </c>
      <c r="P62" s="1" t="str">
        <f t="shared" si="7"/>
        <v>Cumple</v>
      </c>
      <c r="Q62" s="5">
        <f t="shared" si="8"/>
        <v>150000</v>
      </c>
      <c r="R62" s="5">
        <f t="shared" si="9"/>
        <v>50000</v>
      </c>
      <c r="S62" s="4">
        <f>+VLOOKUP(C62,Indicadores!B:Q,15,FALSE)</f>
        <v>0.68553333333333333</v>
      </c>
      <c r="T62" s="5" t="str">
        <f t="shared" si="10"/>
        <v>No Cumple</v>
      </c>
      <c r="U62" s="5">
        <f t="shared" si="11"/>
        <v>0</v>
      </c>
      <c r="V62" s="5">
        <f t="shared" si="12"/>
        <v>50000</v>
      </c>
      <c r="W62" s="4">
        <f>+VLOOKUP(C62,Indicadores!B:V,21,FALSE)</f>
        <v>0.5</v>
      </c>
      <c r="X62" s="35" t="str">
        <f t="shared" si="13"/>
        <v>No Cumple</v>
      </c>
      <c r="Y62" s="2">
        <f t="shared" si="14"/>
        <v>0</v>
      </c>
      <c r="Z62" s="5" t="str">
        <f t="shared" si="15"/>
        <v>SI</v>
      </c>
      <c r="AA62" s="5">
        <f t="shared" si="16"/>
        <v>150000</v>
      </c>
      <c r="AB62" s="1"/>
    </row>
    <row r="63" spans="2:28" x14ac:dyDescent="0.25">
      <c r="B63" s="1" t="s">
        <v>234</v>
      </c>
      <c r="C63" s="1" t="s">
        <v>68</v>
      </c>
      <c r="D63" s="1" t="s">
        <v>243</v>
      </c>
      <c r="E63" s="1" t="s">
        <v>202</v>
      </c>
      <c r="F63" s="2">
        <f t="shared" si="1"/>
        <v>0</v>
      </c>
      <c r="G63" s="4">
        <f>+VLOOKUP(C63,Indicadores!B:C,2,FALSE)</f>
        <v>0.79154545454545444</v>
      </c>
      <c r="H63" s="1" t="str">
        <f t="shared" si="2"/>
        <v>Cumple</v>
      </c>
      <c r="I63" s="5">
        <f t="shared" si="3"/>
        <v>0</v>
      </c>
      <c r="J63" s="9">
        <f t="shared" si="4"/>
        <v>0</v>
      </c>
      <c r="K63" s="4">
        <f>+VLOOKUP(C63,Indicadores!B:F,5,FALSE)</f>
        <v>0.82352941176470584</v>
      </c>
      <c r="L63" s="1" t="str">
        <f t="shared" si="5"/>
        <v>Cumple</v>
      </c>
      <c r="M63" s="5">
        <f t="shared" si="6"/>
        <v>0</v>
      </c>
      <c r="N63" s="9">
        <f t="shared" si="0"/>
        <v>150000</v>
      </c>
      <c r="O63" s="4">
        <f>+VLOOKUP(C63,Indicadores!B:P,14,FALSE)</f>
        <v>1</v>
      </c>
      <c r="P63" s="1" t="str">
        <f t="shared" si="7"/>
        <v>Cumple</v>
      </c>
      <c r="Q63" s="5">
        <f t="shared" si="8"/>
        <v>150000</v>
      </c>
      <c r="R63" s="5">
        <f t="shared" si="9"/>
        <v>50000</v>
      </c>
      <c r="S63" s="4">
        <f>+VLOOKUP(C63,Indicadores!B:Q,15,FALSE)</f>
        <v>0.45789999999999997</v>
      </c>
      <c r="T63" s="5" t="str">
        <f t="shared" si="10"/>
        <v>No Cumple</v>
      </c>
      <c r="U63" s="5">
        <f t="shared" si="11"/>
        <v>0</v>
      </c>
      <c r="V63" s="5">
        <f t="shared" si="12"/>
        <v>50000</v>
      </c>
      <c r="W63" s="4">
        <f>+VLOOKUP(C63,Indicadores!B:V,21,FALSE)</f>
        <v>0.5</v>
      </c>
      <c r="X63" s="35" t="str">
        <f t="shared" si="13"/>
        <v>No Cumple</v>
      </c>
      <c r="Y63" s="2">
        <f t="shared" si="14"/>
        <v>0</v>
      </c>
      <c r="Z63" s="5" t="str">
        <f t="shared" si="15"/>
        <v>SI</v>
      </c>
      <c r="AA63" s="5">
        <f t="shared" si="16"/>
        <v>150000</v>
      </c>
      <c r="AB63" s="1"/>
    </row>
    <row r="64" spans="2:28" x14ac:dyDescent="0.25">
      <c r="B64" s="1" t="s">
        <v>234</v>
      </c>
      <c r="C64" s="1" t="s">
        <v>69</v>
      </c>
      <c r="D64" s="1" t="s">
        <v>243</v>
      </c>
      <c r="E64" s="1" t="s">
        <v>202</v>
      </c>
      <c r="F64" s="2">
        <f t="shared" si="1"/>
        <v>0</v>
      </c>
      <c r="G64" s="4">
        <f>+VLOOKUP(C64,Indicadores!B:C,2,FALSE)</f>
        <v>0.78886363636363643</v>
      </c>
      <c r="H64" s="1" t="str">
        <f t="shared" si="2"/>
        <v>Cumple</v>
      </c>
      <c r="I64" s="5">
        <f t="shared" si="3"/>
        <v>0</v>
      </c>
      <c r="J64" s="9">
        <f t="shared" si="4"/>
        <v>0</v>
      </c>
      <c r="K64" s="4">
        <f>+VLOOKUP(C64,Indicadores!B:F,5,FALSE)</f>
        <v>1</v>
      </c>
      <c r="L64" s="1" t="str">
        <f t="shared" si="5"/>
        <v>Cumple</v>
      </c>
      <c r="M64" s="5">
        <f t="shared" si="6"/>
        <v>0</v>
      </c>
      <c r="N64" s="9">
        <f t="shared" si="0"/>
        <v>150000</v>
      </c>
      <c r="O64" s="4">
        <f>+VLOOKUP(C64,Indicadores!B:P,14,FALSE)</f>
        <v>1</v>
      </c>
      <c r="P64" s="1" t="str">
        <f t="shared" si="7"/>
        <v>Cumple</v>
      </c>
      <c r="Q64" s="5">
        <f t="shared" si="8"/>
        <v>150000</v>
      </c>
      <c r="R64" s="5">
        <f t="shared" si="9"/>
        <v>50000</v>
      </c>
      <c r="S64" s="4">
        <f>+VLOOKUP(C64,Indicadores!B:Q,15,FALSE)</f>
        <v>0.57169999999999999</v>
      </c>
      <c r="T64" s="5" t="str">
        <f t="shared" si="10"/>
        <v>No Cumple</v>
      </c>
      <c r="U64" s="5">
        <f t="shared" si="11"/>
        <v>0</v>
      </c>
      <c r="V64" s="5">
        <f t="shared" si="12"/>
        <v>50000</v>
      </c>
      <c r="W64" s="4">
        <f>+VLOOKUP(C64,Indicadores!B:V,21,FALSE)</f>
        <v>0.99195</v>
      </c>
      <c r="X64" s="35" t="str">
        <f t="shared" si="13"/>
        <v>No Cumple</v>
      </c>
      <c r="Y64" s="2">
        <f t="shared" si="14"/>
        <v>0</v>
      </c>
      <c r="Z64" s="5" t="str">
        <f t="shared" si="15"/>
        <v>SI</v>
      </c>
      <c r="AA64" s="5">
        <f t="shared" si="16"/>
        <v>150000</v>
      </c>
      <c r="AB64" s="1"/>
    </row>
    <row r="65" spans="2:28" x14ac:dyDescent="0.25">
      <c r="B65" s="1" t="s">
        <v>234</v>
      </c>
      <c r="C65" s="1" t="s">
        <v>70</v>
      </c>
      <c r="D65" s="1" t="s">
        <v>243</v>
      </c>
      <c r="E65" s="1" t="s">
        <v>202</v>
      </c>
      <c r="F65" s="2">
        <f t="shared" si="1"/>
        <v>0</v>
      </c>
      <c r="G65" s="4">
        <f>+VLOOKUP(C65,Indicadores!B:C,2,FALSE)</f>
        <v>0.75610909090909084</v>
      </c>
      <c r="H65" s="1" t="str">
        <f t="shared" si="2"/>
        <v>Cumple</v>
      </c>
      <c r="I65" s="5">
        <f t="shared" si="3"/>
        <v>0</v>
      </c>
      <c r="J65" s="9">
        <f t="shared" si="4"/>
        <v>0</v>
      </c>
      <c r="K65" s="4">
        <f>+VLOOKUP(C65,Indicadores!B:F,5,FALSE)</f>
        <v>1</v>
      </c>
      <c r="L65" s="1" t="str">
        <f t="shared" si="5"/>
        <v>Cumple</v>
      </c>
      <c r="M65" s="5">
        <f t="shared" si="6"/>
        <v>0</v>
      </c>
      <c r="N65" s="9">
        <f t="shared" si="0"/>
        <v>150000</v>
      </c>
      <c r="O65" s="4">
        <f>+VLOOKUP(C65,Indicadores!B:P,14,FALSE)</f>
        <v>0.84150000000000003</v>
      </c>
      <c r="P65" s="1" t="str">
        <f t="shared" si="7"/>
        <v>Cumple</v>
      </c>
      <c r="Q65" s="5">
        <f t="shared" si="8"/>
        <v>120000</v>
      </c>
      <c r="R65" s="5">
        <f t="shared" si="9"/>
        <v>50000</v>
      </c>
      <c r="S65" s="4">
        <f>+VLOOKUP(C65,Indicadores!B:Q,15,FALSE)</f>
        <v>0.36493333333333333</v>
      </c>
      <c r="T65" s="5" t="str">
        <f t="shared" si="10"/>
        <v>No Cumple</v>
      </c>
      <c r="U65" s="5">
        <f t="shared" si="11"/>
        <v>0</v>
      </c>
      <c r="V65" s="5">
        <f t="shared" si="12"/>
        <v>50000</v>
      </c>
      <c r="W65" s="4">
        <f>+VLOOKUP(C65,Indicadores!B:V,21,FALSE)</f>
        <v>0.5</v>
      </c>
      <c r="X65" s="35" t="str">
        <f t="shared" si="13"/>
        <v>No Cumple</v>
      </c>
      <c r="Y65" s="2">
        <f t="shared" si="14"/>
        <v>0</v>
      </c>
      <c r="Z65" s="5" t="str">
        <f t="shared" si="15"/>
        <v>SI</v>
      </c>
      <c r="AA65" s="5">
        <f t="shared" si="16"/>
        <v>120000</v>
      </c>
      <c r="AB65" s="1"/>
    </row>
    <row r="66" spans="2:28" x14ac:dyDescent="0.25">
      <c r="B66" s="1" t="s">
        <v>234</v>
      </c>
      <c r="C66" s="1" t="s">
        <v>71</v>
      </c>
      <c r="D66" s="1" t="s">
        <v>243</v>
      </c>
      <c r="E66" s="1" t="s">
        <v>202</v>
      </c>
      <c r="F66" s="2">
        <f t="shared" si="1"/>
        <v>0</v>
      </c>
      <c r="G66" s="4">
        <f>+VLOOKUP(C66,Indicadores!B:C,2,FALSE)</f>
        <v>0.84487272727272711</v>
      </c>
      <c r="H66" s="1" t="str">
        <f t="shared" si="2"/>
        <v>Cumple</v>
      </c>
      <c r="I66" s="5">
        <f t="shared" si="3"/>
        <v>0</v>
      </c>
      <c r="J66" s="9">
        <f t="shared" si="4"/>
        <v>0</v>
      </c>
      <c r="K66" s="4">
        <f>+VLOOKUP(C66,Indicadores!B:F,5,FALSE)</f>
        <v>0.92307692307692313</v>
      </c>
      <c r="L66" s="1" t="str">
        <f t="shared" si="5"/>
        <v>Cumple</v>
      </c>
      <c r="M66" s="5">
        <f t="shared" si="6"/>
        <v>0</v>
      </c>
      <c r="N66" s="9">
        <f t="shared" si="0"/>
        <v>150000</v>
      </c>
      <c r="O66" s="4">
        <f>+VLOOKUP(C66,Indicadores!B:P,14,FALSE)</f>
        <v>0.97829999999999995</v>
      </c>
      <c r="P66" s="1" t="str">
        <f t="shared" si="7"/>
        <v>Cumple</v>
      </c>
      <c r="Q66" s="5">
        <f t="shared" si="8"/>
        <v>0</v>
      </c>
      <c r="R66" s="5">
        <f t="shared" si="9"/>
        <v>50000</v>
      </c>
      <c r="S66" s="4">
        <f>+VLOOKUP(C66,Indicadores!B:Q,15,FALSE)</f>
        <v>0.79596666666666671</v>
      </c>
      <c r="T66" s="5" t="str">
        <f t="shared" si="10"/>
        <v>No Cumple</v>
      </c>
      <c r="U66" s="5">
        <f t="shared" si="11"/>
        <v>0</v>
      </c>
      <c r="V66" s="5">
        <f t="shared" si="12"/>
        <v>50000</v>
      </c>
      <c r="W66" s="4">
        <f>+VLOOKUP(C66,Indicadores!B:V,21,FALSE)</f>
        <v>0.49454999999999999</v>
      </c>
      <c r="X66" s="35" t="str">
        <f t="shared" si="13"/>
        <v>No Cumple</v>
      </c>
      <c r="Y66" s="2">
        <f t="shared" si="14"/>
        <v>0</v>
      </c>
      <c r="Z66" s="5" t="str">
        <f t="shared" si="15"/>
        <v>SI</v>
      </c>
      <c r="AA66" s="5">
        <f t="shared" si="16"/>
        <v>0</v>
      </c>
      <c r="AB66" s="8"/>
    </row>
    <row r="67" spans="2:28" x14ac:dyDescent="0.25">
      <c r="B67" s="1" t="s">
        <v>234</v>
      </c>
      <c r="C67" s="1" t="s">
        <v>72</v>
      </c>
      <c r="D67" s="1" t="s">
        <v>243</v>
      </c>
      <c r="E67" s="1" t="s">
        <v>202</v>
      </c>
      <c r="F67" s="2">
        <f t="shared" si="1"/>
        <v>0</v>
      </c>
      <c r="G67" s="4">
        <f>+VLOOKUP(C67,Indicadores!B:C,2,FALSE)</f>
        <v>0.80184545454545464</v>
      </c>
      <c r="H67" s="1" t="str">
        <f t="shared" si="2"/>
        <v>Cumple</v>
      </c>
      <c r="I67" s="5">
        <f t="shared" si="3"/>
        <v>0</v>
      </c>
      <c r="J67" s="9">
        <f t="shared" si="4"/>
        <v>0</v>
      </c>
      <c r="K67" s="4">
        <f>+VLOOKUP(C67,Indicadores!B:F,5,FALSE)</f>
        <v>1</v>
      </c>
      <c r="L67" s="1" t="str">
        <f t="shared" si="5"/>
        <v>Cumple</v>
      </c>
      <c r="M67" s="5">
        <f t="shared" si="6"/>
        <v>0</v>
      </c>
      <c r="N67" s="9">
        <f t="shared" si="0"/>
        <v>150000</v>
      </c>
      <c r="O67" s="4">
        <f>+VLOOKUP(C67,Indicadores!B:P,14,FALSE)</f>
        <v>1</v>
      </c>
      <c r="P67" s="1" t="str">
        <f t="shared" si="7"/>
        <v>Cumple</v>
      </c>
      <c r="Q67" s="5">
        <f t="shared" si="8"/>
        <v>150000</v>
      </c>
      <c r="R67" s="5">
        <f t="shared" si="9"/>
        <v>50000</v>
      </c>
      <c r="S67" s="4">
        <f>+VLOOKUP(C67,Indicadores!B:Q,15,FALSE)</f>
        <v>0.70413333333333339</v>
      </c>
      <c r="T67" s="5" t="str">
        <f t="shared" si="10"/>
        <v>No Cumple</v>
      </c>
      <c r="U67" s="5">
        <f t="shared" si="11"/>
        <v>0</v>
      </c>
      <c r="V67" s="5">
        <f t="shared" si="12"/>
        <v>50000</v>
      </c>
      <c r="W67" s="4">
        <f>+VLOOKUP(C67,Indicadores!B:V,21,FALSE)</f>
        <v>0.5</v>
      </c>
      <c r="X67" s="35" t="str">
        <f t="shared" si="13"/>
        <v>No Cumple</v>
      </c>
      <c r="Y67" s="2">
        <f t="shared" si="14"/>
        <v>0</v>
      </c>
      <c r="Z67" s="5" t="str">
        <f t="shared" si="15"/>
        <v>SI</v>
      </c>
      <c r="AA67" s="5">
        <f t="shared" si="16"/>
        <v>150000</v>
      </c>
      <c r="AB67" s="1"/>
    </row>
    <row r="68" spans="2:28" x14ac:dyDescent="0.25">
      <c r="B68" s="1" t="s">
        <v>235</v>
      </c>
      <c r="C68" s="1" t="s">
        <v>73</v>
      </c>
      <c r="D68" s="1" t="s">
        <v>243</v>
      </c>
      <c r="E68" s="1" t="s">
        <v>203</v>
      </c>
      <c r="F68" s="2">
        <f t="shared" si="1"/>
        <v>0</v>
      </c>
      <c r="G68" s="4">
        <f>+VLOOKUP(C68,Indicadores!B:C,2,FALSE)</f>
        <v>0.81913636363636355</v>
      </c>
      <c r="H68" s="1" t="str">
        <f t="shared" si="2"/>
        <v>Cumple</v>
      </c>
      <c r="I68" s="5">
        <f t="shared" si="3"/>
        <v>0</v>
      </c>
      <c r="J68" s="9">
        <f t="shared" si="4"/>
        <v>0</v>
      </c>
      <c r="K68" s="4">
        <f>+VLOOKUP(C68,Indicadores!B:F,5,FALSE)</f>
        <v>0.90476190476190477</v>
      </c>
      <c r="L68" s="1" t="str">
        <f t="shared" si="5"/>
        <v>Cumple</v>
      </c>
      <c r="M68" s="5">
        <f t="shared" si="6"/>
        <v>0</v>
      </c>
      <c r="N68" s="9">
        <f t="shared" si="0"/>
        <v>150000</v>
      </c>
      <c r="O68" s="4">
        <f>+VLOOKUP(C68,Indicadores!B:P,14,FALSE)</f>
        <v>1</v>
      </c>
      <c r="P68" s="1" t="str">
        <f t="shared" si="7"/>
        <v>Cumple</v>
      </c>
      <c r="Q68" s="5">
        <f t="shared" si="8"/>
        <v>150000</v>
      </c>
      <c r="R68" s="5">
        <f t="shared" si="9"/>
        <v>50000</v>
      </c>
      <c r="S68" s="4">
        <f>+VLOOKUP(C68,Indicadores!B:Q,15,FALSE)</f>
        <v>0.53403333333333336</v>
      </c>
      <c r="T68" s="5" t="str">
        <f t="shared" si="10"/>
        <v>No Cumple</v>
      </c>
      <c r="U68" s="5">
        <f t="shared" si="11"/>
        <v>0</v>
      </c>
      <c r="V68" s="5">
        <f t="shared" si="12"/>
        <v>50000</v>
      </c>
      <c r="W68" s="4">
        <f>+VLOOKUP(C68,Indicadores!B:V,21,FALSE)</f>
        <v>0.5</v>
      </c>
      <c r="X68" s="35" t="str">
        <f t="shared" si="13"/>
        <v>No Cumple</v>
      </c>
      <c r="Y68" s="2">
        <f t="shared" si="14"/>
        <v>0</v>
      </c>
      <c r="Z68" s="5" t="str">
        <f t="shared" si="15"/>
        <v>SI</v>
      </c>
      <c r="AA68" s="5">
        <f t="shared" si="16"/>
        <v>150000</v>
      </c>
      <c r="AB68" s="1"/>
    </row>
    <row r="69" spans="2:28" x14ac:dyDescent="0.25">
      <c r="B69" s="1" t="s">
        <v>235</v>
      </c>
      <c r="C69" s="1" t="s">
        <v>74</v>
      </c>
      <c r="D69" s="1" t="s">
        <v>243</v>
      </c>
      <c r="E69" s="1" t="s">
        <v>203</v>
      </c>
      <c r="F69" s="2">
        <f t="shared" si="1"/>
        <v>0</v>
      </c>
      <c r="G69" s="4">
        <f>+VLOOKUP(C69,Indicadores!B:C,2,FALSE)</f>
        <v>0.81587272727272719</v>
      </c>
      <c r="H69" s="1" t="str">
        <f t="shared" si="2"/>
        <v>Cumple</v>
      </c>
      <c r="I69" s="5">
        <f t="shared" si="3"/>
        <v>0</v>
      </c>
      <c r="J69" s="9">
        <f t="shared" si="4"/>
        <v>0</v>
      </c>
      <c r="K69" s="4">
        <f>+VLOOKUP(C69,Indicadores!B:F,5,FALSE)</f>
        <v>0.95454545454545459</v>
      </c>
      <c r="L69" s="1" t="str">
        <f t="shared" si="5"/>
        <v>Cumple</v>
      </c>
      <c r="M69" s="5">
        <f t="shared" si="6"/>
        <v>0</v>
      </c>
      <c r="N69" s="9">
        <f t="shared" si="0"/>
        <v>150000</v>
      </c>
      <c r="O69" s="4">
        <v>0.97</v>
      </c>
      <c r="P69" s="1" t="str">
        <f t="shared" si="7"/>
        <v>Cumple</v>
      </c>
      <c r="Q69" s="5">
        <f t="shared" si="8"/>
        <v>145500</v>
      </c>
      <c r="R69" s="5">
        <f t="shared" si="9"/>
        <v>50000</v>
      </c>
      <c r="S69" s="4">
        <f>+VLOOKUP(C69,Indicadores!B:Q,15,FALSE)</f>
        <v>0.5984666666666667</v>
      </c>
      <c r="T69" s="5" t="str">
        <f t="shared" si="10"/>
        <v>No Cumple</v>
      </c>
      <c r="U69" s="5">
        <f t="shared" si="11"/>
        <v>0</v>
      </c>
      <c r="V69" s="5">
        <f t="shared" si="12"/>
        <v>50000</v>
      </c>
      <c r="W69" s="4">
        <f>+VLOOKUP(C69,Indicadores!B:V,21,FALSE)</f>
        <v>0.5</v>
      </c>
      <c r="X69" s="35" t="str">
        <f t="shared" si="13"/>
        <v>No Cumple</v>
      </c>
      <c r="Y69" s="2">
        <f t="shared" si="14"/>
        <v>0</v>
      </c>
      <c r="Z69" s="5" t="str">
        <f t="shared" si="15"/>
        <v>SI</v>
      </c>
      <c r="AA69" s="5">
        <f t="shared" si="16"/>
        <v>145500</v>
      </c>
      <c r="AB69" s="1"/>
    </row>
    <row r="70" spans="2:28" x14ac:dyDescent="0.25">
      <c r="B70" s="1" t="s">
        <v>235</v>
      </c>
      <c r="C70" s="1" t="s">
        <v>75</v>
      </c>
      <c r="D70" s="1" t="s">
        <v>243</v>
      </c>
      <c r="E70" s="1" t="s">
        <v>203</v>
      </c>
      <c r="F70" s="2">
        <f t="shared" si="1"/>
        <v>0</v>
      </c>
      <c r="G70" s="4">
        <v>0.7</v>
      </c>
      <c r="H70" s="1" t="str">
        <f t="shared" si="2"/>
        <v>Cumple</v>
      </c>
      <c r="I70" s="5">
        <f t="shared" si="3"/>
        <v>0</v>
      </c>
      <c r="J70" s="9">
        <f t="shared" si="4"/>
        <v>0</v>
      </c>
      <c r="K70" s="4">
        <f>+VLOOKUP(C70,Indicadores!B:F,5,FALSE)</f>
        <v>0.9642857142857143</v>
      </c>
      <c r="L70" s="1" t="str">
        <f t="shared" si="5"/>
        <v>Cumple</v>
      </c>
      <c r="M70" s="5">
        <f t="shared" si="6"/>
        <v>0</v>
      </c>
      <c r="N70" s="9">
        <f t="shared" ref="N70:N133" si="17">+$F$4*$N$3</f>
        <v>150000</v>
      </c>
      <c r="O70" s="4">
        <f>+VLOOKUP(C70,Indicadores!B:P,14,FALSE)</f>
        <v>1</v>
      </c>
      <c r="P70" s="1" t="str">
        <f t="shared" si="7"/>
        <v>Cumple</v>
      </c>
      <c r="Q70" s="5">
        <f t="shared" si="8"/>
        <v>150000</v>
      </c>
      <c r="R70" s="5">
        <f t="shared" si="9"/>
        <v>50000</v>
      </c>
      <c r="S70" s="4">
        <f>+VLOOKUP(C70,Indicadores!B:Q,15,FALSE)</f>
        <v>0.91533333333333333</v>
      </c>
      <c r="T70" s="5" t="str">
        <f t="shared" si="10"/>
        <v>Cumple</v>
      </c>
      <c r="U70" s="5">
        <f t="shared" si="11"/>
        <v>45000</v>
      </c>
      <c r="V70" s="5">
        <f t="shared" si="12"/>
        <v>50000</v>
      </c>
      <c r="W70" s="4">
        <f>+VLOOKUP(C70,Indicadores!B:V,21,FALSE)</f>
        <v>0.5</v>
      </c>
      <c r="X70" s="35" t="str">
        <f t="shared" si="13"/>
        <v>No Cumple</v>
      </c>
      <c r="Y70" s="2">
        <f t="shared" si="14"/>
        <v>0</v>
      </c>
      <c r="Z70" s="5" t="str">
        <f t="shared" si="15"/>
        <v>SI</v>
      </c>
      <c r="AA70" s="5">
        <f t="shared" si="16"/>
        <v>195000</v>
      </c>
      <c r="AB70" s="1"/>
    </row>
    <row r="71" spans="2:28" x14ac:dyDescent="0.25">
      <c r="B71" s="1" t="s">
        <v>235</v>
      </c>
      <c r="C71" s="1" t="s">
        <v>76</v>
      </c>
      <c r="D71" s="1" t="s">
        <v>243</v>
      </c>
      <c r="E71" s="1" t="s">
        <v>203</v>
      </c>
      <c r="F71" s="2">
        <f t="shared" ref="F71:F134" si="18">+$F$4*$G$3</f>
        <v>0</v>
      </c>
      <c r="G71" s="4">
        <f>+VLOOKUP(C71,Indicadores!B:C,2,FALSE)</f>
        <v>0.80165454545454551</v>
      </c>
      <c r="H71" s="1" t="str">
        <f t="shared" ref="H71:H134" si="19">IF(G71&gt;=70%,"Cumple","No Cumple")</f>
        <v>Cumple</v>
      </c>
      <c r="I71" s="5">
        <f t="shared" ref="I71:I134" si="20">+IF(G71&gt;=95%,F71*G71,0)</f>
        <v>0</v>
      </c>
      <c r="J71" s="9">
        <f t="shared" ref="J71:J134" si="21">+$F$4*$J$3</f>
        <v>0</v>
      </c>
      <c r="K71" s="4">
        <f>+VLOOKUP(C71,Indicadores!B:F,5,FALSE)</f>
        <v>1</v>
      </c>
      <c r="L71" s="1" t="str">
        <f t="shared" ref="L71:L134" si="22">IF(K71&gt;=70%,"Cumple","No Cumple")</f>
        <v>Cumple</v>
      </c>
      <c r="M71" s="5">
        <f t="shared" ref="M71:M134" si="23">+IF(K71&gt;=95%,J71*K71,0)</f>
        <v>0</v>
      </c>
      <c r="N71" s="9">
        <f t="shared" si="17"/>
        <v>150000</v>
      </c>
      <c r="O71" s="4">
        <f>+VLOOKUP(C71,Indicadores!B:P,14,FALSE)</f>
        <v>1</v>
      </c>
      <c r="P71" s="1" t="str">
        <f t="shared" ref="P71:P134" si="24">IF(O71&gt;=80%,"Cumple","No Cumple")</f>
        <v>Cumple</v>
      </c>
      <c r="Q71" s="5">
        <f t="shared" ref="Q71:Q134" si="25">IF(O71=80%,N71*70%,IF(AND(O71&gt;=81%,O71&lt;=90%),N71*80%,IF(AND(O71&gt;=91%,O71&lt;=95%),N71*90%,IF(O71=96%,N71*96%,IF(O71=97%,N71*97%,IF(O71=98%,N71*98%,IF(O71=99%,N71*99%,IF(O71=100%,N71,0))))))))</f>
        <v>150000</v>
      </c>
      <c r="R71" s="5">
        <f t="shared" ref="R71:R134" si="26">+$F$4*$R$3</f>
        <v>50000</v>
      </c>
      <c r="S71" s="4">
        <f>+VLOOKUP(C71,Indicadores!B:Q,15,FALSE)</f>
        <v>0.61340000000000006</v>
      </c>
      <c r="T71" s="5" t="str">
        <f t="shared" ref="T71:T134" si="27">IF(S71&gt;=80%,"Cumple","No Cumple")</f>
        <v>No Cumple</v>
      </c>
      <c r="U71" s="5">
        <f t="shared" ref="U71:U134" si="28">IF(S71=80%,R71*70%,IF(AND(S71&gt;=81%,S71&lt;=90%),R71*80%,IF(AND(S71&gt;=91%,S71&lt;=95%),R71*90%,IF(S71=96%,R71*96%,IF(S71=97%,R71*97%,IF(S71=98%,R71*98%,IF(S71=99%,R71*99%,IF(S71=100%,R71,0))))))))</f>
        <v>0</v>
      </c>
      <c r="V71" s="5">
        <f t="shared" ref="V71:V134" si="29">+$F$4*$V$3</f>
        <v>50000</v>
      </c>
      <c r="W71" s="4">
        <f>+VLOOKUP(C71,Indicadores!B:V,21,FALSE)</f>
        <v>0.5</v>
      </c>
      <c r="X71" s="35" t="str">
        <f t="shared" ref="X71:X134" si="30">IF(W71&gt;=100%,"Cumple","No Cumple")</f>
        <v>No Cumple</v>
      </c>
      <c r="Y71" s="2">
        <f t="shared" ref="Y71:Y134" si="31">IF(W71=100%,V71,0)</f>
        <v>0</v>
      </c>
      <c r="Z71" s="5" t="str">
        <f t="shared" ref="Z71:Z134" si="32">IF(AND(G71&gt;=70%,K71&gt;=70%),"SI","NO")</f>
        <v>SI</v>
      </c>
      <c r="AA71" s="5">
        <f t="shared" ref="AA71:AA134" si="33">+IF(Z71="SI",Q71+U71+Y71,0)</f>
        <v>150000</v>
      </c>
      <c r="AB71" s="1"/>
    </row>
    <row r="72" spans="2:28" x14ac:dyDescent="0.25">
      <c r="B72" s="1" t="s">
        <v>235</v>
      </c>
      <c r="C72" s="1" t="s">
        <v>77</v>
      </c>
      <c r="D72" s="1" t="s">
        <v>243</v>
      </c>
      <c r="E72" s="1" t="s">
        <v>203</v>
      </c>
      <c r="F72" s="2">
        <f t="shared" si="18"/>
        <v>0</v>
      </c>
      <c r="G72" s="4">
        <f>+VLOOKUP(C72,Indicadores!B:C,2,FALSE)</f>
        <v>0.76715454545454553</v>
      </c>
      <c r="H72" s="1" t="str">
        <f t="shared" si="19"/>
        <v>Cumple</v>
      </c>
      <c r="I72" s="5">
        <f t="shared" si="20"/>
        <v>0</v>
      </c>
      <c r="J72" s="9">
        <f t="shared" si="21"/>
        <v>0</v>
      </c>
      <c r="K72" s="4">
        <f>+VLOOKUP(C72,Indicadores!B:F,5,FALSE)</f>
        <v>0.88888888888888884</v>
      </c>
      <c r="L72" s="1" t="str">
        <f t="shared" si="22"/>
        <v>Cumple</v>
      </c>
      <c r="M72" s="5">
        <f t="shared" si="23"/>
        <v>0</v>
      </c>
      <c r="N72" s="9">
        <f t="shared" si="17"/>
        <v>150000</v>
      </c>
      <c r="O72" s="4">
        <f>+VLOOKUP(C72,Indicadores!B:P,14,FALSE)</f>
        <v>1</v>
      </c>
      <c r="P72" s="1" t="str">
        <f t="shared" si="24"/>
        <v>Cumple</v>
      </c>
      <c r="Q72" s="5">
        <f t="shared" si="25"/>
        <v>150000</v>
      </c>
      <c r="R72" s="5">
        <f t="shared" si="26"/>
        <v>50000</v>
      </c>
      <c r="S72" s="4">
        <f>+VLOOKUP(C72,Indicadores!B:Q,15,FALSE)</f>
        <v>0.44443333333333329</v>
      </c>
      <c r="T72" s="5" t="str">
        <f t="shared" si="27"/>
        <v>No Cumple</v>
      </c>
      <c r="U72" s="5">
        <f t="shared" si="28"/>
        <v>0</v>
      </c>
      <c r="V72" s="5">
        <f t="shared" si="29"/>
        <v>50000</v>
      </c>
      <c r="W72" s="4">
        <f>+VLOOKUP(C72,Indicadores!B:V,21,FALSE)</f>
        <v>1</v>
      </c>
      <c r="X72" s="35" t="str">
        <f t="shared" si="30"/>
        <v>Cumple</v>
      </c>
      <c r="Y72" s="2">
        <f t="shared" si="31"/>
        <v>50000</v>
      </c>
      <c r="Z72" s="5" t="str">
        <f t="shared" si="32"/>
        <v>SI</v>
      </c>
      <c r="AA72" s="5">
        <f t="shared" si="33"/>
        <v>200000</v>
      </c>
      <c r="AB72" s="1"/>
    </row>
    <row r="73" spans="2:28" x14ac:dyDescent="0.25">
      <c r="B73" s="1" t="s">
        <v>236</v>
      </c>
      <c r="C73" s="1" t="s">
        <v>78</v>
      </c>
      <c r="D73" s="1" t="s">
        <v>243</v>
      </c>
      <c r="E73" s="1" t="s">
        <v>203</v>
      </c>
      <c r="F73" s="2">
        <f t="shared" si="18"/>
        <v>0</v>
      </c>
      <c r="G73" s="4">
        <f>+VLOOKUP(C73,Indicadores!B:C,2,FALSE)</f>
        <v>0.85227272727272729</v>
      </c>
      <c r="H73" s="1" t="str">
        <f t="shared" si="19"/>
        <v>Cumple</v>
      </c>
      <c r="I73" s="5">
        <f t="shared" si="20"/>
        <v>0</v>
      </c>
      <c r="J73" s="9">
        <f t="shared" si="21"/>
        <v>0</v>
      </c>
      <c r="K73" s="4">
        <f>+VLOOKUP(C73,Indicadores!B:F,5,FALSE)</f>
        <v>1</v>
      </c>
      <c r="L73" s="1" t="str">
        <f t="shared" si="22"/>
        <v>Cumple</v>
      </c>
      <c r="M73" s="5">
        <f t="shared" si="23"/>
        <v>0</v>
      </c>
      <c r="N73" s="9">
        <f t="shared" si="17"/>
        <v>150000</v>
      </c>
      <c r="O73" s="4">
        <f>+VLOOKUP(C73,Indicadores!B:P,14,FALSE)</f>
        <v>1</v>
      </c>
      <c r="P73" s="1" t="str">
        <f t="shared" si="24"/>
        <v>Cumple</v>
      </c>
      <c r="Q73" s="5">
        <f t="shared" si="25"/>
        <v>150000</v>
      </c>
      <c r="R73" s="5">
        <f t="shared" si="26"/>
        <v>50000</v>
      </c>
      <c r="S73" s="4">
        <f>+VLOOKUP(C73,Indicadores!B:Q,15,FALSE)</f>
        <v>0.50556666666666672</v>
      </c>
      <c r="T73" s="5" t="str">
        <f t="shared" si="27"/>
        <v>No Cumple</v>
      </c>
      <c r="U73" s="5">
        <f t="shared" si="28"/>
        <v>0</v>
      </c>
      <c r="V73" s="5">
        <f t="shared" si="29"/>
        <v>50000</v>
      </c>
      <c r="W73" s="4">
        <f>+VLOOKUP(C73,Indicadores!B:V,21,FALSE)</f>
        <v>0.5</v>
      </c>
      <c r="X73" s="35" t="str">
        <f t="shared" si="30"/>
        <v>No Cumple</v>
      </c>
      <c r="Y73" s="2">
        <f t="shared" si="31"/>
        <v>0</v>
      </c>
      <c r="Z73" s="5" t="str">
        <f t="shared" si="32"/>
        <v>SI</v>
      </c>
      <c r="AA73" s="5">
        <f t="shared" si="33"/>
        <v>150000</v>
      </c>
      <c r="AB73" s="1"/>
    </row>
    <row r="74" spans="2:28" x14ac:dyDescent="0.25">
      <c r="B74" s="1" t="s">
        <v>236</v>
      </c>
      <c r="C74" s="1" t="s">
        <v>79</v>
      </c>
      <c r="D74" s="1" t="s">
        <v>243</v>
      </c>
      <c r="E74" s="1" t="s">
        <v>203</v>
      </c>
      <c r="F74" s="2">
        <f t="shared" si="18"/>
        <v>0</v>
      </c>
      <c r="G74" s="4">
        <v>0.8</v>
      </c>
      <c r="H74" s="1" t="str">
        <f t="shared" si="19"/>
        <v>Cumple</v>
      </c>
      <c r="I74" s="5">
        <f t="shared" si="20"/>
        <v>0</v>
      </c>
      <c r="J74" s="9">
        <f t="shared" si="21"/>
        <v>0</v>
      </c>
      <c r="K74" s="4">
        <f>+VLOOKUP(C74,Indicadores!B:F,5,FALSE)</f>
        <v>0.96296296296296291</v>
      </c>
      <c r="L74" s="1" t="str">
        <f t="shared" si="22"/>
        <v>Cumple</v>
      </c>
      <c r="M74" s="5">
        <f t="shared" si="23"/>
        <v>0</v>
      </c>
      <c r="N74" s="9">
        <f t="shared" si="17"/>
        <v>150000</v>
      </c>
      <c r="O74" s="4">
        <v>0.99</v>
      </c>
      <c r="P74" s="1" t="str">
        <f t="shared" si="24"/>
        <v>Cumple</v>
      </c>
      <c r="Q74" s="5">
        <f t="shared" si="25"/>
        <v>148500</v>
      </c>
      <c r="R74" s="5">
        <f t="shared" si="26"/>
        <v>50000</v>
      </c>
      <c r="S74" s="4">
        <f>+VLOOKUP(C74,Indicadores!B:Q,15,FALSE)</f>
        <v>0.58183333333333331</v>
      </c>
      <c r="T74" s="5" t="str">
        <f t="shared" si="27"/>
        <v>No Cumple</v>
      </c>
      <c r="U74" s="5">
        <f t="shared" si="28"/>
        <v>0</v>
      </c>
      <c r="V74" s="5">
        <f t="shared" si="29"/>
        <v>50000</v>
      </c>
      <c r="W74" s="4">
        <f>+VLOOKUP(C74,Indicadores!B:V,21,FALSE)</f>
        <v>0.5</v>
      </c>
      <c r="X74" s="35" t="str">
        <f t="shared" si="30"/>
        <v>No Cumple</v>
      </c>
      <c r="Y74" s="2">
        <f t="shared" si="31"/>
        <v>0</v>
      </c>
      <c r="Z74" s="5" t="str">
        <f t="shared" si="32"/>
        <v>SI</v>
      </c>
      <c r="AA74" s="5">
        <f t="shared" si="33"/>
        <v>148500</v>
      </c>
      <c r="AB74" s="1"/>
    </row>
    <row r="75" spans="2:28" x14ac:dyDescent="0.25">
      <c r="B75" s="1" t="s">
        <v>236</v>
      </c>
      <c r="C75" s="1" t="s">
        <v>80</v>
      </c>
      <c r="D75" s="1" t="s">
        <v>243</v>
      </c>
      <c r="E75" s="1" t="s">
        <v>203</v>
      </c>
      <c r="F75" s="2">
        <f t="shared" si="18"/>
        <v>0</v>
      </c>
      <c r="G75" s="4">
        <f>+VLOOKUP(C75,Indicadores!B:C,2,FALSE)</f>
        <v>0.77189090909090907</v>
      </c>
      <c r="H75" s="1" t="str">
        <f t="shared" si="19"/>
        <v>Cumple</v>
      </c>
      <c r="I75" s="5">
        <f t="shared" si="20"/>
        <v>0</v>
      </c>
      <c r="J75" s="9">
        <f t="shared" si="21"/>
        <v>0</v>
      </c>
      <c r="K75" s="4">
        <f>+VLOOKUP(C75,Indicadores!B:F,5,FALSE)</f>
        <v>0.96</v>
      </c>
      <c r="L75" s="1" t="str">
        <f t="shared" si="22"/>
        <v>Cumple</v>
      </c>
      <c r="M75" s="5">
        <f t="shared" si="23"/>
        <v>0</v>
      </c>
      <c r="N75" s="9">
        <f t="shared" si="17"/>
        <v>150000</v>
      </c>
      <c r="O75" s="4">
        <f>+VLOOKUP(C75,Indicadores!B:P,14,FALSE)</f>
        <v>1</v>
      </c>
      <c r="P75" s="1" t="str">
        <f t="shared" si="24"/>
        <v>Cumple</v>
      </c>
      <c r="Q75" s="5">
        <f t="shared" si="25"/>
        <v>150000</v>
      </c>
      <c r="R75" s="5">
        <f t="shared" si="26"/>
        <v>50000</v>
      </c>
      <c r="S75" s="4">
        <f>+VLOOKUP(C75,Indicadores!B:Q,15,FALSE)</f>
        <v>0.44980000000000003</v>
      </c>
      <c r="T75" s="5" t="str">
        <f t="shared" si="27"/>
        <v>No Cumple</v>
      </c>
      <c r="U75" s="5">
        <f t="shared" si="28"/>
        <v>0</v>
      </c>
      <c r="V75" s="5">
        <f t="shared" si="29"/>
        <v>50000</v>
      </c>
      <c r="W75" s="4">
        <f>+VLOOKUP(C75,Indicadores!B:V,21,FALSE)</f>
        <v>0.5</v>
      </c>
      <c r="X75" s="35" t="str">
        <f t="shared" si="30"/>
        <v>No Cumple</v>
      </c>
      <c r="Y75" s="2">
        <f t="shared" si="31"/>
        <v>0</v>
      </c>
      <c r="Z75" s="5" t="str">
        <f t="shared" si="32"/>
        <v>SI</v>
      </c>
      <c r="AA75" s="5">
        <f t="shared" si="33"/>
        <v>150000</v>
      </c>
      <c r="AB75" s="1"/>
    </row>
    <row r="76" spans="2:28" x14ac:dyDescent="0.25">
      <c r="B76" s="1" t="s">
        <v>236</v>
      </c>
      <c r="C76" s="1" t="s">
        <v>81</v>
      </c>
      <c r="D76" s="1" t="s">
        <v>243</v>
      </c>
      <c r="E76" s="1" t="s">
        <v>203</v>
      </c>
      <c r="F76" s="2">
        <f t="shared" si="18"/>
        <v>0</v>
      </c>
      <c r="G76" s="4">
        <f>+VLOOKUP(C76,Indicadores!B:C,2,FALSE)</f>
        <v>0.79692727272727271</v>
      </c>
      <c r="H76" s="1" t="str">
        <f t="shared" si="19"/>
        <v>Cumple</v>
      </c>
      <c r="I76" s="5">
        <f t="shared" si="20"/>
        <v>0</v>
      </c>
      <c r="J76" s="9">
        <f t="shared" si="21"/>
        <v>0</v>
      </c>
      <c r="K76" s="4">
        <f>+VLOOKUP(C76,Indicadores!B:F,5,FALSE)</f>
        <v>1</v>
      </c>
      <c r="L76" s="1" t="str">
        <f t="shared" si="22"/>
        <v>Cumple</v>
      </c>
      <c r="M76" s="5">
        <f t="shared" si="23"/>
        <v>0</v>
      </c>
      <c r="N76" s="9">
        <f t="shared" si="17"/>
        <v>150000</v>
      </c>
      <c r="O76" s="4">
        <v>0.98</v>
      </c>
      <c r="P76" s="1" t="str">
        <f t="shared" si="24"/>
        <v>Cumple</v>
      </c>
      <c r="Q76" s="5">
        <f t="shared" si="25"/>
        <v>147000</v>
      </c>
      <c r="R76" s="5">
        <f t="shared" si="26"/>
        <v>50000</v>
      </c>
      <c r="S76" s="4">
        <f>+VLOOKUP(C76,Indicadores!B:Q,15,FALSE)</f>
        <v>0.5949333333333332</v>
      </c>
      <c r="T76" s="5" t="str">
        <f t="shared" si="27"/>
        <v>No Cumple</v>
      </c>
      <c r="U76" s="5">
        <f t="shared" si="28"/>
        <v>0</v>
      </c>
      <c r="V76" s="5">
        <f t="shared" si="29"/>
        <v>50000</v>
      </c>
      <c r="W76" s="4">
        <f>+VLOOKUP(C76,Indicadores!B:V,21,FALSE)</f>
        <v>0.49469999999999997</v>
      </c>
      <c r="X76" s="35" t="str">
        <f t="shared" si="30"/>
        <v>No Cumple</v>
      </c>
      <c r="Y76" s="2">
        <f t="shared" si="31"/>
        <v>0</v>
      </c>
      <c r="Z76" s="5" t="str">
        <f t="shared" si="32"/>
        <v>SI</v>
      </c>
      <c r="AA76" s="5">
        <f t="shared" si="33"/>
        <v>147000</v>
      </c>
      <c r="AB76" s="1"/>
    </row>
    <row r="77" spans="2:28" x14ac:dyDescent="0.25">
      <c r="B77" s="1" t="s">
        <v>236</v>
      </c>
      <c r="C77" s="1" t="s">
        <v>82</v>
      </c>
      <c r="D77" s="1" t="s">
        <v>243</v>
      </c>
      <c r="E77" s="1" t="s">
        <v>203</v>
      </c>
      <c r="F77" s="2">
        <f t="shared" si="18"/>
        <v>0</v>
      </c>
      <c r="G77" s="4">
        <f>+VLOOKUP(C77,Indicadores!B:C,2,FALSE)</f>
        <v>0.76105454545454554</v>
      </c>
      <c r="H77" s="1" t="str">
        <f t="shared" si="19"/>
        <v>Cumple</v>
      </c>
      <c r="I77" s="5">
        <f t="shared" si="20"/>
        <v>0</v>
      </c>
      <c r="J77" s="9">
        <f t="shared" si="21"/>
        <v>0</v>
      </c>
      <c r="K77" s="4">
        <f>+VLOOKUP(C77,Indicadores!B:F,5,FALSE)</f>
        <v>1</v>
      </c>
      <c r="L77" s="1" t="str">
        <f t="shared" si="22"/>
        <v>Cumple</v>
      </c>
      <c r="M77" s="5">
        <f t="shared" si="23"/>
        <v>0</v>
      </c>
      <c r="N77" s="9">
        <f t="shared" si="17"/>
        <v>150000</v>
      </c>
      <c r="O77" s="4">
        <v>0.98</v>
      </c>
      <c r="P77" s="1" t="str">
        <f t="shared" si="24"/>
        <v>Cumple</v>
      </c>
      <c r="Q77" s="5">
        <f t="shared" si="25"/>
        <v>147000</v>
      </c>
      <c r="R77" s="5">
        <f t="shared" si="26"/>
        <v>50000</v>
      </c>
      <c r="S77" s="4">
        <f>+VLOOKUP(C77,Indicadores!B:Q,15,FALSE)</f>
        <v>0.51383333333333336</v>
      </c>
      <c r="T77" s="5" t="str">
        <f t="shared" si="27"/>
        <v>No Cumple</v>
      </c>
      <c r="U77" s="5">
        <f t="shared" si="28"/>
        <v>0</v>
      </c>
      <c r="V77" s="5">
        <f t="shared" si="29"/>
        <v>50000</v>
      </c>
      <c r="W77" s="4">
        <f>+VLOOKUP(C77,Indicadores!B:V,21,FALSE)</f>
        <v>0.5</v>
      </c>
      <c r="X77" s="35" t="str">
        <f t="shared" si="30"/>
        <v>No Cumple</v>
      </c>
      <c r="Y77" s="2">
        <f t="shared" si="31"/>
        <v>0</v>
      </c>
      <c r="Z77" s="5" t="str">
        <f t="shared" si="32"/>
        <v>SI</v>
      </c>
      <c r="AA77" s="5">
        <f t="shared" si="33"/>
        <v>147000</v>
      </c>
      <c r="AB77" s="1"/>
    </row>
    <row r="78" spans="2:28" x14ac:dyDescent="0.25">
      <c r="B78" s="1" t="s">
        <v>235</v>
      </c>
      <c r="C78" s="1" t="s">
        <v>83</v>
      </c>
      <c r="D78" s="1" t="s">
        <v>243</v>
      </c>
      <c r="E78" s="1" t="s">
        <v>203</v>
      </c>
      <c r="F78" s="2">
        <f t="shared" si="18"/>
        <v>0</v>
      </c>
      <c r="G78" s="4">
        <f>+VLOOKUP(C78,Indicadores!B:C,2,FALSE)</f>
        <v>0.79361818181818211</v>
      </c>
      <c r="H78" s="1" t="str">
        <f t="shared" si="19"/>
        <v>Cumple</v>
      </c>
      <c r="I78" s="5">
        <f t="shared" si="20"/>
        <v>0</v>
      </c>
      <c r="J78" s="9">
        <f t="shared" si="21"/>
        <v>0</v>
      </c>
      <c r="K78" s="4">
        <f>+VLOOKUP(C78,Indicadores!B:F,5,FALSE)</f>
        <v>1</v>
      </c>
      <c r="L78" s="1" t="str">
        <f t="shared" si="22"/>
        <v>Cumple</v>
      </c>
      <c r="M78" s="5">
        <f t="shared" si="23"/>
        <v>0</v>
      </c>
      <c r="N78" s="9">
        <f t="shared" si="17"/>
        <v>150000</v>
      </c>
      <c r="O78" s="4">
        <f>+VLOOKUP(C78,Indicadores!B:P,14,FALSE)</f>
        <v>0.98650000000000004</v>
      </c>
      <c r="P78" s="1" t="str">
        <f t="shared" si="24"/>
        <v>Cumple</v>
      </c>
      <c r="Q78" s="5">
        <f t="shared" si="25"/>
        <v>0</v>
      </c>
      <c r="R78" s="5">
        <f t="shared" si="26"/>
        <v>50000</v>
      </c>
      <c r="S78" s="4">
        <f>+VLOOKUP(C78,Indicadores!B:Q,15,FALSE)</f>
        <v>0.41783333333333333</v>
      </c>
      <c r="T78" s="5" t="str">
        <f t="shared" si="27"/>
        <v>No Cumple</v>
      </c>
      <c r="U78" s="5">
        <f t="shared" si="28"/>
        <v>0</v>
      </c>
      <c r="V78" s="5">
        <f t="shared" si="29"/>
        <v>50000</v>
      </c>
      <c r="W78" s="4">
        <f>+VLOOKUP(C78,Indicadores!B:V,21,FALSE)</f>
        <v>0.99324999999999997</v>
      </c>
      <c r="X78" s="35" t="str">
        <f t="shared" si="30"/>
        <v>No Cumple</v>
      </c>
      <c r="Y78" s="2">
        <f t="shared" si="31"/>
        <v>0</v>
      </c>
      <c r="Z78" s="5" t="str">
        <f t="shared" si="32"/>
        <v>SI</v>
      </c>
      <c r="AA78" s="5">
        <f t="shared" si="33"/>
        <v>0</v>
      </c>
      <c r="AB78" s="1"/>
    </row>
    <row r="79" spans="2:28" x14ac:dyDescent="0.25">
      <c r="B79" s="1" t="s">
        <v>233</v>
      </c>
      <c r="C79" s="1" t="s">
        <v>84</v>
      </c>
      <c r="D79" s="1" t="s">
        <v>242</v>
      </c>
      <c r="E79" s="1" t="s">
        <v>204</v>
      </c>
      <c r="F79" s="2">
        <f t="shared" si="18"/>
        <v>0</v>
      </c>
      <c r="G79" s="4">
        <f>+VLOOKUP(C79,Indicadores!B:C,2,FALSE)</f>
        <v>0.82598181818181826</v>
      </c>
      <c r="H79" s="1" t="str">
        <f t="shared" si="19"/>
        <v>Cumple</v>
      </c>
      <c r="I79" s="5">
        <f t="shared" si="20"/>
        <v>0</v>
      </c>
      <c r="J79" s="9">
        <f t="shared" si="21"/>
        <v>0</v>
      </c>
      <c r="K79" s="4">
        <f>+VLOOKUP(C79,Indicadores!B:F,5,FALSE)</f>
        <v>0.875</v>
      </c>
      <c r="L79" s="1" t="str">
        <f t="shared" si="22"/>
        <v>Cumple</v>
      </c>
      <c r="M79" s="5">
        <f t="shared" si="23"/>
        <v>0</v>
      </c>
      <c r="N79" s="9">
        <f t="shared" si="17"/>
        <v>150000</v>
      </c>
      <c r="O79" s="4">
        <f>+VLOOKUP(C79,Indicadores!B:P,14,FALSE)</f>
        <v>1</v>
      </c>
      <c r="P79" s="1" t="str">
        <f t="shared" si="24"/>
        <v>Cumple</v>
      </c>
      <c r="Q79" s="5">
        <f t="shared" si="25"/>
        <v>150000</v>
      </c>
      <c r="R79" s="5">
        <f t="shared" si="26"/>
        <v>50000</v>
      </c>
      <c r="S79" s="4">
        <f>+VLOOKUP(C79,Indicadores!B:Q,15,FALSE)</f>
        <v>0.63683333333333336</v>
      </c>
      <c r="T79" s="5" t="str">
        <f t="shared" si="27"/>
        <v>No Cumple</v>
      </c>
      <c r="U79" s="5">
        <f t="shared" si="28"/>
        <v>0</v>
      </c>
      <c r="V79" s="5">
        <f t="shared" si="29"/>
        <v>50000</v>
      </c>
      <c r="W79" s="4">
        <f>+VLOOKUP(C79,Indicadores!B:V,21,FALSE)</f>
        <v>1</v>
      </c>
      <c r="X79" s="35" t="str">
        <f t="shared" si="30"/>
        <v>Cumple</v>
      </c>
      <c r="Y79" s="2">
        <f t="shared" si="31"/>
        <v>50000</v>
      </c>
      <c r="Z79" s="5" t="str">
        <f t="shared" si="32"/>
        <v>SI</v>
      </c>
      <c r="AA79" s="5">
        <f t="shared" si="33"/>
        <v>200000</v>
      </c>
      <c r="AB79" s="1"/>
    </row>
    <row r="80" spans="2:28" x14ac:dyDescent="0.25">
      <c r="B80" s="1" t="s">
        <v>237</v>
      </c>
      <c r="C80" s="1" t="s">
        <v>85</v>
      </c>
      <c r="D80" s="1" t="s">
        <v>242</v>
      </c>
      <c r="E80" s="1" t="s">
        <v>204</v>
      </c>
      <c r="F80" s="2">
        <f t="shared" si="18"/>
        <v>0</v>
      </c>
      <c r="G80" s="4">
        <f>+VLOOKUP(C80,Indicadores!B:C,2,FALSE)</f>
        <v>0.76119999999999988</v>
      </c>
      <c r="H80" s="1" t="str">
        <f t="shared" si="19"/>
        <v>Cumple</v>
      </c>
      <c r="I80" s="5">
        <f t="shared" si="20"/>
        <v>0</v>
      </c>
      <c r="J80" s="9">
        <f t="shared" si="21"/>
        <v>0</v>
      </c>
      <c r="K80" s="4">
        <f>+VLOOKUP(C80,Indicadores!B:F,5,FALSE)</f>
        <v>0.77777777777777779</v>
      </c>
      <c r="L80" s="1" t="str">
        <f t="shared" si="22"/>
        <v>Cumple</v>
      </c>
      <c r="M80" s="5">
        <f t="shared" si="23"/>
        <v>0</v>
      </c>
      <c r="N80" s="9">
        <f t="shared" si="17"/>
        <v>150000</v>
      </c>
      <c r="O80" s="4">
        <f>+VLOOKUP(C80,Indicadores!B:P,14,FALSE)</f>
        <v>0.98509999999999998</v>
      </c>
      <c r="P80" s="1" t="str">
        <f t="shared" si="24"/>
        <v>Cumple</v>
      </c>
      <c r="Q80" s="5">
        <f t="shared" si="25"/>
        <v>0</v>
      </c>
      <c r="R80" s="5">
        <f t="shared" si="26"/>
        <v>50000</v>
      </c>
      <c r="S80" s="4">
        <f>+VLOOKUP(C80,Indicadores!B:Q,15,FALSE)</f>
        <v>0.36109999999999998</v>
      </c>
      <c r="T80" s="5" t="str">
        <f t="shared" si="27"/>
        <v>No Cumple</v>
      </c>
      <c r="U80" s="5">
        <f t="shared" si="28"/>
        <v>0</v>
      </c>
      <c r="V80" s="5">
        <f t="shared" si="29"/>
        <v>50000</v>
      </c>
      <c r="W80" s="4">
        <f>+VLOOKUP(C80,Indicadores!B:V,21,FALSE)</f>
        <v>0.99255000000000004</v>
      </c>
      <c r="X80" s="35" t="str">
        <f t="shared" si="30"/>
        <v>No Cumple</v>
      </c>
      <c r="Y80" s="2">
        <f t="shared" si="31"/>
        <v>0</v>
      </c>
      <c r="Z80" s="5" t="str">
        <f t="shared" si="32"/>
        <v>SI</v>
      </c>
      <c r="AA80" s="5">
        <f t="shared" si="33"/>
        <v>0</v>
      </c>
      <c r="AB80" s="1"/>
    </row>
    <row r="81" spans="2:28" x14ac:dyDescent="0.25">
      <c r="B81" s="1" t="s">
        <v>237</v>
      </c>
      <c r="C81" s="1" t="s">
        <v>86</v>
      </c>
      <c r="D81" s="1" t="s">
        <v>242</v>
      </c>
      <c r="E81" s="1" t="s">
        <v>204</v>
      </c>
      <c r="F81" s="2">
        <f t="shared" si="18"/>
        <v>0</v>
      </c>
      <c r="G81" s="4">
        <f>+VLOOKUP(C81,Indicadores!B:C,2,FALSE)</f>
        <v>0.82840000000000014</v>
      </c>
      <c r="H81" s="1" t="str">
        <f t="shared" si="19"/>
        <v>Cumple</v>
      </c>
      <c r="I81" s="5">
        <f t="shared" si="20"/>
        <v>0</v>
      </c>
      <c r="J81" s="9">
        <f t="shared" si="21"/>
        <v>0</v>
      </c>
      <c r="K81" s="4">
        <f>+VLOOKUP(C81,Indicadores!B:F,5,FALSE)</f>
        <v>1</v>
      </c>
      <c r="L81" s="1" t="str">
        <f t="shared" si="22"/>
        <v>Cumple</v>
      </c>
      <c r="M81" s="5">
        <f t="shared" si="23"/>
        <v>0</v>
      </c>
      <c r="N81" s="9">
        <f t="shared" si="17"/>
        <v>150000</v>
      </c>
      <c r="O81" s="4">
        <f>+VLOOKUP(C81,Indicadores!B:P,14,FALSE)</f>
        <v>1</v>
      </c>
      <c r="P81" s="1" t="str">
        <f t="shared" si="24"/>
        <v>Cumple</v>
      </c>
      <c r="Q81" s="5">
        <f t="shared" si="25"/>
        <v>150000</v>
      </c>
      <c r="R81" s="5">
        <f t="shared" si="26"/>
        <v>50000</v>
      </c>
      <c r="S81" s="4">
        <f>+VLOOKUP(C81,Indicadores!B:Q,15,FALSE)</f>
        <v>0.76429999999999998</v>
      </c>
      <c r="T81" s="5" t="str">
        <f t="shared" si="27"/>
        <v>No Cumple</v>
      </c>
      <c r="U81" s="5">
        <f t="shared" si="28"/>
        <v>0</v>
      </c>
      <c r="V81" s="5">
        <f t="shared" si="29"/>
        <v>50000</v>
      </c>
      <c r="W81" s="4">
        <f>+VLOOKUP(C81,Indicadores!B:V,21,FALSE)</f>
        <v>1</v>
      </c>
      <c r="X81" s="35" t="str">
        <f t="shared" si="30"/>
        <v>Cumple</v>
      </c>
      <c r="Y81" s="2">
        <f t="shared" si="31"/>
        <v>50000</v>
      </c>
      <c r="Z81" s="5" t="str">
        <f t="shared" si="32"/>
        <v>SI</v>
      </c>
      <c r="AA81" s="5">
        <f t="shared" si="33"/>
        <v>200000</v>
      </c>
      <c r="AB81" s="1"/>
    </row>
    <row r="82" spans="2:28" x14ac:dyDescent="0.25">
      <c r="B82" s="1" t="s">
        <v>237</v>
      </c>
      <c r="C82" s="1" t="s">
        <v>87</v>
      </c>
      <c r="D82" s="1" t="s">
        <v>242</v>
      </c>
      <c r="E82" s="1" t="s">
        <v>204</v>
      </c>
      <c r="F82" s="2">
        <f t="shared" si="18"/>
        <v>0</v>
      </c>
      <c r="G82" s="4">
        <f>+VLOOKUP(C82,Indicadores!B:C,2,FALSE)</f>
        <v>0.74914545454545456</v>
      </c>
      <c r="H82" s="1" t="str">
        <f t="shared" si="19"/>
        <v>Cumple</v>
      </c>
      <c r="I82" s="5">
        <f t="shared" si="20"/>
        <v>0</v>
      </c>
      <c r="J82" s="9">
        <f t="shared" si="21"/>
        <v>0</v>
      </c>
      <c r="K82" s="4">
        <f>+VLOOKUP(C82,Indicadores!B:F,5,FALSE)</f>
        <v>0.91666666666666663</v>
      </c>
      <c r="L82" s="1" t="str">
        <f t="shared" si="22"/>
        <v>Cumple</v>
      </c>
      <c r="M82" s="5">
        <f t="shared" si="23"/>
        <v>0</v>
      </c>
      <c r="N82" s="9">
        <f t="shared" si="17"/>
        <v>150000</v>
      </c>
      <c r="O82" s="4">
        <f>+VLOOKUP(C82,Indicadores!B:P,14,FALSE)</f>
        <v>0.97470000000000001</v>
      </c>
      <c r="P82" s="1" t="str">
        <f t="shared" si="24"/>
        <v>Cumple</v>
      </c>
      <c r="Q82" s="5">
        <f t="shared" si="25"/>
        <v>0</v>
      </c>
      <c r="R82" s="5">
        <f t="shared" si="26"/>
        <v>50000</v>
      </c>
      <c r="S82" s="4">
        <f>+VLOOKUP(C82,Indicadores!B:Q,15,FALSE)</f>
        <v>0.39433333333333337</v>
      </c>
      <c r="T82" s="5" t="str">
        <f t="shared" si="27"/>
        <v>No Cumple</v>
      </c>
      <c r="U82" s="5">
        <f t="shared" si="28"/>
        <v>0</v>
      </c>
      <c r="V82" s="5">
        <f t="shared" si="29"/>
        <v>50000</v>
      </c>
      <c r="W82" s="4">
        <f>+VLOOKUP(C82,Indicadores!B:V,21,FALSE)</f>
        <v>0.96199999999999997</v>
      </c>
      <c r="X82" s="35" t="str">
        <f t="shared" si="30"/>
        <v>No Cumple</v>
      </c>
      <c r="Y82" s="2">
        <f t="shared" si="31"/>
        <v>0</v>
      </c>
      <c r="Z82" s="5" t="str">
        <f t="shared" si="32"/>
        <v>SI</v>
      </c>
      <c r="AA82" s="5">
        <f t="shared" si="33"/>
        <v>0</v>
      </c>
      <c r="AB82" s="1"/>
    </row>
    <row r="83" spans="2:28" x14ac:dyDescent="0.25">
      <c r="B83" s="1" t="s">
        <v>237</v>
      </c>
      <c r="C83" s="1" t="s">
        <v>88</v>
      </c>
      <c r="D83" s="1" t="s">
        <v>242</v>
      </c>
      <c r="E83" s="1" t="s">
        <v>204</v>
      </c>
      <c r="F83" s="2">
        <f t="shared" si="18"/>
        <v>0</v>
      </c>
      <c r="G83" s="4">
        <f>+VLOOKUP(C83,Indicadores!B:C,2,FALSE)</f>
        <v>0.78275454545454548</v>
      </c>
      <c r="H83" s="1" t="str">
        <f t="shared" si="19"/>
        <v>Cumple</v>
      </c>
      <c r="I83" s="5">
        <f t="shared" si="20"/>
        <v>0</v>
      </c>
      <c r="J83" s="9">
        <f t="shared" si="21"/>
        <v>0</v>
      </c>
      <c r="K83" s="4">
        <f>+VLOOKUP(C83,Indicadores!B:F,5,FALSE)</f>
        <v>0.875</v>
      </c>
      <c r="L83" s="1" t="str">
        <f t="shared" si="22"/>
        <v>Cumple</v>
      </c>
      <c r="M83" s="5">
        <f t="shared" si="23"/>
        <v>0</v>
      </c>
      <c r="N83" s="9">
        <f t="shared" si="17"/>
        <v>150000</v>
      </c>
      <c r="O83" s="4">
        <f>+VLOOKUP(C83,Indicadores!B:P,14,FALSE)</f>
        <v>1</v>
      </c>
      <c r="P83" s="1" t="str">
        <f t="shared" si="24"/>
        <v>Cumple</v>
      </c>
      <c r="Q83" s="5">
        <f t="shared" si="25"/>
        <v>150000</v>
      </c>
      <c r="R83" s="5">
        <f t="shared" si="26"/>
        <v>50000</v>
      </c>
      <c r="S83" s="4">
        <f>+VLOOKUP(C83,Indicadores!B:Q,15,FALSE)</f>
        <v>0.40563333333333335</v>
      </c>
      <c r="T83" s="5" t="str">
        <f t="shared" si="27"/>
        <v>No Cumple</v>
      </c>
      <c r="U83" s="5">
        <f t="shared" si="28"/>
        <v>0</v>
      </c>
      <c r="V83" s="5">
        <f t="shared" si="29"/>
        <v>50000</v>
      </c>
      <c r="W83" s="4">
        <f>+VLOOKUP(C83,Indicadores!B:V,21,FALSE)</f>
        <v>1</v>
      </c>
      <c r="X83" s="35" t="str">
        <f t="shared" si="30"/>
        <v>Cumple</v>
      </c>
      <c r="Y83" s="2">
        <f t="shared" si="31"/>
        <v>50000</v>
      </c>
      <c r="Z83" s="5" t="str">
        <f t="shared" si="32"/>
        <v>SI</v>
      </c>
      <c r="AA83" s="5">
        <f t="shared" si="33"/>
        <v>200000</v>
      </c>
      <c r="AB83" s="1"/>
    </row>
    <row r="84" spans="2:28" x14ac:dyDescent="0.25">
      <c r="B84" s="1" t="s">
        <v>237</v>
      </c>
      <c r="C84" s="1" t="s">
        <v>89</v>
      </c>
      <c r="D84" s="1" t="s">
        <v>242</v>
      </c>
      <c r="E84" s="1" t="s">
        <v>204</v>
      </c>
      <c r="F84" s="2">
        <f t="shared" si="18"/>
        <v>0</v>
      </c>
      <c r="G84" s="4">
        <f>+VLOOKUP(C84,Indicadores!B:C,2,FALSE)</f>
        <v>0.72260000000000002</v>
      </c>
      <c r="H84" s="1" t="str">
        <f t="shared" si="19"/>
        <v>Cumple</v>
      </c>
      <c r="I84" s="5">
        <f t="shared" si="20"/>
        <v>0</v>
      </c>
      <c r="J84" s="9">
        <f t="shared" si="21"/>
        <v>0</v>
      </c>
      <c r="K84" s="4">
        <f>+VLOOKUP(C84,Indicadores!B:F,5,FALSE)</f>
        <v>0.8</v>
      </c>
      <c r="L84" s="1" t="str">
        <f t="shared" si="22"/>
        <v>Cumple</v>
      </c>
      <c r="M84" s="5">
        <f t="shared" si="23"/>
        <v>0</v>
      </c>
      <c r="N84" s="9">
        <f t="shared" si="17"/>
        <v>150000</v>
      </c>
      <c r="O84" s="4">
        <f>+VLOOKUP(C84,Indicadores!B:P,14,FALSE)</f>
        <v>0.98280000000000001</v>
      </c>
      <c r="P84" s="1" t="str">
        <f t="shared" si="24"/>
        <v>Cumple</v>
      </c>
      <c r="Q84" s="5">
        <f t="shared" si="25"/>
        <v>0</v>
      </c>
      <c r="R84" s="5">
        <f t="shared" si="26"/>
        <v>50000</v>
      </c>
      <c r="S84" s="4">
        <f>+VLOOKUP(C84,Indicadores!B:Q,15,FALSE)</f>
        <v>0.3276</v>
      </c>
      <c r="T84" s="5" t="str">
        <f t="shared" si="27"/>
        <v>No Cumple</v>
      </c>
      <c r="U84" s="5">
        <f t="shared" si="28"/>
        <v>0</v>
      </c>
      <c r="V84" s="5">
        <f t="shared" si="29"/>
        <v>50000</v>
      </c>
      <c r="W84" s="4">
        <f>+VLOOKUP(C84,Indicadores!B:V,21,FALSE)</f>
        <v>0.98280000000000001</v>
      </c>
      <c r="X84" s="35" t="str">
        <f t="shared" si="30"/>
        <v>No Cumple</v>
      </c>
      <c r="Y84" s="2">
        <f t="shared" si="31"/>
        <v>0</v>
      </c>
      <c r="Z84" s="5" t="str">
        <f t="shared" si="32"/>
        <v>SI</v>
      </c>
      <c r="AA84" s="5">
        <f t="shared" si="33"/>
        <v>0</v>
      </c>
      <c r="AB84" s="1"/>
    </row>
    <row r="85" spans="2:28" x14ac:dyDescent="0.25">
      <c r="B85" s="1" t="s">
        <v>237</v>
      </c>
      <c r="C85" s="1" t="s">
        <v>90</v>
      </c>
      <c r="D85" s="1" t="s">
        <v>242</v>
      </c>
      <c r="E85" s="1" t="s">
        <v>204</v>
      </c>
      <c r="F85" s="2">
        <f t="shared" si="18"/>
        <v>0</v>
      </c>
      <c r="G85" s="4">
        <f>+VLOOKUP(C85,Indicadores!B:C,2,FALSE)</f>
        <v>0.74503636363636361</v>
      </c>
      <c r="H85" s="1" t="str">
        <f t="shared" si="19"/>
        <v>Cumple</v>
      </c>
      <c r="I85" s="5">
        <f t="shared" si="20"/>
        <v>0</v>
      </c>
      <c r="J85" s="9">
        <f t="shared" si="21"/>
        <v>0</v>
      </c>
      <c r="K85" s="4">
        <f>+VLOOKUP(C85,Indicadores!B:F,5,FALSE)</f>
        <v>0.94117647058823528</v>
      </c>
      <c r="L85" s="1" t="str">
        <f t="shared" si="22"/>
        <v>Cumple</v>
      </c>
      <c r="M85" s="5">
        <f t="shared" si="23"/>
        <v>0</v>
      </c>
      <c r="N85" s="9">
        <f t="shared" si="17"/>
        <v>150000</v>
      </c>
      <c r="O85" s="4">
        <f>+VLOOKUP(C85,Indicadores!B:P,14,FALSE)</f>
        <v>1</v>
      </c>
      <c r="P85" s="1" t="str">
        <f t="shared" si="24"/>
        <v>Cumple</v>
      </c>
      <c r="Q85" s="5">
        <f t="shared" si="25"/>
        <v>150000</v>
      </c>
      <c r="R85" s="5">
        <f t="shared" si="26"/>
        <v>50000</v>
      </c>
      <c r="S85" s="4">
        <f>+VLOOKUP(C85,Indicadores!B:Q,15,FALSE)</f>
        <v>0.33333333333333331</v>
      </c>
      <c r="T85" s="5" t="str">
        <f t="shared" si="27"/>
        <v>No Cumple</v>
      </c>
      <c r="U85" s="5">
        <f t="shared" si="28"/>
        <v>0</v>
      </c>
      <c r="V85" s="5">
        <f t="shared" si="29"/>
        <v>50000</v>
      </c>
      <c r="W85" s="4">
        <f>+VLOOKUP(C85,Indicadores!B:V,21,FALSE)</f>
        <v>1</v>
      </c>
      <c r="X85" s="35" t="str">
        <f t="shared" si="30"/>
        <v>Cumple</v>
      </c>
      <c r="Y85" s="2">
        <f t="shared" si="31"/>
        <v>50000</v>
      </c>
      <c r="Z85" s="5" t="str">
        <f t="shared" si="32"/>
        <v>SI</v>
      </c>
      <c r="AA85" s="5">
        <f t="shared" si="33"/>
        <v>200000</v>
      </c>
      <c r="AB85" s="1"/>
    </row>
    <row r="86" spans="2:28" x14ac:dyDescent="0.25">
      <c r="B86" s="1" t="s">
        <v>237</v>
      </c>
      <c r="C86" s="1" t="s">
        <v>91</v>
      </c>
      <c r="D86" s="1" t="s">
        <v>242</v>
      </c>
      <c r="E86" s="1" t="s">
        <v>204</v>
      </c>
      <c r="F86" s="2">
        <f t="shared" si="18"/>
        <v>0</v>
      </c>
      <c r="G86" s="4">
        <f>+VLOOKUP(C86,Indicadores!B:C,2,FALSE)</f>
        <v>0.79571818181818188</v>
      </c>
      <c r="H86" s="1" t="str">
        <f t="shared" si="19"/>
        <v>Cumple</v>
      </c>
      <c r="I86" s="5">
        <f t="shared" si="20"/>
        <v>0</v>
      </c>
      <c r="J86" s="9">
        <f t="shared" si="21"/>
        <v>0</v>
      </c>
      <c r="K86" s="4">
        <f>+VLOOKUP(C86,Indicadores!B:F,5,FALSE)</f>
        <v>0.94117647058823528</v>
      </c>
      <c r="L86" s="1" t="str">
        <f t="shared" si="22"/>
        <v>Cumple</v>
      </c>
      <c r="M86" s="5">
        <f t="shared" si="23"/>
        <v>0</v>
      </c>
      <c r="N86" s="9">
        <f t="shared" si="17"/>
        <v>150000</v>
      </c>
      <c r="O86" s="4">
        <f>+VLOOKUP(C86,Indicadores!B:P,14,FALSE)</f>
        <v>1</v>
      </c>
      <c r="P86" s="1" t="str">
        <f t="shared" si="24"/>
        <v>Cumple</v>
      </c>
      <c r="Q86" s="5">
        <f t="shared" si="25"/>
        <v>150000</v>
      </c>
      <c r="R86" s="5">
        <f t="shared" si="26"/>
        <v>50000</v>
      </c>
      <c r="S86" s="4">
        <f>+VLOOKUP(C86,Indicadores!B:Q,15,FALSE)</f>
        <v>0.42996666666666666</v>
      </c>
      <c r="T86" s="5" t="str">
        <f t="shared" si="27"/>
        <v>No Cumple</v>
      </c>
      <c r="U86" s="5">
        <f t="shared" si="28"/>
        <v>0</v>
      </c>
      <c r="V86" s="5">
        <f t="shared" si="29"/>
        <v>50000</v>
      </c>
      <c r="W86" s="4">
        <f>+VLOOKUP(C86,Indicadores!B:V,21,FALSE)</f>
        <v>1</v>
      </c>
      <c r="X86" s="35" t="str">
        <f t="shared" si="30"/>
        <v>Cumple</v>
      </c>
      <c r="Y86" s="2">
        <f t="shared" si="31"/>
        <v>50000</v>
      </c>
      <c r="Z86" s="5" t="str">
        <f t="shared" si="32"/>
        <v>SI</v>
      </c>
      <c r="AA86" s="5">
        <f t="shared" si="33"/>
        <v>200000</v>
      </c>
      <c r="AB86" s="1"/>
    </row>
    <row r="87" spans="2:28" x14ac:dyDescent="0.25">
      <c r="B87" s="1" t="s">
        <v>237</v>
      </c>
      <c r="C87" s="1" t="s">
        <v>92</v>
      </c>
      <c r="D87" s="1" t="s">
        <v>242</v>
      </c>
      <c r="E87" s="1" t="s">
        <v>204</v>
      </c>
      <c r="F87" s="2">
        <f t="shared" si="18"/>
        <v>0</v>
      </c>
      <c r="G87" s="4">
        <f>+VLOOKUP(C87,Indicadores!B:C,2,FALSE)</f>
        <v>0.82714545454545452</v>
      </c>
      <c r="H87" s="1" t="str">
        <f t="shared" si="19"/>
        <v>Cumple</v>
      </c>
      <c r="I87" s="5">
        <f t="shared" si="20"/>
        <v>0</v>
      </c>
      <c r="J87" s="9">
        <f t="shared" si="21"/>
        <v>0</v>
      </c>
      <c r="K87" s="4">
        <f>+VLOOKUP(C87,Indicadores!B:F,5,FALSE)</f>
        <v>0.84615384615384615</v>
      </c>
      <c r="L87" s="1" t="str">
        <f t="shared" si="22"/>
        <v>Cumple</v>
      </c>
      <c r="M87" s="5">
        <f t="shared" si="23"/>
        <v>0</v>
      </c>
      <c r="N87" s="9">
        <f t="shared" si="17"/>
        <v>150000</v>
      </c>
      <c r="O87" s="4">
        <f>+VLOOKUP(C87,Indicadores!B:P,14,FALSE)</f>
        <v>1</v>
      </c>
      <c r="P87" s="1" t="str">
        <f t="shared" si="24"/>
        <v>Cumple</v>
      </c>
      <c r="Q87" s="5">
        <f t="shared" si="25"/>
        <v>150000</v>
      </c>
      <c r="R87" s="5">
        <f t="shared" si="26"/>
        <v>50000</v>
      </c>
      <c r="S87" s="4">
        <f>+VLOOKUP(C87,Indicadores!B:Q,15,FALSE)</f>
        <v>0.42756666666666665</v>
      </c>
      <c r="T87" s="5" t="str">
        <f t="shared" si="27"/>
        <v>No Cumple</v>
      </c>
      <c r="U87" s="5">
        <f t="shared" si="28"/>
        <v>0</v>
      </c>
      <c r="V87" s="5">
        <f t="shared" si="29"/>
        <v>50000</v>
      </c>
      <c r="W87" s="4">
        <f>+VLOOKUP(C87,Indicadores!B:V,21,FALSE)</f>
        <v>1</v>
      </c>
      <c r="X87" s="35" t="str">
        <f t="shared" si="30"/>
        <v>Cumple</v>
      </c>
      <c r="Y87" s="2">
        <f t="shared" si="31"/>
        <v>50000</v>
      </c>
      <c r="Z87" s="5" t="str">
        <f t="shared" si="32"/>
        <v>SI</v>
      </c>
      <c r="AA87" s="5">
        <f t="shared" si="33"/>
        <v>200000</v>
      </c>
      <c r="AB87" s="1"/>
    </row>
    <row r="88" spans="2:28" x14ac:dyDescent="0.25">
      <c r="B88" s="1" t="s">
        <v>233</v>
      </c>
      <c r="C88" s="1" t="s">
        <v>93</v>
      </c>
      <c r="D88" s="1" t="s">
        <v>242</v>
      </c>
      <c r="E88" s="1" t="s">
        <v>204</v>
      </c>
      <c r="F88" s="2">
        <f t="shared" si="18"/>
        <v>0</v>
      </c>
      <c r="G88" s="4">
        <v>0.7</v>
      </c>
      <c r="H88" s="1" t="str">
        <f t="shared" si="19"/>
        <v>Cumple</v>
      </c>
      <c r="I88" s="5">
        <f t="shared" si="20"/>
        <v>0</v>
      </c>
      <c r="J88" s="9">
        <f t="shared" si="21"/>
        <v>0</v>
      </c>
      <c r="K88" s="4">
        <f>+VLOOKUP(C88,Indicadores!B:F,5,FALSE)</f>
        <v>1</v>
      </c>
      <c r="L88" s="1" t="str">
        <f t="shared" si="22"/>
        <v>Cumple</v>
      </c>
      <c r="M88" s="5">
        <f t="shared" si="23"/>
        <v>0</v>
      </c>
      <c r="N88" s="9">
        <f t="shared" si="17"/>
        <v>150000</v>
      </c>
      <c r="O88" s="4">
        <f>+VLOOKUP(C88,Indicadores!B:P,14,FALSE)</f>
        <v>1</v>
      </c>
      <c r="P88" s="1" t="str">
        <f t="shared" si="24"/>
        <v>Cumple</v>
      </c>
      <c r="Q88" s="5">
        <f t="shared" si="25"/>
        <v>150000</v>
      </c>
      <c r="R88" s="5">
        <f t="shared" si="26"/>
        <v>50000</v>
      </c>
      <c r="S88" s="4">
        <f>+VLOOKUP(C88,Indicadores!B:Q,15,FALSE)</f>
        <v>0.85293333333333321</v>
      </c>
      <c r="T88" s="5" t="str">
        <f t="shared" si="27"/>
        <v>Cumple</v>
      </c>
      <c r="U88" s="5">
        <f t="shared" si="28"/>
        <v>40000</v>
      </c>
      <c r="V88" s="5">
        <f t="shared" si="29"/>
        <v>50000</v>
      </c>
      <c r="W88" s="4">
        <f>+VLOOKUP(C88,Indicadores!B:V,21,FALSE)</f>
        <v>1</v>
      </c>
      <c r="X88" s="35" t="str">
        <f t="shared" si="30"/>
        <v>Cumple</v>
      </c>
      <c r="Y88" s="2">
        <f t="shared" si="31"/>
        <v>50000</v>
      </c>
      <c r="Z88" s="5" t="str">
        <f t="shared" si="32"/>
        <v>SI</v>
      </c>
      <c r="AA88" s="5">
        <f t="shared" si="33"/>
        <v>240000</v>
      </c>
      <c r="AB88" s="1"/>
    </row>
    <row r="89" spans="2:28" x14ac:dyDescent="0.25">
      <c r="B89" s="1" t="s">
        <v>233</v>
      </c>
      <c r="C89" s="1" t="s">
        <v>94</v>
      </c>
      <c r="D89" s="1" t="s">
        <v>242</v>
      </c>
      <c r="E89" s="1" t="s">
        <v>204</v>
      </c>
      <c r="F89" s="2">
        <f t="shared" si="18"/>
        <v>0</v>
      </c>
      <c r="G89" s="4">
        <f>+VLOOKUP(C89,Indicadores!B:C,2,FALSE)</f>
        <v>0.74595454545454554</v>
      </c>
      <c r="H89" s="1" t="str">
        <f t="shared" si="19"/>
        <v>Cumple</v>
      </c>
      <c r="I89" s="5">
        <f t="shared" si="20"/>
        <v>0</v>
      </c>
      <c r="J89" s="9">
        <f t="shared" si="21"/>
        <v>0</v>
      </c>
      <c r="K89" s="4">
        <f>+VLOOKUP(C89,Indicadores!B:F,5,FALSE)</f>
        <v>1</v>
      </c>
      <c r="L89" s="1" t="str">
        <f t="shared" si="22"/>
        <v>Cumple</v>
      </c>
      <c r="M89" s="5">
        <f t="shared" si="23"/>
        <v>0</v>
      </c>
      <c r="N89" s="9">
        <f t="shared" si="17"/>
        <v>150000</v>
      </c>
      <c r="O89" s="4">
        <f>+VLOOKUP(C89,Indicadores!B:P,14,FALSE)</f>
        <v>0.95540000000000003</v>
      </c>
      <c r="P89" s="1" t="str">
        <f t="shared" si="24"/>
        <v>Cumple</v>
      </c>
      <c r="Q89" s="5">
        <f t="shared" si="25"/>
        <v>0</v>
      </c>
      <c r="R89" s="5">
        <f t="shared" si="26"/>
        <v>50000</v>
      </c>
      <c r="S89" s="4">
        <f>+VLOOKUP(C89,Indicadores!B:Q,15,FALSE)</f>
        <v>0.37683333333333335</v>
      </c>
      <c r="T89" s="5" t="str">
        <f t="shared" si="27"/>
        <v>No Cumple</v>
      </c>
      <c r="U89" s="5">
        <f t="shared" si="28"/>
        <v>0</v>
      </c>
      <c r="V89" s="5">
        <f t="shared" si="29"/>
        <v>50000</v>
      </c>
      <c r="W89" s="4">
        <f>+VLOOKUP(C89,Indicadores!B:V,21,FALSE)</f>
        <v>1</v>
      </c>
      <c r="X89" s="35" t="str">
        <f t="shared" si="30"/>
        <v>Cumple</v>
      </c>
      <c r="Y89" s="2">
        <f t="shared" si="31"/>
        <v>50000</v>
      </c>
      <c r="Z89" s="5" t="str">
        <f t="shared" si="32"/>
        <v>SI</v>
      </c>
      <c r="AA89" s="5">
        <f t="shared" si="33"/>
        <v>50000</v>
      </c>
      <c r="AB89" s="1"/>
    </row>
    <row r="90" spans="2:28" x14ac:dyDescent="0.25">
      <c r="B90" s="1" t="s">
        <v>233</v>
      </c>
      <c r="C90" s="1" t="s">
        <v>95</v>
      </c>
      <c r="D90" s="1" t="s">
        <v>242</v>
      </c>
      <c r="E90" s="1" t="s">
        <v>204</v>
      </c>
      <c r="F90" s="2">
        <f t="shared" si="18"/>
        <v>0</v>
      </c>
      <c r="G90" s="4">
        <f>+VLOOKUP(C90,Indicadores!B:C,2,FALSE)</f>
        <v>0.67727272727272714</v>
      </c>
      <c r="H90" s="1" t="str">
        <f t="shared" si="19"/>
        <v>No Cumple</v>
      </c>
      <c r="I90" s="5">
        <f t="shared" si="20"/>
        <v>0</v>
      </c>
      <c r="J90" s="9">
        <f t="shared" si="21"/>
        <v>0</v>
      </c>
      <c r="K90" s="4">
        <f>+VLOOKUP(C90,Indicadores!B:F,5,FALSE)</f>
        <v>1</v>
      </c>
      <c r="L90" s="1" t="str">
        <f t="shared" si="22"/>
        <v>Cumple</v>
      </c>
      <c r="M90" s="5">
        <f t="shared" si="23"/>
        <v>0</v>
      </c>
      <c r="N90" s="9">
        <f t="shared" si="17"/>
        <v>150000</v>
      </c>
      <c r="O90" s="4">
        <f>+VLOOKUP(C90,Indicadores!B:P,14,FALSE)</f>
        <v>0.85</v>
      </c>
      <c r="P90" s="1" t="str">
        <f t="shared" si="24"/>
        <v>Cumple</v>
      </c>
      <c r="Q90" s="5">
        <f t="shared" si="25"/>
        <v>120000</v>
      </c>
      <c r="R90" s="5">
        <f t="shared" si="26"/>
        <v>50000</v>
      </c>
      <c r="S90" s="4">
        <f>+VLOOKUP(C90,Indicadores!B:Q,15,FALSE)</f>
        <v>0.31109999999999999</v>
      </c>
      <c r="T90" s="5" t="str">
        <f t="shared" si="27"/>
        <v>No Cumple</v>
      </c>
      <c r="U90" s="5">
        <f t="shared" si="28"/>
        <v>0</v>
      </c>
      <c r="V90" s="5">
        <f t="shared" si="29"/>
        <v>50000</v>
      </c>
      <c r="W90" s="4">
        <f>+VLOOKUP(C90,Indicadores!B:V,21,FALSE)</f>
        <v>0.97499999999999998</v>
      </c>
      <c r="X90" s="35" t="str">
        <f t="shared" si="30"/>
        <v>No Cumple</v>
      </c>
      <c r="Y90" s="2">
        <f t="shared" si="31"/>
        <v>0</v>
      </c>
      <c r="Z90" s="5" t="str">
        <f t="shared" si="32"/>
        <v>NO</v>
      </c>
      <c r="AA90" s="5">
        <f t="shared" si="33"/>
        <v>0</v>
      </c>
      <c r="AB90" s="1"/>
    </row>
    <row r="91" spans="2:28" x14ac:dyDescent="0.25">
      <c r="B91" s="1" t="s">
        <v>233</v>
      </c>
      <c r="C91" s="1" t="s">
        <v>96</v>
      </c>
      <c r="D91" s="1" t="s">
        <v>242</v>
      </c>
      <c r="E91" s="1" t="s">
        <v>204</v>
      </c>
      <c r="F91" s="2">
        <f t="shared" si="18"/>
        <v>0</v>
      </c>
      <c r="G91" s="4">
        <f>+VLOOKUP(C91,Indicadores!B:C,2,FALSE)</f>
        <v>0.38425454545454546</v>
      </c>
      <c r="H91" s="1" t="str">
        <f t="shared" si="19"/>
        <v>No Cumple</v>
      </c>
      <c r="I91" s="5">
        <f t="shared" si="20"/>
        <v>0</v>
      </c>
      <c r="J91" s="9">
        <f t="shared" si="21"/>
        <v>0</v>
      </c>
      <c r="K91" s="4">
        <f>+VLOOKUP(C91,Indicadores!B:F,5,FALSE)</f>
        <v>0.88235294117647056</v>
      </c>
      <c r="L91" s="1" t="str">
        <f t="shared" si="22"/>
        <v>Cumple</v>
      </c>
      <c r="M91" s="5">
        <f t="shared" si="23"/>
        <v>0</v>
      </c>
      <c r="N91" s="9">
        <f t="shared" si="17"/>
        <v>150000</v>
      </c>
      <c r="O91" s="4">
        <f>+VLOOKUP(C91,Indicadores!B:P,14,FALSE)</f>
        <v>0.04</v>
      </c>
      <c r="P91" s="1" t="str">
        <f t="shared" si="24"/>
        <v>No Cumple</v>
      </c>
      <c r="Q91" s="5">
        <f t="shared" si="25"/>
        <v>0</v>
      </c>
      <c r="R91" s="5">
        <f t="shared" si="26"/>
        <v>50000</v>
      </c>
      <c r="S91" s="4">
        <f>+VLOOKUP(C91,Indicadores!B:Q,15,FALSE)</f>
        <v>0.17169999999999999</v>
      </c>
      <c r="T91" s="5" t="str">
        <f t="shared" si="27"/>
        <v>No Cumple</v>
      </c>
      <c r="U91" s="5">
        <f t="shared" si="28"/>
        <v>0</v>
      </c>
      <c r="V91" s="5">
        <f t="shared" si="29"/>
        <v>50000</v>
      </c>
      <c r="W91" s="4">
        <f>+VLOOKUP(C91,Indicadores!B:V,21,FALSE)</f>
        <v>0.94664999999999999</v>
      </c>
      <c r="X91" s="35" t="str">
        <f t="shared" si="30"/>
        <v>No Cumple</v>
      </c>
      <c r="Y91" s="2">
        <f t="shared" si="31"/>
        <v>0</v>
      </c>
      <c r="Z91" s="5" t="str">
        <f t="shared" si="32"/>
        <v>NO</v>
      </c>
      <c r="AA91" s="5">
        <f t="shared" si="33"/>
        <v>0</v>
      </c>
      <c r="AB91" s="1"/>
    </row>
    <row r="92" spans="2:28" x14ac:dyDescent="0.25">
      <c r="B92" s="1" t="s">
        <v>237</v>
      </c>
      <c r="C92" s="1" t="s">
        <v>97</v>
      </c>
      <c r="D92" s="1" t="s">
        <v>242</v>
      </c>
      <c r="E92" s="1" t="s">
        <v>204</v>
      </c>
      <c r="F92" s="2">
        <f t="shared" si="18"/>
        <v>0</v>
      </c>
      <c r="G92" s="4">
        <f>+VLOOKUP(C92,Indicadores!B:C,2,FALSE)</f>
        <v>0.82099999999999984</v>
      </c>
      <c r="H92" s="1" t="str">
        <f t="shared" si="19"/>
        <v>Cumple</v>
      </c>
      <c r="I92" s="5">
        <f t="shared" si="20"/>
        <v>0</v>
      </c>
      <c r="J92" s="9">
        <f t="shared" si="21"/>
        <v>0</v>
      </c>
      <c r="K92" s="4">
        <f>+VLOOKUP(C92,Indicadores!B:F,5,FALSE)</f>
        <v>1</v>
      </c>
      <c r="L92" s="1" t="str">
        <f t="shared" si="22"/>
        <v>Cumple</v>
      </c>
      <c r="M92" s="5">
        <f t="shared" si="23"/>
        <v>0</v>
      </c>
      <c r="N92" s="9">
        <f t="shared" si="17"/>
        <v>150000</v>
      </c>
      <c r="O92" s="4">
        <f>+VLOOKUP(C92,Indicadores!B:P,14,FALSE)</f>
        <v>1</v>
      </c>
      <c r="P92" s="1" t="str">
        <f t="shared" si="24"/>
        <v>Cumple</v>
      </c>
      <c r="Q92" s="5">
        <f t="shared" si="25"/>
        <v>150000</v>
      </c>
      <c r="R92" s="5">
        <f t="shared" si="26"/>
        <v>50000</v>
      </c>
      <c r="S92" s="4">
        <f>+VLOOKUP(C92,Indicadores!B:Q,15,FALSE)</f>
        <v>0.68066666666666664</v>
      </c>
      <c r="T92" s="5" t="str">
        <f t="shared" si="27"/>
        <v>No Cumple</v>
      </c>
      <c r="U92" s="5">
        <f t="shared" si="28"/>
        <v>0</v>
      </c>
      <c r="V92" s="5">
        <f t="shared" si="29"/>
        <v>50000</v>
      </c>
      <c r="W92" s="4">
        <f>+VLOOKUP(C92,Indicadores!B:V,21,FALSE)</f>
        <v>1</v>
      </c>
      <c r="X92" s="35" t="str">
        <f t="shared" si="30"/>
        <v>Cumple</v>
      </c>
      <c r="Y92" s="2">
        <f t="shared" si="31"/>
        <v>50000</v>
      </c>
      <c r="Z92" s="5" t="str">
        <f t="shared" si="32"/>
        <v>SI</v>
      </c>
      <c r="AA92" s="5">
        <f t="shared" si="33"/>
        <v>200000</v>
      </c>
      <c r="AB92" s="1"/>
    </row>
    <row r="93" spans="2:28" x14ac:dyDescent="0.25">
      <c r="B93" s="1" t="s">
        <v>237</v>
      </c>
      <c r="C93" s="1" t="s">
        <v>98</v>
      </c>
      <c r="D93" s="1" t="s">
        <v>242</v>
      </c>
      <c r="E93" s="1" t="s">
        <v>204</v>
      </c>
      <c r="F93" s="2">
        <f t="shared" si="18"/>
        <v>0</v>
      </c>
      <c r="G93" s="4">
        <f>+VLOOKUP(C93,Indicadores!B:C,2,FALSE)</f>
        <v>0.76918181818181819</v>
      </c>
      <c r="H93" s="1" t="str">
        <f t="shared" si="19"/>
        <v>Cumple</v>
      </c>
      <c r="I93" s="5">
        <f t="shared" si="20"/>
        <v>0</v>
      </c>
      <c r="J93" s="9">
        <f t="shared" si="21"/>
        <v>0</v>
      </c>
      <c r="K93" s="4">
        <f>+VLOOKUP(C93,Indicadores!B:F,5,FALSE)</f>
        <v>1</v>
      </c>
      <c r="L93" s="1" t="str">
        <f t="shared" si="22"/>
        <v>Cumple</v>
      </c>
      <c r="M93" s="5">
        <f t="shared" si="23"/>
        <v>0</v>
      </c>
      <c r="N93" s="9">
        <f t="shared" si="17"/>
        <v>150000</v>
      </c>
      <c r="O93" s="4">
        <f>+VLOOKUP(C93,Indicadores!B:P,14,FALSE)</f>
        <v>1</v>
      </c>
      <c r="P93" s="1" t="str">
        <f t="shared" si="24"/>
        <v>Cumple</v>
      </c>
      <c r="Q93" s="5">
        <f t="shared" si="25"/>
        <v>150000</v>
      </c>
      <c r="R93" s="5">
        <f t="shared" si="26"/>
        <v>50000</v>
      </c>
      <c r="S93" s="4">
        <f>+VLOOKUP(C93,Indicadores!B:Q,15,FALSE)</f>
        <v>0.59393333333333331</v>
      </c>
      <c r="T93" s="5" t="str">
        <f t="shared" si="27"/>
        <v>No Cumple</v>
      </c>
      <c r="U93" s="5">
        <f t="shared" si="28"/>
        <v>0</v>
      </c>
      <c r="V93" s="5">
        <f t="shared" si="29"/>
        <v>50000</v>
      </c>
      <c r="W93" s="4">
        <f>+VLOOKUP(C93,Indicadores!B:V,21,FALSE)</f>
        <v>1</v>
      </c>
      <c r="X93" s="35" t="str">
        <f t="shared" si="30"/>
        <v>Cumple</v>
      </c>
      <c r="Y93" s="2">
        <f t="shared" si="31"/>
        <v>50000</v>
      </c>
      <c r="Z93" s="5" t="str">
        <f t="shared" si="32"/>
        <v>SI</v>
      </c>
      <c r="AA93" s="5">
        <f t="shared" si="33"/>
        <v>200000</v>
      </c>
      <c r="AB93" s="1"/>
    </row>
    <row r="94" spans="2:28" x14ac:dyDescent="0.25">
      <c r="B94" s="1" t="s">
        <v>237</v>
      </c>
      <c r="C94" s="1" t="s">
        <v>99</v>
      </c>
      <c r="D94" s="1" t="s">
        <v>242</v>
      </c>
      <c r="E94" s="1" t="s">
        <v>204</v>
      </c>
      <c r="F94" s="2">
        <f t="shared" si="18"/>
        <v>0</v>
      </c>
      <c r="G94" s="4">
        <f>+VLOOKUP(C94,Indicadores!B:C,2,FALSE)</f>
        <v>0.79091818181818185</v>
      </c>
      <c r="H94" s="1" t="str">
        <f t="shared" si="19"/>
        <v>Cumple</v>
      </c>
      <c r="I94" s="5">
        <f t="shared" si="20"/>
        <v>0</v>
      </c>
      <c r="J94" s="9">
        <f t="shared" si="21"/>
        <v>0</v>
      </c>
      <c r="K94" s="4">
        <f>+VLOOKUP(C94,Indicadores!B:F,5,FALSE)</f>
        <v>0.9</v>
      </c>
      <c r="L94" s="1" t="str">
        <f t="shared" si="22"/>
        <v>Cumple</v>
      </c>
      <c r="M94" s="5">
        <f t="shared" si="23"/>
        <v>0</v>
      </c>
      <c r="N94" s="9">
        <f t="shared" si="17"/>
        <v>150000</v>
      </c>
      <c r="O94" s="4">
        <f>+VLOOKUP(C94,Indicadores!B:P,14,FALSE)</f>
        <v>1</v>
      </c>
      <c r="P94" s="1" t="str">
        <f t="shared" si="24"/>
        <v>Cumple</v>
      </c>
      <c r="Q94" s="5">
        <f t="shared" si="25"/>
        <v>150000</v>
      </c>
      <c r="R94" s="5">
        <f t="shared" si="26"/>
        <v>50000</v>
      </c>
      <c r="S94" s="4">
        <f>+VLOOKUP(C94,Indicadores!B:Q,15,FALSE)</f>
        <v>0.33333333333333331</v>
      </c>
      <c r="T94" s="5" t="str">
        <f t="shared" si="27"/>
        <v>No Cumple</v>
      </c>
      <c r="U94" s="5">
        <f t="shared" si="28"/>
        <v>0</v>
      </c>
      <c r="V94" s="5">
        <f t="shared" si="29"/>
        <v>50000</v>
      </c>
      <c r="W94" s="4">
        <f>+VLOOKUP(C94,Indicadores!B:V,21,FALSE)</f>
        <v>1</v>
      </c>
      <c r="X94" s="35" t="str">
        <f t="shared" si="30"/>
        <v>Cumple</v>
      </c>
      <c r="Y94" s="2">
        <f t="shared" si="31"/>
        <v>50000</v>
      </c>
      <c r="Z94" s="5" t="str">
        <f t="shared" si="32"/>
        <v>SI</v>
      </c>
      <c r="AA94" s="5">
        <f t="shared" si="33"/>
        <v>200000</v>
      </c>
      <c r="AB94" s="1"/>
    </row>
    <row r="95" spans="2:28" x14ac:dyDescent="0.25">
      <c r="B95" s="1" t="s">
        <v>237</v>
      </c>
      <c r="C95" s="1" t="s">
        <v>100</v>
      </c>
      <c r="D95" s="1" t="s">
        <v>242</v>
      </c>
      <c r="E95" s="1" t="s">
        <v>204</v>
      </c>
      <c r="F95" s="2">
        <f t="shared" si="18"/>
        <v>0</v>
      </c>
      <c r="G95" s="4">
        <f>+VLOOKUP(C95,Indicadores!B:C,2,FALSE)</f>
        <v>0.54912727272727269</v>
      </c>
      <c r="H95" s="1" t="str">
        <f t="shared" si="19"/>
        <v>No Cumple</v>
      </c>
      <c r="I95" s="5">
        <f t="shared" si="20"/>
        <v>0</v>
      </c>
      <c r="J95" s="9">
        <f t="shared" si="21"/>
        <v>0</v>
      </c>
      <c r="K95" s="4">
        <f>+VLOOKUP(C95,Indicadores!B:F,5,FALSE)</f>
        <v>1</v>
      </c>
      <c r="L95" s="1" t="str">
        <f t="shared" si="22"/>
        <v>Cumple</v>
      </c>
      <c r="M95" s="5">
        <f t="shared" si="23"/>
        <v>0</v>
      </c>
      <c r="N95" s="9">
        <f t="shared" si="17"/>
        <v>150000</v>
      </c>
      <c r="O95" s="4">
        <f>+VLOOKUP(C95,Indicadores!B:P,14,FALSE)</f>
        <v>0.4027</v>
      </c>
      <c r="P95" s="1" t="str">
        <f t="shared" si="24"/>
        <v>No Cumple</v>
      </c>
      <c r="Q95" s="5">
        <f t="shared" si="25"/>
        <v>0</v>
      </c>
      <c r="R95" s="5">
        <f t="shared" si="26"/>
        <v>50000</v>
      </c>
      <c r="S95" s="4">
        <f>+VLOOKUP(C95,Indicadores!B:Q,15,FALSE)</f>
        <v>0.32163333333333333</v>
      </c>
      <c r="T95" s="5" t="str">
        <f t="shared" si="27"/>
        <v>No Cumple</v>
      </c>
      <c r="U95" s="5">
        <f t="shared" si="28"/>
        <v>0</v>
      </c>
      <c r="V95" s="5">
        <f t="shared" si="29"/>
        <v>50000</v>
      </c>
      <c r="W95" s="4">
        <f>+VLOOKUP(C95,Indicadores!B:V,21,FALSE)</f>
        <v>0.80200000000000005</v>
      </c>
      <c r="X95" s="35" t="str">
        <f t="shared" si="30"/>
        <v>No Cumple</v>
      </c>
      <c r="Y95" s="2">
        <f t="shared" si="31"/>
        <v>0</v>
      </c>
      <c r="Z95" s="5" t="str">
        <f t="shared" si="32"/>
        <v>NO</v>
      </c>
      <c r="AA95" s="5">
        <f t="shared" si="33"/>
        <v>0</v>
      </c>
      <c r="AB95" s="1"/>
    </row>
    <row r="96" spans="2:28" x14ac:dyDescent="0.25">
      <c r="B96" s="1" t="s">
        <v>238</v>
      </c>
      <c r="C96" s="1" t="s">
        <v>101</v>
      </c>
      <c r="D96" s="1" t="s">
        <v>243</v>
      </c>
      <c r="E96" s="1" t="s">
        <v>205</v>
      </c>
      <c r="F96" s="2">
        <f t="shared" si="18"/>
        <v>0</v>
      </c>
      <c r="G96" s="4">
        <f>+VLOOKUP(C96,Indicadores!B:C,2,FALSE)</f>
        <v>0.79049090909090902</v>
      </c>
      <c r="H96" s="1" t="str">
        <f t="shared" si="19"/>
        <v>Cumple</v>
      </c>
      <c r="I96" s="5">
        <f t="shared" si="20"/>
        <v>0</v>
      </c>
      <c r="J96" s="9">
        <f t="shared" si="21"/>
        <v>0</v>
      </c>
      <c r="K96" s="4">
        <v>0.9</v>
      </c>
      <c r="L96" s="1" t="str">
        <f t="shared" si="22"/>
        <v>Cumple</v>
      </c>
      <c r="M96" s="5">
        <f t="shared" si="23"/>
        <v>0</v>
      </c>
      <c r="N96" s="9">
        <f t="shared" si="17"/>
        <v>150000</v>
      </c>
      <c r="O96" s="4">
        <f>+VLOOKUP(C96,Indicadores!B:P,14,FALSE)</f>
        <v>1</v>
      </c>
      <c r="P96" s="1" t="str">
        <f t="shared" si="24"/>
        <v>Cumple</v>
      </c>
      <c r="Q96" s="5">
        <f t="shared" si="25"/>
        <v>150000</v>
      </c>
      <c r="R96" s="5">
        <f t="shared" si="26"/>
        <v>50000</v>
      </c>
      <c r="S96" s="4">
        <f>+VLOOKUP(C96,Indicadores!B:Q,15,FALSE)</f>
        <v>0.71229999999999993</v>
      </c>
      <c r="T96" s="5" t="str">
        <f t="shared" si="27"/>
        <v>No Cumple</v>
      </c>
      <c r="U96" s="5">
        <f t="shared" si="28"/>
        <v>0</v>
      </c>
      <c r="V96" s="5">
        <f t="shared" si="29"/>
        <v>50000</v>
      </c>
      <c r="W96" s="4">
        <f>+VLOOKUP(C96,Indicadores!B:V,21,FALSE)</f>
        <v>0.5</v>
      </c>
      <c r="X96" s="35" t="str">
        <f t="shared" si="30"/>
        <v>No Cumple</v>
      </c>
      <c r="Y96" s="2">
        <f t="shared" si="31"/>
        <v>0</v>
      </c>
      <c r="Z96" s="5" t="str">
        <f t="shared" si="32"/>
        <v>SI</v>
      </c>
      <c r="AA96" s="5">
        <f t="shared" si="33"/>
        <v>150000</v>
      </c>
      <c r="AB96" s="1"/>
    </row>
    <row r="97" spans="2:28" x14ac:dyDescent="0.25">
      <c r="B97" s="1" t="s">
        <v>238</v>
      </c>
      <c r="C97" s="1" t="s">
        <v>102</v>
      </c>
      <c r="D97" s="1" t="s">
        <v>243</v>
      </c>
      <c r="E97" s="1" t="s">
        <v>205</v>
      </c>
      <c r="F97" s="2">
        <f t="shared" si="18"/>
        <v>0</v>
      </c>
      <c r="G97" s="4">
        <f>+VLOOKUP(C97,Indicadores!B:C,2,FALSE)</f>
        <v>0.80227272727272725</v>
      </c>
      <c r="H97" s="1" t="str">
        <f t="shared" si="19"/>
        <v>Cumple</v>
      </c>
      <c r="I97" s="5">
        <f t="shared" si="20"/>
        <v>0</v>
      </c>
      <c r="J97" s="9">
        <f t="shared" si="21"/>
        <v>0</v>
      </c>
      <c r="K97" s="4">
        <v>0.9</v>
      </c>
      <c r="L97" s="1" t="str">
        <f t="shared" si="22"/>
        <v>Cumple</v>
      </c>
      <c r="M97" s="5">
        <f t="shared" si="23"/>
        <v>0</v>
      </c>
      <c r="N97" s="9">
        <f t="shared" si="17"/>
        <v>150000</v>
      </c>
      <c r="O97" s="4">
        <f>+VLOOKUP(C97,Indicadores!B:P,14,FALSE)</f>
        <v>1</v>
      </c>
      <c r="P97" s="1" t="str">
        <f t="shared" si="24"/>
        <v>Cumple</v>
      </c>
      <c r="Q97" s="5">
        <f t="shared" si="25"/>
        <v>150000</v>
      </c>
      <c r="R97" s="5">
        <f t="shared" si="26"/>
        <v>50000</v>
      </c>
      <c r="S97" s="4">
        <f>+VLOOKUP(C97,Indicadores!B:Q,15,FALSE)</f>
        <v>0.71583333333333332</v>
      </c>
      <c r="T97" s="5" t="str">
        <f t="shared" si="27"/>
        <v>No Cumple</v>
      </c>
      <c r="U97" s="5">
        <f t="shared" si="28"/>
        <v>0</v>
      </c>
      <c r="V97" s="5">
        <f t="shared" si="29"/>
        <v>50000</v>
      </c>
      <c r="W97" s="4">
        <f>+VLOOKUP(C97,Indicadores!B:V,21,FALSE)</f>
        <v>0.5</v>
      </c>
      <c r="X97" s="35" t="str">
        <f t="shared" si="30"/>
        <v>No Cumple</v>
      </c>
      <c r="Y97" s="2">
        <f t="shared" si="31"/>
        <v>0</v>
      </c>
      <c r="Z97" s="5" t="str">
        <f t="shared" si="32"/>
        <v>SI</v>
      </c>
      <c r="AA97" s="5">
        <f t="shared" si="33"/>
        <v>150000</v>
      </c>
      <c r="AB97" s="1"/>
    </row>
    <row r="98" spans="2:28" x14ac:dyDescent="0.25">
      <c r="B98" s="1" t="s">
        <v>238</v>
      </c>
      <c r="C98" s="1" t="s">
        <v>103</v>
      </c>
      <c r="D98" s="1" t="s">
        <v>243</v>
      </c>
      <c r="E98" s="1" t="s">
        <v>205</v>
      </c>
      <c r="F98" s="2">
        <f t="shared" si="18"/>
        <v>0</v>
      </c>
      <c r="G98" s="4">
        <f>+VLOOKUP(C98,Indicadores!B:C,2,FALSE)</f>
        <v>0.77805454545454533</v>
      </c>
      <c r="H98" s="1" t="str">
        <f t="shared" si="19"/>
        <v>Cumple</v>
      </c>
      <c r="I98" s="5">
        <f t="shared" si="20"/>
        <v>0</v>
      </c>
      <c r="J98" s="9">
        <f t="shared" si="21"/>
        <v>0</v>
      </c>
      <c r="K98" s="4">
        <f>+VLOOKUP(C98,Indicadores!B:F,5,FALSE)</f>
        <v>0.94736842105263153</v>
      </c>
      <c r="L98" s="1" t="str">
        <f t="shared" si="22"/>
        <v>Cumple</v>
      </c>
      <c r="M98" s="5">
        <f t="shared" si="23"/>
        <v>0</v>
      </c>
      <c r="N98" s="9">
        <f t="shared" si="17"/>
        <v>150000</v>
      </c>
      <c r="O98" s="4">
        <v>0.97</v>
      </c>
      <c r="P98" s="1" t="str">
        <f t="shared" si="24"/>
        <v>Cumple</v>
      </c>
      <c r="Q98" s="5">
        <f t="shared" si="25"/>
        <v>145500</v>
      </c>
      <c r="R98" s="5">
        <f t="shared" si="26"/>
        <v>50000</v>
      </c>
      <c r="S98" s="4">
        <f>+VLOOKUP(C98,Indicadores!B:Q,15,FALSE)</f>
        <v>0.70289999999999997</v>
      </c>
      <c r="T98" s="5" t="str">
        <f t="shared" si="27"/>
        <v>No Cumple</v>
      </c>
      <c r="U98" s="5">
        <f t="shared" si="28"/>
        <v>0</v>
      </c>
      <c r="V98" s="5">
        <f t="shared" si="29"/>
        <v>50000</v>
      </c>
      <c r="W98" s="4">
        <f>+VLOOKUP(C98,Indicadores!B:V,21,FALSE)</f>
        <v>0.5</v>
      </c>
      <c r="X98" s="35" t="str">
        <f t="shared" si="30"/>
        <v>No Cumple</v>
      </c>
      <c r="Y98" s="2">
        <f t="shared" si="31"/>
        <v>0</v>
      </c>
      <c r="Z98" s="5" t="str">
        <f t="shared" si="32"/>
        <v>SI</v>
      </c>
      <c r="AA98" s="5">
        <f t="shared" si="33"/>
        <v>145500</v>
      </c>
      <c r="AB98" s="1"/>
    </row>
    <row r="99" spans="2:28" x14ac:dyDescent="0.25">
      <c r="B99" s="1" t="s">
        <v>238</v>
      </c>
      <c r="C99" s="1" t="s">
        <v>104</v>
      </c>
      <c r="D99" s="1" t="s">
        <v>243</v>
      </c>
      <c r="E99" s="1" t="s">
        <v>205</v>
      </c>
      <c r="F99" s="2">
        <f t="shared" si="18"/>
        <v>0</v>
      </c>
      <c r="G99" s="4">
        <f>+VLOOKUP(C99,Indicadores!B:C,2,FALSE)</f>
        <v>0.53720909090909086</v>
      </c>
      <c r="H99" s="1" t="str">
        <f t="shared" si="19"/>
        <v>No Cumple</v>
      </c>
      <c r="I99" s="5">
        <f t="shared" si="20"/>
        <v>0</v>
      </c>
      <c r="J99" s="9">
        <f t="shared" si="21"/>
        <v>0</v>
      </c>
      <c r="K99" s="4">
        <f>+VLOOKUP(C99,Indicadores!B:F,5,FALSE)</f>
        <v>1</v>
      </c>
      <c r="L99" s="1" t="str">
        <f t="shared" si="22"/>
        <v>Cumple</v>
      </c>
      <c r="M99" s="5">
        <f t="shared" si="23"/>
        <v>0</v>
      </c>
      <c r="N99" s="9">
        <f t="shared" si="17"/>
        <v>150000</v>
      </c>
      <c r="O99" s="4">
        <f>+VLOOKUP(C99,Indicadores!B:P,14,FALSE)</f>
        <v>0.63639999999999997</v>
      </c>
      <c r="P99" s="1" t="str">
        <f t="shared" si="24"/>
        <v>No Cumple</v>
      </c>
      <c r="Q99" s="5">
        <f t="shared" si="25"/>
        <v>0</v>
      </c>
      <c r="R99" s="5">
        <f t="shared" si="26"/>
        <v>50000</v>
      </c>
      <c r="S99" s="4">
        <f>+VLOOKUP(C99,Indicadores!B:Q,15,FALSE)</f>
        <v>0.57576666666666665</v>
      </c>
      <c r="T99" s="5" t="str">
        <f t="shared" si="27"/>
        <v>No Cumple</v>
      </c>
      <c r="U99" s="5">
        <f t="shared" si="28"/>
        <v>0</v>
      </c>
      <c r="V99" s="5">
        <f t="shared" si="29"/>
        <v>50000</v>
      </c>
      <c r="W99" s="4">
        <f>+VLOOKUP(C99,Indicadores!B:V,21,FALSE)</f>
        <v>0.72729999999999995</v>
      </c>
      <c r="X99" s="35" t="str">
        <f t="shared" si="30"/>
        <v>No Cumple</v>
      </c>
      <c r="Y99" s="2">
        <f t="shared" si="31"/>
        <v>0</v>
      </c>
      <c r="Z99" s="5" t="str">
        <f t="shared" si="32"/>
        <v>NO</v>
      </c>
      <c r="AA99" s="5">
        <f t="shared" si="33"/>
        <v>0</v>
      </c>
      <c r="AB99" s="1"/>
    </row>
    <row r="100" spans="2:28" x14ac:dyDescent="0.25">
      <c r="B100" s="1" t="s">
        <v>238</v>
      </c>
      <c r="C100" s="1" t="s">
        <v>105</v>
      </c>
      <c r="D100" s="1" t="s">
        <v>243</v>
      </c>
      <c r="E100" s="1" t="s">
        <v>205</v>
      </c>
      <c r="F100" s="2">
        <f t="shared" si="18"/>
        <v>0</v>
      </c>
      <c r="G100" s="4">
        <v>0.8</v>
      </c>
      <c r="H100" s="1" t="str">
        <f t="shared" si="19"/>
        <v>Cumple</v>
      </c>
      <c r="I100" s="5">
        <f t="shared" si="20"/>
        <v>0</v>
      </c>
      <c r="J100" s="9">
        <f t="shared" si="21"/>
        <v>0</v>
      </c>
      <c r="K100" s="4">
        <f>+VLOOKUP(C100,Indicadores!B:F,5,FALSE)</f>
        <v>0.88235294117647056</v>
      </c>
      <c r="L100" s="1" t="str">
        <f t="shared" si="22"/>
        <v>Cumple</v>
      </c>
      <c r="M100" s="5">
        <f t="shared" si="23"/>
        <v>0</v>
      </c>
      <c r="N100" s="9">
        <f t="shared" si="17"/>
        <v>150000</v>
      </c>
      <c r="O100" s="4">
        <f>+VLOOKUP(C100,Indicadores!B:P,14,FALSE)</f>
        <v>1</v>
      </c>
      <c r="P100" s="1" t="str">
        <f t="shared" si="24"/>
        <v>Cumple</v>
      </c>
      <c r="Q100" s="5">
        <f t="shared" si="25"/>
        <v>150000</v>
      </c>
      <c r="R100" s="5">
        <f t="shared" si="26"/>
        <v>50000</v>
      </c>
      <c r="S100" s="4">
        <f>+VLOOKUP(C100,Indicadores!B:Q,15,FALSE)</f>
        <v>0.51633333333333331</v>
      </c>
      <c r="T100" s="5" t="str">
        <f t="shared" si="27"/>
        <v>No Cumple</v>
      </c>
      <c r="U100" s="5">
        <f t="shared" si="28"/>
        <v>0</v>
      </c>
      <c r="V100" s="5">
        <f t="shared" si="29"/>
        <v>50000</v>
      </c>
      <c r="W100" s="4">
        <f>+VLOOKUP(C100,Indicadores!B:V,21,FALSE)</f>
        <v>0.5</v>
      </c>
      <c r="X100" s="35" t="str">
        <f t="shared" si="30"/>
        <v>No Cumple</v>
      </c>
      <c r="Y100" s="2">
        <f t="shared" si="31"/>
        <v>0</v>
      </c>
      <c r="Z100" s="5" t="str">
        <f t="shared" si="32"/>
        <v>SI</v>
      </c>
      <c r="AA100" s="5">
        <f t="shared" si="33"/>
        <v>150000</v>
      </c>
      <c r="AB100" s="1"/>
    </row>
    <row r="101" spans="2:28" x14ac:dyDescent="0.25">
      <c r="B101" s="1" t="s">
        <v>238</v>
      </c>
      <c r="C101" s="1" t="s">
        <v>106</v>
      </c>
      <c r="D101" s="1" t="s">
        <v>243</v>
      </c>
      <c r="E101" s="1" t="s">
        <v>205</v>
      </c>
      <c r="F101" s="2">
        <f t="shared" si="18"/>
        <v>0</v>
      </c>
      <c r="G101" s="4">
        <f>+VLOOKUP(C101,Indicadores!B:C,2,FALSE)</f>
        <v>0.8538</v>
      </c>
      <c r="H101" s="1" t="str">
        <f t="shared" si="19"/>
        <v>Cumple</v>
      </c>
      <c r="I101" s="5">
        <f t="shared" si="20"/>
        <v>0</v>
      </c>
      <c r="J101" s="9">
        <f t="shared" si="21"/>
        <v>0</v>
      </c>
      <c r="K101" s="4">
        <f>+VLOOKUP(C101,Indicadores!B:F,5,FALSE)</f>
        <v>0.94736842105263153</v>
      </c>
      <c r="L101" s="1" t="str">
        <f t="shared" si="22"/>
        <v>Cumple</v>
      </c>
      <c r="M101" s="5">
        <f t="shared" si="23"/>
        <v>0</v>
      </c>
      <c r="N101" s="9">
        <f t="shared" si="17"/>
        <v>150000</v>
      </c>
      <c r="O101" s="4">
        <f>+VLOOKUP(C101,Indicadores!B:P,14,FALSE)</f>
        <v>1</v>
      </c>
      <c r="P101" s="1" t="str">
        <f t="shared" si="24"/>
        <v>Cumple</v>
      </c>
      <c r="Q101" s="5">
        <f t="shared" si="25"/>
        <v>150000</v>
      </c>
      <c r="R101" s="5">
        <f t="shared" si="26"/>
        <v>50000</v>
      </c>
      <c r="S101" s="4">
        <f>+VLOOKUP(C101,Indicadores!B:Q,15,FALSE)</f>
        <v>0.84723333333333339</v>
      </c>
      <c r="T101" s="5" t="str">
        <f t="shared" si="27"/>
        <v>Cumple</v>
      </c>
      <c r="U101" s="5">
        <f t="shared" si="28"/>
        <v>40000</v>
      </c>
      <c r="V101" s="5">
        <f t="shared" si="29"/>
        <v>50000</v>
      </c>
      <c r="W101" s="4">
        <f>+VLOOKUP(C101,Indicadores!B:V,21,FALSE)</f>
        <v>0.5</v>
      </c>
      <c r="X101" s="35" t="str">
        <f t="shared" si="30"/>
        <v>No Cumple</v>
      </c>
      <c r="Y101" s="2">
        <f t="shared" si="31"/>
        <v>0</v>
      </c>
      <c r="Z101" s="5" t="str">
        <f t="shared" si="32"/>
        <v>SI</v>
      </c>
      <c r="AA101" s="5">
        <f t="shared" si="33"/>
        <v>190000</v>
      </c>
      <c r="AB101" s="1"/>
    </row>
    <row r="102" spans="2:28" x14ac:dyDescent="0.25">
      <c r="B102" s="1" t="s">
        <v>238</v>
      </c>
      <c r="C102" s="1" t="s">
        <v>107</v>
      </c>
      <c r="D102" s="1" t="s">
        <v>243</v>
      </c>
      <c r="E102" s="1" t="s">
        <v>205</v>
      </c>
      <c r="F102" s="2">
        <f t="shared" si="18"/>
        <v>0</v>
      </c>
      <c r="G102" s="4">
        <f>+VLOOKUP(C102,Indicadores!B:C,2,FALSE)</f>
        <v>0.7662363636363636</v>
      </c>
      <c r="H102" s="1" t="str">
        <f t="shared" si="19"/>
        <v>Cumple</v>
      </c>
      <c r="I102" s="5">
        <f t="shared" si="20"/>
        <v>0</v>
      </c>
      <c r="J102" s="9">
        <f t="shared" si="21"/>
        <v>0</v>
      </c>
      <c r="K102" s="4">
        <f>+VLOOKUP(C102,Indicadores!B:F,5,FALSE)</f>
        <v>0.94444444444444442</v>
      </c>
      <c r="L102" s="1" t="str">
        <f t="shared" si="22"/>
        <v>Cumple</v>
      </c>
      <c r="M102" s="5">
        <f t="shared" si="23"/>
        <v>0</v>
      </c>
      <c r="N102" s="9">
        <f t="shared" si="17"/>
        <v>150000</v>
      </c>
      <c r="O102" s="4">
        <f>+VLOOKUP(C102,Indicadores!B:P,14,FALSE)</f>
        <v>1</v>
      </c>
      <c r="P102" s="1" t="str">
        <f t="shared" si="24"/>
        <v>Cumple</v>
      </c>
      <c r="Q102" s="5">
        <f t="shared" si="25"/>
        <v>150000</v>
      </c>
      <c r="R102" s="5">
        <f t="shared" si="26"/>
        <v>50000</v>
      </c>
      <c r="S102" s="4">
        <f>+VLOOKUP(C102,Indicadores!B:Q,15,FALSE)</f>
        <v>0.60383333333333333</v>
      </c>
      <c r="T102" s="5" t="str">
        <f t="shared" si="27"/>
        <v>No Cumple</v>
      </c>
      <c r="U102" s="5">
        <f t="shared" si="28"/>
        <v>0</v>
      </c>
      <c r="V102" s="5">
        <f t="shared" si="29"/>
        <v>50000</v>
      </c>
      <c r="W102" s="4">
        <f>+VLOOKUP(C102,Indicadores!B:V,21,FALSE)</f>
        <v>0.5</v>
      </c>
      <c r="X102" s="35" t="str">
        <f t="shared" si="30"/>
        <v>No Cumple</v>
      </c>
      <c r="Y102" s="2">
        <f t="shared" si="31"/>
        <v>0</v>
      </c>
      <c r="Z102" s="5" t="str">
        <f t="shared" si="32"/>
        <v>SI</v>
      </c>
      <c r="AA102" s="5">
        <f t="shared" si="33"/>
        <v>150000</v>
      </c>
      <c r="AB102" s="1"/>
    </row>
    <row r="103" spans="2:28" x14ac:dyDescent="0.25">
      <c r="B103" s="1" t="s">
        <v>238</v>
      </c>
      <c r="C103" s="1" t="s">
        <v>108</v>
      </c>
      <c r="D103" s="1" t="s">
        <v>243</v>
      </c>
      <c r="E103" s="1" t="s">
        <v>205</v>
      </c>
      <c r="F103" s="2">
        <f t="shared" si="18"/>
        <v>0</v>
      </c>
      <c r="G103" s="4">
        <f>+VLOOKUP(C103,Indicadores!B:C,2,FALSE)</f>
        <v>0.79444545454545434</v>
      </c>
      <c r="H103" s="1" t="str">
        <f t="shared" si="19"/>
        <v>Cumple</v>
      </c>
      <c r="I103" s="5">
        <f t="shared" si="20"/>
        <v>0</v>
      </c>
      <c r="J103" s="9">
        <f t="shared" si="21"/>
        <v>0</v>
      </c>
      <c r="K103" s="4">
        <f>+VLOOKUP(C103,Indicadores!B:F,5,FALSE)</f>
        <v>0.88235294117647056</v>
      </c>
      <c r="L103" s="1" t="str">
        <f t="shared" si="22"/>
        <v>Cumple</v>
      </c>
      <c r="M103" s="5">
        <f t="shared" si="23"/>
        <v>0</v>
      </c>
      <c r="N103" s="9">
        <f t="shared" si="17"/>
        <v>150000</v>
      </c>
      <c r="O103" s="4">
        <f>+VLOOKUP(C103,Indicadores!B:P,14,FALSE)</f>
        <v>0.99099999999999999</v>
      </c>
      <c r="P103" s="1" t="str">
        <f t="shared" si="24"/>
        <v>Cumple</v>
      </c>
      <c r="Q103" s="5">
        <f t="shared" si="25"/>
        <v>0</v>
      </c>
      <c r="R103" s="5">
        <f t="shared" si="26"/>
        <v>50000</v>
      </c>
      <c r="S103" s="4">
        <f>+VLOOKUP(C103,Indicadores!B:Q,15,FALSE)</f>
        <v>0.61863333333333337</v>
      </c>
      <c r="T103" s="5" t="str">
        <f t="shared" si="27"/>
        <v>No Cumple</v>
      </c>
      <c r="U103" s="5">
        <f t="shared" si="28"/>
        <v>0</v>
      </c>
      <c r="V103" s="5">
        <f t="shared" si="29"/>
        <v>50000</v>
      </c>
      <c r="W103" s="4">
        <f>+VLOOKUP(C103,Indicadores!B:V,21,FALSE)</f>
        <v>0.99099999999999999</v>
      </c>
      <c r="X103" s="35" t="str">
        <f t="shared" si="30"/>
        <v>No Cumple</v>
      </c>
      <c r="Y103" s="2">
        <f t="shared" si="31"/>
        <v>0</v>
      </c>
      <c r="Z103" s="5" t="str">
        <f t="shared" si="32"/>
        <v>SI</v>
      </c>
      <c r="AA103" s="5">
        <f t="shared" si="33"/>
        <v>0</v>
      </c>
      <c r="AB103" s="1"/>
    </row>
    <row r="104" spans="2:28" x14ac:dyDescent="0.25">
      <c r="B104" s="1" t="s">
        <v>238</v>
      </c>
      <c r="C104" s="1" t="s">
        <v>109</v>
      </c>
      <c r="D104" s="1" t="s">
        <v>243</v>
      </c>
      <c r="E104" s="1" t="s">
        <v>205</v>
      </c>
      <c r="F104" s="2">
        <f t="shared" si="18"/>
        <v>0</v>
      </c>
      <c r="G104" s="4">
        <v>0.7</v>
      </c>
      <c r="H104" s="1" t="str">
        <f t="shared" si="19"/>
        <v>Cumple</v>
      </c>
      <c r="I104" s="5">
        <f t="shared" si="20"/>
        <v>0</v>
      </c>
      <c r="J104" s="9">
        <f t="shared" si="21"/>
        <v>0</v>
      </c>
      <c r="K104" s="4">
        <f>+VLOOKUP(C104,Indicadores!B:F,5,FALSE)</f>
        <v>1</v>
      </c>
      <c r="L104" s="1" t="str">
        <f t="shared" si="22"/>
        <v>Cumple</v>
      </c>
      <c r="M104" s="5">
        <f t="shared" si="23"/>
        <v>0</v>
      </c>
      <c r="N104" s="9">
        <f t="shared" si="17"/>
        <v>150000</v>
      </c>
      <c r="O104" s="4">
        <f>+VLOOKUP(C104,Indicadores!B:P,14,FALSE)</f>
        <v>1</v>
      </c>
      <c r="P104" s="1" t="str">
        <f t="shared" si="24"/>
        <v>Cumple</v>
      </c>
      <c r="Q104" s="5">
        <f t="shared" si="25"/>
        <v>150000</v>
      </c>
      <c r="R104" s="5">
        <f t="shared" si="26"/>
        <v>50000</v>
      </c>
      <c r="S104" s="4">
        <f>+VLOOKUP(C104,Indicadores!B:Q,15,FALSE)</f>
        <v>0.62816666666666665</v>
      </c>
      <c r="T104" s="5" t="str">
        <f t="shared" si="27"/>
        <v>No Cumple</v>
      </c>
      <c r="U104" s="5">
        <f t="shared" si="28"/>
        <v>0</v>
      </c>
      <c r="V104" s="5">
        <f t="shared" si="29"/>
        <v>50000</v>
      </c>
      <c r="W104" s="4">
        <f>+VLOOKUP(C104,Indicadores!B:V,21,FALSE)</f>
        <v>0.5</v>
      </c>
      <c r="X104" s="35" t="str">
        <f t="shared" si="30"/>
        <v>No Cumple</v>
      </c>
      <c r="Y104" s="2">
        <f t="shared" si="31"/>
        <v>0</v>
      </c>
      <c r="Z104" s="5" t="str">
        <f t="shared" si="32"/>
        <v>SI</v>
      </c>
      <c r="AA104" s="5">
        <f t="shared" si="33"/>
        <v>150000</v>
      </c>
      <c r="AB104" s="1"/>
    </row>
    <row r="105" spans="2:28" x14ac:dyDescent="0.25">
      <c r="B105" s="1" t="s">
        <v>238</v>
      </c>
      <c r="C105" s="1" t="s">
        <v>110</v>
      </c>
      <c r="D105" s="1" t="s">
        <v>243</v>
      </c>
      <c r="E105" s="1" t="s">
        <v>205</v>
      </c>
      <c r="F105" s="2">
        <f t="shared" si="18"/>
        <v>0</v>
      </c>
      <c r="G105" s="4">
        <f>+VLOOKUP(C105,Indicadores!B:C,2,FALSE)</f>
        <v>0.76104545454545469</v>
      </c>
      <c r="H105" s="1" t="str">
        <f t="shared" si="19"/>
        <v>Cumple</v>
      </c>
      <c r="I105" s="5">
        <f t="shared" si="20"/>
        <v>0</v>
      </c>
      <c r="J105" s="9">
        <f t="shared" si="21"/>
        <v>0</v>
      </c>
      <c r="K105" s="4">
        <f>+VLOOKUP(C105,Indicadores!B:F,5,FALSE)</f>
        <v>1</v>
      </c>
      <c r="L105" s="1" t="str">
        <f t="shared" si="22"/>
        <v>Cumple</v>
      </c>
      <c r="M105" s="5">
        <f t="shared" si="23"/>
        <v>0</v>
      </c>
      <c r="N105" s="9">
        <f t="shared" si="17"/>
        <v>150000</v>
      </c>
      <c r="O105" s="4">
        <f>+VLOOKUP(C105,Indicadores!B:P,14,FALSE)</f>
        <v>1</v>
      </c>
      <c r="P105" s="1" t="str">
        <f t="shared" si="24"/>
        <v>Cumple</v>
      </c>
      <c r="Q105" s="5">
        <f t="shared" si="25"/>
        <v>150000</v>
      </c>
      <c r="R105" s="5">
        <f t="shared" si="26"/>
        <v>50000</v>
      </c>
      <c r="S105" s="4">
        <f>+VLOOKUP(C105,Indicadores!B:Q,15,FALSE)</f>
        <v>0.59576666666666667</v>
      </c>
      <c r="T105" s="5" t="str">
        <f t="shared" si="27"/>
        <v>No Cumple</v>
      </c>
      <c r="U105" s="5">
        <f t="shared" si="28"/>
        <v>0</v>
      </c>
      <c r="V105" s="5">
        <f t="shared" si="29"/>
        <v>50000</v>
      </c>
      <c r="W105" s="4">
        <f>+VLOOKUP(C105,Indicadores!B:V,21,FALSE)</f>
        <v>0.5</v>
      </c>
      <c r="X105" s="35" t="str">
        <f t="shared" si="30"/>
        <v>No Cumple</v>
      </c>
      <c r="Y105" s="2">
        <f t="shared" si="31"/>
        <v>0</v>
      </c>
      <c r="Z105" s="5" t="str">
        <f t="shared" si="32"/>
        <v>SI</v>
      </c>
      <c r="AA105" s="5">
        <f t="shared" si="33"/>
        <v>150000</v>
      </c>
      <c r="AB105" s="1"/>
    </row>
    <row r="106" spans="2:28" x14ac:dyDescent="0.25">
      <c r="B106" s="1" t="s">
        <v>239</v>
      </c>
      <c r="C106" s="1" t="s">
        <v>111</v>
      </c>
      <c r="D106" s="1" t="s">
        <v>243</v>
      </c>
      <c r="E106" s="1" t="s">
        <v>206</v>
      </c>
      <c r="F106" s="2">
        <f t="shared" si="18"/>
        <v>0</v>
      </c>
      <c r="G106" s="4">
        <f>+VLOOKUP(C106,Indicadores!B:C,2,FALSE)</f>
        <v>0.78153636363636358</v>
      </c>
      <c r="H106" s="1" t="str">
        <f t="shared" si="19"/>
        <v>Cumple</v>
      </c>
      <c r="I106" s="5">
        <f t="shared" si="20"/>
        <v>0</v>
      </c>
      <c r="J106" s="9">
        <f t="shared" si="21"/>
        <v>0</v>
      </c>
      <c r="K106" s="4">
        <f>+VLOOKUP(C106,Indicadores!B:F,5,FALSE)</f>
        <v>0.92307692307692313</v>
      </c>
      <c r="L106" s="1" t="str">
        <f t="shared" si="22"/>
        <v>Cumple</v>
      </c>
      <c r="M106" s="5">
        <f t="shared" si="23"/>
        <v>0</v>
      </c>
      <c r="N106" s="9">
        <f t="shared" si="17"/>
        <v>150000</v>
      </c>
      <c r="O106" s="4">
        <v>0.96</v>
      </c>
      <c r="P106" s="1" t="str">
        <f t="shared" si="24"/>
        <v>Cumple</v>
      </c>
      <c r="Q106" s="5">
        <f t="shared" si="25"/>
        <v>144000</v>
      </c>
      <c r="R106" s="5">
        <f t="shared" si="26"/>
        <v>50000</v>
      </c>
      <c r="S106" s="4">
        <f>+VLOOKUP(C106,Indicadores!B:Q,15,FALSE)</f>
        <v>0.38013333333333338</v>
      </c>
      <c r="T106" s="5" t="str">
        <f t="shared" si="27"/>
        <v>No Cumple</v>
      </c>
      <c r="U106" s="5">
        <f t="shared" si="28"/>
        <v>0</v>
      </c>
      <c r="V106" s="5">
        <f t="shared" si="29"/>
        <v>50000</v>
      </c>
      <c r="W106" s="4">
        <f>+VLOOKUP(C106,Indicadores!B:V,21,FALSE)</f>
        <v>0.98250000000000004</v>
      </c>
      <c r="X106" s="35" t="str">
        <f t="shared" si="30"/>
        <v>No Cumple</v>
      </c>
      <c r="Y106" s="2">
        <f t="shared" si="31"/>
        <v>0</v>
      </c>
      <c r="Z106" s="5" t="str">
        <f t="shared" si="32"/>
        <v>SI</v>
      </c>
      <c r="AA106" s="5">
        <f t="shared" si="33"/>
        <v>144000</v>
      </c>
      <c r="AB106" s="1"/>
    </row>
    <row r="107" spans="2:28" x14ac:dyDescent="0.25">
      <c r="B107" s="1" t="s">
        <v>239</v>
      </c>
      <c r="C107" s="1" t="s">
        <v>112</v>
      </c>
      <c r="D107" s="1" t="s">
        <v>243</v>
      </c>
      <c r="E107" s="1" t="s">
        <v>206</v>
      </c>
      <c r="F107" s="2">
        <f t="shared" si="18"/>
        <v>0</v>
      </c>
      <c r="G107" s="4">
        <f>+VLOOKUP(C107,Indicadores!B:C,2,FALSE)</f>
        <v>0.73636363636363633</v>
      </c>
      <c r="H107" s="1" t="str">
        <f t="shared" si="19"/>
        <v>Cumple</v>
      </c>
      <c r="I107" s="5">
        <f t="shared" si="20"/>
        <v>0</v>
      </c>
      <c r="J107" s="9">
        <f t="shared" si="21"/>
        <v>0</v>
      </c>
      <c r="K107" s="4">
        <f>+VLOOKUP(C107,Indicadores!B:F,5,FALSE)</f>
        <v>0.66666666666666663</v>
      </c>
      <c r="L107" s="1" t="str">
        <f t="shared" si="22"/>
        <v>No Cumple</v>
      </c>
      <c r="M107" s="5">
        <f t="shared" si="23"/>
        <v>0</v>
      </c>
      <c r="N107" s="9">
        <f t="shared" si="17"/>
        <v>150000</v>
      </c>
      <c r="O107" s="4">
        <f>+VLOOKUP(C107,Indicadores!B:P,14,FALSE)</f>
        <v>1</v>
      </c>
      <c r="P107" s="1" t="str">
        <f t="shared" si="24"/>
        <v>Cumple</v>
      </c>
      <c r="Q107" s="5">
        <f t="shared" si="25"/>
        <v>150000</v>
      </c>
      <c r="R107" s="5">
        <f t="shared" si="26"/>
        <v>50000</v>
      </c>
      <c r="S107" s="4">
        <f>+VLOOKUP(C107,Indicadores!B:Q,15,FALSE)</f>
        <v>0.36109999999999998</v>
      </c>
      <c r="T107" s="5" t="str">
        <f t="shared" si="27"/>
        <v>No Cumple</v>
      </c>
      <c r="U107" s="5">
        <f t="shared" si="28"/>
        <v>0</v>
      </c>
      <c r="V107" s="5">
        <f t="shared" si="29"/>
        <v>50000</v>
      </c>
      <c r="W107" s="4">
        <f>+VLOOKUP(C107,Indicadores!B:V,21,FALSE)</f>
        <v>1</v>
      </c>
      <c r="X107" s="35" t="str">
        <f t="shared" si="30"/>
        <v>Cumple</v>
      </c>
      <c r="Y107" s="2">
        <f t="shared" si="31"/>
        <v>50000</v>
      </c>
      <c r="Z107" s="5" t="str">
        <f t="shared" si="32"/>
        <v>NO</v>
      </c>
      <c r="AA107" s="5">
        <f t="shared" si="33"/>
        <v>0</v>
      </c>
      <c r="AB107" s="1"/>
    </row>
    <row r="108" spans="2:28" x14ac:dyDescent="0.25">
      <c r="B108" s="1" t="s">
        <v>239</v>
      </c>
      <c r="C108" s="1" t="s">
        <v>113</v>
      </c>
      <c r="D108" s="1" t="s">
        <v>243</v>
      </c>
      <c r="E108" s="1" t="s">
        <v>206</v>
      </c>
      <c r="F108" s="2">
        <f t="shared" si="18"/>
        <v>0</v>
      </c>
      <c r="G108" s="4">
        <f>+VLOOKUP(C108,Indicadores!B:C,2,FALSE)</f>
        <v>0.8077545454545455</v>
      </c>
      <c r="H108" s="1" t="str">
        <f t="shared" si="19"/>
        <v>Cumple</v>
      </c>
      <c r="I108" s="5">
        <f t="shared" si="20"/>
        <v>0</v>
      </c>
      <c r="J108" s="9">
        <f t="shared" si="21"/>
        <v>0</v>
      </c>
      <c r="K108" s="4">
        <f>+VLOOKUP(C108,Indicadores!B:F,5,FALSE)</f>
        <v>1</v>
      </c>
      <c r="L108" s="1" t="str">
        <f t="shared" si="22"/>
        <v>Cumple</v>
      </c>
      <c r="M108" s="5">
        <f t="shared" si="23"/>
        <v>0</v>
      </c>
      <c r="N108" s="9">
        <f t="shared" si="17"/>
        <v>150000</v>
      </c>
      <c r="O108" s="4">
        <f>+VLOOKUP(C108,Indicadores!B:P,14,FALSE)</f>
        <v>1</v>
      </c>
      <c r="P108" s="1" t="str">
        <f t="shared" si="24"/>
        <v>Cumple</v>
      </c>
      <c r="Q108" s="5">
        <f t="shared" si="25"/>
        <v>150000</v>
      </c>
      <c r="R108" s="5">
        <f t="shared" si="26"/>
        <v>50000</v>
      </c>
      <c r="S108" s="4">
        <f>+VLOOKUP(C108,Indicadores!B:Q,15,FALSE)</f>
        <v>0.35520000000000002</v>
      </c>
      <c r="T108" s="5" t="str">
        <f t="shared" si="27"/>
        <v>No Cumple</v>
      </c>
      <c r="U108" s="5">
        <f t="shared" si="28"/>
        <v>0</v>
      </c>
      <c r="V108" s="5">
        <f t="shared" si="29"/>
        <v>50000</v>
      </c>
      <c r="W108" s="4">
        <f>+VLOOKUP(C108,Indicadores!B:V,21,FALSE)</f>
        <v>0.5</v>
      </c>
      <c r="X108" s="35" t="str">
        <f t="shared" si="30"/>
        <v>No Cumple</v>
      </c>
      <c r="Y108" s="2">
        <f t="shared" si="31"/>
        <v>0</v>
      </c>
      <c r="Z108" s="5" t="str">
        <f t="shared" si="32"/>
        <v>SI</v>
      </c>
      <c r="AA108" s="5">
        <f t="shared" si="33"/>
        <v>150000</v>
      </c>
      <c r="AB108" s="1"/>
    </row>
    <row r="109" spans="2:28" x14ac:dyDescent="0.25">
      <c r="B109" s="1" t="s">
        <v>239</v>
      </c>
      <c r="C109" s="1" t="s">
        <v>114</v>
      </c>
      <c r="D109" s="1" t="s">
        <v>243</v>
      </c>
      <c r="E109" s="1" t="s">
        <v>206</v>
      </c>
      <c r="F109" s="2">
        <f t="shared" si="18"/>
        <v>0</v>
      </c>
      <c r="G109" s="4">
        <f>+VLOOKUP(C109,Indicadores!B:C,2,FALSE)</f>
        <v>0.77181818181818196</v>
      </c>
      <c r="H109" s="1" t="str">
        <f t="shared" si="19"/>
        <v>Cumple</v>
      </c>
      <c r="I109" s="5">
        <f t="shared" si="20"/>
        <v>0</v>
      </c>
      <c r="J109" s="9">
        <f t="shared" si="21"/>
        <v>0</v>
      </c>
      <c r="K109" s="4">
        <f>+VLOOKUP(C109,Indicadores!B:F,5,FALSE)</f>
        <v>1</v>
      </c>
      <c r="L109" s="1" t="str">
        <f t="shared" si="22"/>
        <v>Cumple</v>
      </c>
      <c r="M109" s="5">
        <f t="shared" si="23"/>
        <v>0</v>
      </c>
      <c r="N109" s="9">
        <f t="shared" si="17"/>
        <v>150000</v>
      </c>
      <c r="O109" s="4">
        <v>0.98</v>
      </c>
      <c r="P109" s="1" t="str">
        <f t="shared" si="24"/>
        <v>Cumple</v>
      </c>
      <c r="Q109" s="5">
        <f t="shared" si="25"/>
        <v>147000</v>
      </c>
      <c r="R109" s="5">
        <f t="shared" si="26"/>
        <v>50000</v>
      </c>
      <c r="S109" s="4">
        <f>+VLOOKUP(C109,Indicadores!B:Q,15,FALSE)</f>
        <v>0.4129666666666667</v>
      </c>
      <c r="T109" s="5" t="str">
        <f t="shared" si="27"/>
        <v>No Cumple</v>
      </c>
      <c r="U109" s="5">
        <f t="shared" si="28"/>
        <v>0</v>
      </c>
      <c r="V109" s="5">
        <f t="shared" si="29"/>
        <v>50000</v>
      </c>
      <c r="W109" s="4">
        <f>+VLOOKUP(C109,Indicadores!B:V,21,FALSE)</f>
        <v>1</v>
      </c>
      <c r="X109" s="35" t="str">
        <f t="shared" si="30"/>
        <v>Cumple</v>
      </c>
      <c r="Y109" s="2">
        <f t="shared" si="31"/>
        <v>50000</v>
      </c>
      <c r="Z109" s="5" t="str">
        <f t="shared" si="32"/>
        <v>SI</v>
      </c>
      <c r="AA109" s="5">
        <f t="shared" si="33"/>
        <v>197000</v>
      </c>
      <c r="AB109" s="1"/>
    </row>
    <row r="110" spans="2:28" x14ac:dyDescent="0.25">
      <c r="B110" s="1" t="s">
        <v>239</v>
      </c>
      <c r="C110" s="1" t="s">
        <v>115</v>
      </c>
      <c r="D110" s="1" t="s">
        <v>243</v>
      </c>
      <c r="E110" s="1" t="s">
        <v>206</v>
      </c>
      <c r="F110" s="2">
        <f t="shared" si="18"/>
        <v>0</v>
      </c>
      <c r="G110" s="4">
        <f>+VLOOKUP(C110,Indicadores!B:C,2,FALSE)</f>
        <v>0.75952727272727261</v>
      </c>
      <c r="H110" s="1" t="str">
        <f t="shared" si="19"/>
        <v>Cumple</v>
      </c>
      <c r="I110" s="5">
        <f t="shared" si="20"/>
        <v>0</v>
      </c>
      <c r="J110" s="9">
        <f t="shared" si="21"/>
        <v>0</v>
      </c>
      <c r="K110" s="4">
        <f>+VLOOKUP(C110,Indicadores!B:F,5,FALSE)</f>
        <v>1</v>
      </c>
      <c r="L110" s="1" t="str">
        <f t="shared" si="22"/>
        <v>Cumple</v>
      </c>
      <c r="M110" s="5">
        <f t="shared" si="23"/>
        <v>0</v>
      </c>
      <c r="N110" s="9">
        <f t="shared" si="17"/>
        <v>150000</v>
      </c>
      <c r="O110" s="4">
        <f>+VLOOKUP(C110,Indicadores!B:P,14,FALSE)</f>
        <v>1</v>
      </c>
      <c r="P110" s="1" t="str">
        <f t="shared" si="24"/>
        <v>Cumple</v>
      </c>
      <c r="Q110" s="5">
        <f t="shared" si="25"/>
        <v>150000</v>
      </c>
      <c r="R110" s="5">
        <f t="shared" si="26"/>
        <v>50000</v>
      </c>
      <c r="S110" s="4">
        <f>+VLOOKUP(C110,Indicadores!B:Q,15,FALSE)</f>
        <v>0.36210000000000003</v>
      </c>
      <c r="T110" s="5" t="str">
        <f t="shared" si="27"/>
        <v>No Cumple</v>
      </c>
      <c r="U110" s="5">
        <f t="shared" si="28"/>
        <v>0</v>
      </c>
      <c r="V110" s="5">
        <f t="shared" si="29"/>
        <v>50000</v>
      </c>
      <c r="W110" s="4">
        <f>+VLOOKUP(C110,Indicadores!B:V,21,FALSE)</f>
        <v>0.5</v>
      </c>
      <c r="X110" s="35" t="str">
        <f t="shared" si="30"/>
        <v>No Cumple</v>
      </c>
      <c r="Y110" s="2">
        <f t="shared" si="31"/>
        <v>0</v>
      </c>
      <c r="Z110" s="5" t="str">
        <f t="shared" si="32"/>
        <v>SI</v>
      </c>
      <c r="AA110" s="5">
        <f t="shared" si="33"/>
        <v>150000</v>
      </c>
      <c r="AB110" s="1"/>
    </row>
    <row r="111" spans="2:28" x14ac:dyDescent="0.25">
      <c r="B111" s="1" t="s">
        <v>239</v>
      </c>
      <c r="C111" s="1" t="s">
        <v>116</v>
      </c>
      <c r="D111" s="1" t="s">
        <v>243</v>
      </c>
      <c r="E111" s="1" t="s">
        <v>206</v>
      </c>
      <c r="F111" s="2">
        <f t="shared" si="18"/>
        <v>0</v>
      </c>
      <c r="G111" s="4">
        <f>+VLOOKUP(C111,Indicadores!B:C,2,FALSE)</f>
        <v>0.74268181818181811</v>
      </c>
      <c r="H111" s="1" t="str">
        <f t="shared" si="19"/>
        <v>Cumple</v>
      </c>
      <c r="I111" s="5">
        <f t="shared" si="20"/>
        <v>0</v>
      </c>
      <c r="J111" s="9">
        <f t="shared" si="21"/>
        <v>0</v>
      </c>
      <c r="K111" s="4">
        <f>+VLOOKUP(C111,Indicadores!B:F,5,FALSE)</f>
        <v>1</v>
      </c>
      <c r="L111" s="1" t="str">
        <f t="shared" si="22"/>
        <v>Cumple</v>
      </c>
      <c r="M111" s="5">
        <f t="shared" si="23"/>
        <v>0</v>
      </c>
      <c r="N111" s="9">
        <f t="shared" si="17"/>
        <v>150000</v>
      </c>
      <c r="O111" s="4">
        <v>0.98</v>
      </c>
      <c r="P111" s="1" t="str">
        <f t="shared" si="24"/>
        <v>Cumple</v>
      </c>
      <c r="Q111" s="5">
        <f t="shared" si="25"/>
        <v>147000</v>
      </c>
      <c r="R111" s="5">
        <f t="shared" si="26"/>
        <v>50000</v>
      </c>
      <c r="S111" s="4">
        <f>+VLOOKUP(C111,Indicadores!B:Q,15,FALSE)</f>
        <v>0.48333333333333334</v>
      </c>
      <c r="T111" s="5" t="str">
        <f t="shared" si="27"/>
        <v>No Cumple</v>
      </c>
      <c r="U111" s="5">
        <f t="shared" si="28"/>
        <v>0</v>
      </c>
      <c r="V111" s="5">
        <f t="shared" si="29"/>
        <v>50000</v>
      </c>
      <c r="W111" s="4">
        <f>+VLOOKUP(C111,Indicadores!B:V,21,FALSE)</f>
        <v>0.48304999999999998</v>
      </c>
      <c r="X111" s="35" t="str">
        <f t="shared" si="30"/>
        <v>No Cumple</v>
      </c>
      <c r="Y111" s="2">
        <f t="shared" si="31"/>
        <v>0</v>
      </c>
      <c r="Z111" s="5" t="str">
        <f t="shared" si="32"/>
        <v>SI</v>
      </c>
      <c r="AA111" s="5">
        <f t="shared" si="33"/>
        <v>147000</v>
      </c>
      <c r="AB111" s="1"/>
    </row>
    <row r="112" spans="2:28" x14ac:dyDescent="0.25">
      <c r="B112" s="1" t="s">
        <v>239</v>
      </c>
      <c r="C112" s="1" t="s">
        <v>117</v>
      </c>
      <c r="D112" s="1" t="s">
        <v>243</v>
      </c>
      <c r="E112" s="1" t="s">
        <v>206</v>
      </c>
      <c r="F112" s="2">
        <f t="shared" si="18"/>
        <v>0</v>
      </c>
      <c r="G112" s="4">
        <f>+VLOOKUP(C112,Indicadores!B:C,2,FALSE)</f>
        <v>0.76329999999999998</v>
      </c>
      <c r="H112" s="1" t="str">
        <f t="shared" si="19"/>
        <v>Cumple</v>
      </c>
      <c r="I112" s="5">
        <f t="shared" si="20"/>
        <v>0</v>
      </c>
      <c r="J112" s="9">
        <f t="shared" si="21"/>
        <v>0</v>
      </c>
      <c r="K112" s="4">
        <f>+VLOOKUP(C112,Indicadores!B:F,5,FALSE)</f>
        <v>0.8</v>
      </c>
      <c r="L112" s="1" t="str">
        <f t="shared" si="22"/>
        <v>Cumple</v>
      </c>
      <c r="M112" s="5">
        <f t="shared" si="23"/>
        <v>0</v>
      </c>
      <c r="N112" s="9">
        <f t="shared" si="17"/>
        <v>150000</v>
      </c>
      <c r="O112" s="4">
        <f>+VLOOKUP(C112,Indicadores!B:P,14,FALSE)</f>
        <v>1</v>
      </c>
      <c r="P112" s="1" t="str">
        <f t="shared" si="24"/>
        <v>Cumple</v>
      </c>
      <c r="Q112" s="5">
        <f t="shared" si="25"/>
        <v>150000</v>
      </c>
      <c r="R112" s="5">
        <f t="shared" si="26"/>
        <v>50000</v>
      </c>
      <c r="S112" s="4">
        <f>+VLOOKUP(C112,Indicadores!B:Q,15,FALSE)</f>
        <v>0.33333333333333331</v>
      </c>
      <c r="T112" s="5" t="str">
        <f t="shared" si="27"/>
        <v>No Cumple</v>
      </c>
      <c r="U112" s="5">
        <f t="shared" si="28"/>
        <v>0</v>
      </c>
      <c r="V112" s="5">
        <f t="shared" si="29"/>
        <v>50000</v>
      </c>
      <c r="W112" s="4">
        <f>+VLOOKUP(C112,Indicadores!B:V,21,FALSE)</f>
        <v>1</v>
      </c>
      <c r="X112" s="35" t="str">
        <f t="shared" si="30"/>
        <v>Cumple</v>
      </c>
      <c r="Y112" s="2">
        <f t="shared" si="31"/>
        <v>50000</v>
      </c>
      <c r="Z112" s="5" t="str">
        <f t="shared" si="32"/>
        <v>SI</v>
      </c>
      <c r="AA112" s="5">
        <f t="shared" si="33"/>
        <v>200000</v>
      </c>
      <c r="AB112" s="1"/>
    </row>
    <row r="113" spans="2:28" x14ac:dyDescent="0.25">
      <c r="B113" s="1" t="s">
        <v>239</v>
      </c>
      <c r="C113" s="1" t="s">
        <v>118</v>
      </c>
      <c r="D113" s="1" t="s">
        <v>243</v>
      </c>
      <c r="E113" s="1" t="s">
        <v>206</v>
      </c>
      <c r="F113" s="2">
        <f t="shared" si="18"/>
        <v>0</v>
      </c>
      <c r="G113" s="4">
        <f>+VLOOKUP(C113,Indicadores!B:C,2,FALSE)</f>
        <v>0.48588181818181814</v>
      </c>
      <c r="H113" s="1" t="str">
        <f t="shared" si="19"/>
        <v>No Cumple</v>
      </c>
      <c r="I113" s="5">
        <f t="shared" si="20"/>
        <v>0</v>
      </c>
      <c r="J113" s="9">
        <f t="shared" si="21"/>
        <v>0</v>
      </c>
      <c r="K113" s="4">
        <f>+VLOOKUP(C113,Indicadores!B:F,5,FALSE)</f>
        <v>0.6</v>
      </c>
      <c r="L113" s="1" t="str">
        <f t="shared" si="22"/>
        <v>No Cumple</v>
      </c>
      <c r="M113" s="5">
        <f t="shared" si="23"/>
        <v>0</v>
      </c>
      <c r="N113" s="9">
        <f t="shared" si="17"/>
        <v>150000</v>
      </c>
      <c r="O113" s="4">
        <f>+VLOOKUP(C113,Indicadores!B:P,14,FALSE)</f>
        <v>0.58620000000000005</v>
      </c>
      <c r="P113" s="1" t="str">
        <f t="shared" si="24"/>
        <v>No Cumple</v>
      </c>
      <c r="Q113" s="5">
        <f t="shared" si="25"/>
        <v>0</v>
      </c>
      <c r="R113" s="5">
        <f t="shared" si="26"/>
        <v>50000</v>
      </c>
      <c r="S113" s="4">
        <f>+VLOOKUP(C113,Indicadores!B:Q,15,FALSE)</f>
        <v>0.47746666666666665</v>
      </c>
      <c r="T113" s="5" t="str">
        <f t="shared" si="27"/>
        <v>No Cumple</v>
      </c>
      <c r="U113" s="5">
        <f t="shared" si="28"/>
        <v>0</v>
      </c>
      <c r="V113" s="5">
        <f t="shared" si="29"/>
        <v>50000</v>
      </c>
      <c r="W113" s="4">
        <f>+VLOOKUP(C113,Indicadores!B:V,21,FALSE)</f>
        <v>0.58620000000000005</v>
      </c>
      <c r="X113" s="35" t="str">
        <f t="shared" si="30"/>
        <v>No Cumple</v>
      </c>
      <c r="Y113" s="2">
        <f t="shared" si="31"/>
        <v>0</v>
      </c>
      <c r="Z113" s="5" t="str">
        <f t="shared" si="32"/>
        <v>NO</v>
      </c>
      <c r="AA113" s="5">
        <f t="shared" si="33"/>
        <v>0</v>
      </c>
      <c r="AB113" s="1"/>
    </row>
    <row r="114" spans="2:28" x14ac:dyDescent="0.25">
      <c r="B114" s="1" t="s">
        <v>239</v>
      </c>
      <c r="C114" s="1" t="s">
        <v>119</v>
      </c>
      <c r="D114" s="1" t="s">
        <v>243</v>
      </c>
      <c r="E114" s="1" t="s">
        <v>206</v>
      </c>
      <c r="F114" s="2">
        <f t="shared" si="18"/>
        <v>0</v>
      </c>
      <c r="G114" s="4">
        <f>+VLOOKUP(C114,Indicadores!B:C,2,FALSE)</f>
        <v>0.73012727272727274</v>
      </c>
      <c r="H114" s="1" t="str">
        <f t="shared" si="19"/>
        <v>Cumple</v>
      </c>
      <c r="I114" s="5">
        <f t="shared" si="20"/>
        <v>0</v>
      </c>
      <c r="J114" s="9">
        <f t="shared" si="21"/>
        <v>0</v>
      </c>
      <c r="K114" s="4">
        <f>+VLOOKUP(C114,Indicadores!B:F,5,FALSE)</f>
        <v>1</v>
      </c>
      <c r="L114" s="1" t="str">
        <f t="shared" si="22"/>
        <v>Cumple</v>
      </c>
      <c r="M114" s="5">
        <f t="shared" si="23"/>
        <v>0</v>
      </c>
      <c r="N114" s="9">
        <f t="shared" si="17"/>
        <v>150000</v>
      </c>
      <c r="O114" s="4">
        <f>+VLOOKUP(C114,Indicadores!B:P,14,FALSE)</f>
        <v>0.98440000000000005</v>
      </c>
      <c r="P114" s="1" t="str">
        <f t="shared" si="24"/>
        <v>Cumple</v>
      </c>
      <c r="Q114" s="5">
        <f t="shared" si="25"/>
        <v>0</v>
      </c>
      <c r="R114" s="5">
        <f t="shared" si="26"/>
        <v>50000</v>
      </c>
      <c r="S114" s="4">
        <f>+VLOOKUP(C114,Indicadores!B:Q,15,FALSE)</f>
        <v>0.3404666666666667</v>
      </c>
      <c r="T114" s="5" t="str">
        <f t="shared" si="27"/>
        <v>No Cumple</v>
      </c>
      <c r="U114" s="5">
        <f t="shared" si="28"/>
        <v>0</v>
      </c>
      <c r="V114" s="5">
        <f t="shared" si="29"/>
        <v>50000</v>
      </c>
      <c r="W114" s="4">
        <f>+VLOOKUP(C114,Indicadores!B:V,21,FALSE)</f>
        <v>0.98440000000000005</v>
      </c>
      <c r="X114" s="35" t="str">
        <f t="shared" si="30"/>
        <v>No Cumple</v>
      </c>
      <c r="Y114" s="2">
        <f t="shared" si="31"/>
        <v>0</v>
      </c>
      <c r="Z114" s="5" t="str">
        <f t="shared" si="32"/>
        <v>SI</v>
      </c>
      <c r="AA114" s="5">
        <f t="shared" si="33"/>
        <v>0</v>
      </c>
      <c r="AB114" s="8"/>
    </row>
    <row r="115" spans="2:28" x14ac:dyDescent="0.25">
      <c r="B115" s="1" t="s">
        <v>239</v>
      </c>
      <c r="C115" s="1" t="s">
        <v>120</v>
      </c>
      <c r="D115" s="1" t="s">
        <v>243</v>
      </c>
      <c r="E115" s="1" t="s">
        <v>206</v>
      </c>
      <c r="F115" s="2">
        <f t="shared" si="18"/>
        <v>0</v>
      </c>
      <c r="G115" s="4">
        <f>+VLOOKUP(C115,Indicadores!B:C,2,FALSE)</f>
        <v>0.76107272727272735</v>
      </c>
      <c r="H115" s="1" t="str">
        <f t="shared" si="19"/>
        <v>Cumple</v>
      </c>
      <c r="I115" s="5">
        <f t="shared" si="20"/>
        <v>0</v>
      </c>
      <c r="J115" s="9">
        <f t="shared" si="21"/>
        <v>0</v>
      </c>
      <c r="K115" s="4">
        <f>+VLOOKUP(C115,Indicadores!B:F,5,FALSE)</f>
        <v>0.88888888888888884</v>
      </c>
      <c r="L115" s="1" t="str">
        <f t="shared" si="22"/>
        <v>Cumple</v>
      </c>
      <c r="M115" s="5">
        <f t="shared" si="23"/>
        <v>0</v>
      </c>
      <c r="N115" s="9">
        <f t="shared" si="17"/>
        <v>150000</v>
      </c>
      <c r="O115" s="4">
        <v>0.98</v>
      </c>
      <c r="P115" s="1" t="str">
        <f t="shared" si="24"/>
        <v>Cumple</v>
      </c>
      <c r="Q115" s="5">
        <f t="shared" si="25"/>
        <v>147000</v>
      </c>
      <c r="R115" s="5">
        <f t="shared" si="26"/>
        <v>50000</v>
      </c>
      <c r="S115" s="4">
        <f>+VLOOKUP(C115,Indicadores!B:Q,15,FALSE)</f>
        <v>0.52253333333333341</v>
      </c>
      <c r="T115" s="5" t="str">
        <f t="shared" si="27"/>
        <v>No Cumple</v>
      </c>
      <c r="U115" s="5">
        <f t="shared" si="28"/>
        <v>0</v>
      </c>
      <c r="V115" s="5">
        <f t="shared" si="29"/>
        <v>50000</v>
      </c>
      <c r="W115" s="4">
        <f>+VLOOKUP(C115,Indicadores!B:V,21,FALSE)</f>
        <v>0.97670000000000001</v>
      </c>
      <c r="X115" s="35" t="str">
        <f t="shared" si="30"/>
        <v>No Cumple</v>
      </c>
      <c r="Y115" s="2">
        <f t="shared" si="31"/>
        <v>0</v>
      </c>
      <c r="Z115" s="5" t="str">
        <f t="shared" si="32"/>
        <v>SI</v>
      </c>
      <c r="AA115" s="5">
        <f t="shared" si="33"/>
        <v>147000</v>
      </c>
      <c r="AB115" s="1"/>
    </row>
    <row r="116" spans="2:28" x14ac:dyDescent="0.25">
      <c r="B116" s="1" t="s">
        <v>239</v>
      </c>
      <c r="C116" s="1" t="s">
        <v>121</v>
      </c>
      <c r="D116" s="1" t="s">
        <v>243</v>
      </c>
      <c r="E116" s="1" t="s">
        <v>206</v>
      </c>
      <c r="F116" s="2">
        <f t="shared" si="18"/>
        <v>0</v>
      </c>
      <c r="G116" s="4">
        <f>+VLOOKUP(C116,Indicadores!B:C,2,FALSE)</f>
        <v>0.81439090909090905</v>
      </c>
      <c r="H116" s="1" t="str">
        <f t="shared" si="19"/>
        <v>Cumple</v>
      </c>
      <c r="I116" s="5">
        <f t="shared" si="20"/>
        <v>0</v>
      </c>
      <c r="J116" s="9">
        <f t="shared" si="21"/>
        <v>0</v>
      </c>
      <c r="K116" s="4">
        <f>+VLOOKUP(C116,Indicadores!B:F,5,FALSE)</f>
        <v>0.83333333333333337</v>
      </c>
      <c r="L116" s="1" t="str">
        <f t="shared" si="22"/>
        <v>Cumple</v>
      </c>
      <c r="M116" s="5">
        <f t="shared" si="23"/>
        <v>0</v>
      </c>
      <c r="N116" s="9">
        <f t="shared" si="17"/>
        <v>150000</v>
      </c>
      <c r="O116" s="4">
        <v>0.98</v>
      </c>
      <c r="P116" s="1" t="str">
        <f t="shared" si="24"/>
        <v>Cumple</v>
      </c>
      <c r="Q116" s="5">
        <f t="shared" si="25"/>
        <v>147000</v>
      </c>
      <c r="R116" s="5">
        <f t="shared" si="26"/>
        <v>50000</v>
      </c>
      <c r="S116" s="4">
        <f>+VLOOKUP(C116,Indicadores!B:Q,15,FALSE)</f>
        <v>0.41310000000000002</v>
      </c>
      <c r="T116" s="5" t="str">
        <f t="shared" si="27"/>
        <v>No Cumple</v>
      </c>
      <c r="U116" s="5">
        <f t="shared" si="28"/>
        <v>0</v>
      </c>
      <c r="V116" s="5">
        <f t="shared" si="29"/>
        <v>50000</v>
      </c>
      <c r="W116" s="4">
        <f>+VLOOKUP(C116,Indicadores!B:V,21,FALSE)</f>
        <v>0.5</v>
      </c>
      <c r="X116" s="35" t="str">
        <f t="shared" si="30"/>
        <v>No Cumple</v>
      </c>
      <c r="Y116" s="2">
        <f t="shared" si="31"/>
        <v>0</v>
      </c>
      <c r="Z116" s="5" t="str">
        <f t="shared" si="32"/>
        <v>SI</v>
      </c>
      <c r="AA116" s="5">
        <f t="shared" si="33"/>
        <v>147000</v>
      </c>
      <c r="AB116" s="1"/>
    </row>
    <row r="117" spans="2:28" x14ac:dyDescent="0.25">
      <c r="B117" s="1" t="s">
        <v>239</v>
      </c>
      <c r="C117" s="1" t="s">
        <v>122</v>
      </c>
      <c r="D117" s="1" t="s">
        <v>243</v>
      </c>
      <c r="E117" s="1" t="s">
        <v>206</v>
      </c>
      <c r="F117" s="2">
        <f t="shared" si="18"/>
        <v>0</v>
      </c>
      <c r="G117" s="4">
        <f>+VLOOKUP(C117,Indicadores!B:C,2,FALSE)</f>
        <v>0.81191818181818176</v>
      </c>
      <c r="H117" s="1" t="str">
        <f t="shared" si="19"/>
        <v>Cumple</v>
      </c>
      <c r="I117" s="5">
        <f t="shared" si="20"/>
        <v>0</v>
      </c>
      <c r="J117" s="9">
        <f t="shared" si="21"/>
        <v>0</v>
      </c>
      <c r="K117" s="4">
        <f>+VLOOKUP(C117,Indicadores!B:F,5,FALSE)</f>
        <v>1</v>
      </c>
      <c r="L117" s="1" t="str">
        <f t="shared" si="22"/>
        <v>Cumple</v>
      </c>
      <c r="M117" s="5">
        <f t="shared" si="23"/>
        <v>0</v>
      </c>
      <c r="N117" s="9">
        <f t="shared" si="17"/>
        <v>150000</v>
      </c>
      <c r="O117" s="4">
        <f>+VLOOKUP(C117,Indicadores!B:P,14,FALSE)</f>
        <v>1</v>
      </c>
      <c r="P117" s="1" t="str">
        <f t="shared" si="24"/>
        <v>Cumple</v>
      </c>
      <c r="Q117" s="5">
        <f t="shared" si="25"/>
        <v>150000</v>
      </c>
      <c r="R117" s="5">
        <f t="shared" si="26"/>
        <v>50000</v>
      </c>
      <c r="S117" s="4">
        <f>+VLOOKUP(C117,Indicadores!B:Q,15,FALSE)</f>
        <v>0.46429999999999999</v>
      </c>
      <c r="T117" s="5" t="str">
        <f t="shared" si="27"/>
        <v>No Cumple</v>
      </c>
      <c r="U117" s="5">
        <f t="shared" si="28"/>
        <v>0</v>
      </c>
      <c r="V117" s="5">
        <f t="shared" si="29"/>
        <v>50000</v>
      </c>
      <c r="W117" s="4">
        <f>+VLOOKUP(C117,Indicadores!B:V,21,FALSE)</f>
        <v>1</v>
      </c>
      <c r="X117" s="35" t="str">
        <f t="shared" si="30"/>
        <v>Cumple</v>
      </c>
      <c r="Y117" s="2">
        <f t="shared" si="31"/>
        <v>50000</v>
      </c>
      <c r="Z117" s="5" t="str">
        <f t="shared" si="32"/>
        <v>SI</v>
      </c>
      <c r="AA117" s="5">
        <f t="shared" si="33"/>
        <v>200000</v>
      </c>
      <c r="AB117" s="1"/>
    </row>
    <row r="118" spans="2:28" x14ac:dyDescent="0.25">
      <c r="B118" s="1" t="s">
        <v>239</v>
      </c>
      <c r="C118" s="1" t="s">
        <v>123</v>
      </c>
      <c r="D118" s="1" t="s">
        <v>243</v>
      </c>
      <c r="E118" s="1" t="s">
        <v>206</v>
      </c>
      <c r="F118" s="2">
        <f t="shared" si="18"/>
        <v>0</v>
      </c>
      <c r="G118" s="4">
        <f>+VLOOKUP(C118,Indicadores!B:C,2,FALSE)</f>
        <v>0.75828181818181806</v>
      </c>
      <c r="H118" s="1" t="str">
        <f t="shared" si="19"/>
        <v>Cumple</v>
      </c>
      <c r="I118" s="5">
        <f t="shared" si="20"/>
        <v>0</v>
      </c>
      <c r="J118" s="9">
        <f t="shared" si="21"/>
        <v>0</v>
      </c>
      <c r="K118" s="4">
        <f>+VLOOKUP(C118,Indicadores!B:F,5,FALSE)</f>
        <v>1</v>
      </c>
      <c r="L118" s="1" t="str">
        <f t="shared" si="22"/>
        <v>Cumple</v>
      </c>
      <c r="M118" s="5">
        <f t="shared" si="23"/>
        <v>0</v>
      </c>
      <c r="N118" s="9">
        <f t="shared" si="17"/>
        <v>150000</v>
      </c>
      <c r="O118" s="4">
        <f>+VLOOKUP(C118,Indicadores!B:P,14,FALSE)</f>
        <v>0.97729999999999995</v>
      </c>
      <c r="P118" s="1" t="str">
        <f t="shared" si="24"/>
        <v>Cumple</v>
      </c>
      <c r="Q118" s="5">
        <f t="shared" si="25"/>
        <v>0</v>
      </c>
      <c r="R118" s="5">
        <f t="shared" si="26"/>
        <v>50000</v>
      </c>
      <c r="S118" s="4">
        <f>+VLOOKUP(C118,Indicadores!B:Q,15,FALSE)</f>
        <v>0.3358666666666667</v>
      </c>
      <c r="T118" s="5" t="str">
        <f t="shared" si="27"/>
        <v>No Cumple</v>
      </c>
      <c r="U118" s="5">
        <f t="shared" si="28"/>
        <v>0</v>
      </c>
      <c r="V118" s="5">
        <f t="shared" si="29"/>
        <v>50000</v>
      </c>
      <c r="W118" s="4">
        <f>+VLOOKUP(C118,Indicadores!B:V,21,FALSE)</f>
        <v>0.97729999999999995</v>
      </c>
      <c r="X118" s="35" t="str">
        <f t="shared" si="30"/>
        <v>No Cumple</v>
      </c>
      <c r="Y118" s="2">
        <f t="shared" si="31"/>
        <v>0</v>
      </c>
      <c r="Z118" s="5" t="str">
        <f t="shared" si="32"/>
        <v>SI</v>
      </c>
      <c r="AA118" s="5">
        <f t="shared" si="33"/>
        <v>0</v>
      </c>
      <c r="AB118" s="1"/>
    </row>
    <row r="119" spans="2:28" x14ac:dyDescent="0.25">
      <c r="B119" s="1" t="s">
        <v>233</v>
      </c>
      <c r="C119" s="1" t="s">
        <v>124</v>
      </c>
      <c r="D119" s="1" t="s">
        <v>241</v>
      </c>
      <c r="E119" s="1" t="s">
        <v>207</v>
      </c>
      <c r="F119" s="2">
        <f t="shared" si="18"/>
        <v>0</v>
      </c>
      <c r="G119" s="4">
        <f>+VLOOKUP(C119,Indicadores!B:C,2,FALSE)</f>
        <v>0.77711818181818171</v>
      </c>
      <c r="H119" s="1" t="str">
        <f t="shared" si="19"/>
        <v>Cumple</v>
      </c>
      <c r="I119" s="5">
        <f t="shared" si="20"/>
        <v>0</v>
      </c>
      <c r="J119" s="9">
        <f t="shared" si="21"/>
        <v>0</v>
      </c>
      <c r="K119" s="4">
        <f>+VLOOKUP(C119,Indicadores!B:F,5,FALSE)</f>
        <v>1</v>
      </c>
      <c r="L119" s="1" t="str">
        <f t="shared" si="22"/>
        <v>Cumple</v>
      </c>
      <c r="M119" s="5">
        <f t="shared" si="23"/>
        <v>0</v>
      </c>
      <c r="N119" s="9">
        <f t="shared" si="17"/>
        <v>150000</v>
      </c>
      <c r="O119" s="4">
        <f>+VLOOKUP(C119,Indicadores!B:P,14,FALSE)</f>
        <v>1</v>
      </c>
      <c r="P119" s="1" t="str">
        <f t="shared" si="24"/>
        <v>Cumple</v>
      </c>
      <c r="Q119" s="5">
        <f t="shared" si="25"/>
        <v>150000</v>
      </c>
      <c r="R119" s="5">
        <f t="shared" si="26"/>
        <v>50000</v>
      </c>
      <c r="S119" s="4">
        <f>+VLOOKUP(C119,Indicadores!B:Q,15,FALSE)</f>
        <v>0.59856666666666669</v>
      </c>
      <c r="T119" s="5" t="str">
        <f t="shared" si="27"/>
        <v>No Cumple</v>
      </c>
      <c r="U119" s="5">
        <f t="shared" si="28"/>
        <v>0</v>
      </c>
      <c r="V119" s="5">
        <f t="shared" si="29"/>
        <v>50000</v>
      </c>
      <c r="W119" s="4">
        <f>+VLOOKUP(C119,Indicadores!B:V,21,FALSE)</f>
        <v>0.5</v>
      </c>
      <c r="X119" s="35" t="str">
        <f t="shared" si="30"/>
        <v>No Cumple</v>
      </c>
      <c r="Y119" s="2">
        <f t="shared" si="31"/>
        <v>0</v>
      </c>
      <c r="Z119" s="5" t="str">
        <f t="shared" si="32"/>
        <v>SI</v>
      </c>
      <c r="AA119" s="5">
        <f t="shared" si="33"/>
        <v>150000</v>
      </c>
      <c r="AB119" s="1"/>
    </row>
    <row r="120" spans="2:28" x14ac:dyDescent="0.25">
      <c r="B120" s="1" t="s">
        <v>233</v>
      </c>
      <c r="C120" s="1" t="s">
        <v>125</v>
      </c>
      <c r="D120" s="1" t="s">
        <v>241</v>
      </c>
      <c r="E120" s="1" t="s">
        <v>207</v>
      </c>
      <c r="F120" s="2">
        <f t="shared" si="18"/>
        <v>0</v>
      </c>
      <c r="G120" s="4">
        <f>+VLOOKUP(C120,Indicadores!B:C,2,FALSE)</f>
        <v>0.82110909090909101</v>
      </c>
      <c r="H120" s="1" t="str">
        <f t="shared" si="19"/>
        <v>Cumple</v>
      </c>
      <c r="I120" s="5">
        <f t="shared" si="20"/>
        <v>0</v>
      </c>
      <c r="J120" s="9">
        <f t="shared" si="21"/>
        <v>0</v>
      </c>
      <c r="K120" s="4">
        <f>+VLOOKUP(C120,Indicadores!B:F,5,FALSE)</f>
        <v>1</v>
      </c>
      <c r="L120" s="1" t="str">
        <f t="shared" si="22"/>
        <v>Cumple</v>
      </c>
      <c r="M120" s="5">
        <f t="shared" si="23"/>
        <v>0</v>
      </c>
      <c r="N120" s="9">
        <f t="shared" si="17"/>
        <v>150000</v>
      </c>
      <c r="O120" s="4">
        <f>+VLOOKUP(C120,Indicadores!B:P,14,FALSE)</f>
        <v>1</v>
      </c>
      <c r="P120" s="1" t="str">
        <f t="shared" si="24"/>
        <v>Cumple</v>
      </c>
      <c r="Q120" s="5">
        <f t="shared" si="25"/>
        <v>150000</v>
      </c>
      <c r="R120" s="5">
        <f t="shared" si="26"/>
        <v>50000</v>
      </c>
      <c r="S120" s="4">
        <f>+VLOOKUP(C120,Indicadores!B:Q,15,FALSE)</f>
        <v>0.7161333333333334</v>
      </c>
      <c r="T120" s="5" t="str">
        <f t="shared" si="27"/>
        <v>No Cumple</v>
      </c>
      <c r="U120" s="5">
        <f t="shared" si="28"/>
        <v>0</v>
      </c>
      <c r="V120" s="5">
        <f t="shared" si="29"/>
        <v>50000</v>
      </c>
      <c r="W120" s="4">
        <f>+VLOOKUP(C120,Indicadores!B:V,21,FALSE)</f>
        <v>0.5</v>
      </c>
      <c r="X120" s="35" t="str">
        <f t="shared" si="30"/>
        <v>No Cumple</v>
      </c>
      <c r="Y120" s="2">
        <f t="shared" si="31"/>
        <v>0</v>
      </c>
      <c r="Z120" s="5" t="str">
        <f t="shared" si="32"/>
        <v>SI</v>
      </c>
      <c r="AA120" s="5">
        <f t="shared" si="33"/>
        <v>150000</v>
      </c>
      <c r="AB120" s="1"/>
    </row>
    <row r="121" spans="2:28" x14ac:dyDescent="0.25">
      <c r="B121" s="1" t="s">
        <v>233</v>
      </c>
      <c r="C121" s="1" t="s">
        <v>126</v>
      </c>
      <c r="D121" s="1" t="s">
        <v>241</v>
      </c>
      <c r="E121" s="1" t="s">
        <v>207</v>
      </c>
      <c r="F121" s="2">
        <f t="shared" si="18"/>
        <v>0</v>
      </c>
      <c r="G121" s="4">
        <f>+VLOOKUP(C121,Indicadores!B:C,2,FALSE)</f>
        <v>0.7461363636363636</v>
      </c>
      <c r="H121" s="1" t="str">
        <f t="shared" si="19"/>
        <v>Cumple</v>
      </c>
      <c r="I121" s="5">
        <f t="shared" si="20"/>
        <v>0</v>
      </c>
      <c r="J121" s="9">
        <f t="shared" si="21"/>
        <v>0</v>
      </c>
      <c r="K121" s="4">
        <f>+VLOOKUP(C121,Indicadores!B:F,5,FALSE)</f>
        <v>1</v>
      </c>
      <c r="L121" s="1" t="str">
        <f t="shared" si="22"/>
        <v>Cumple</v>
      </c>
      <c r="M121" s="5">
        <f t="shared" si="23"/>
        <v>0</v>
      </c>
      <c r="N121" s="9">
        <f t="shared" si="17"/>
        <v>150000</v>
      </c>
      <c r="O121" s="4">
        <f>+VLOOKUP(C121,Indicadores!B:P,14,FALSE)</f>
        <v>0.87009999999999998</v>
      </c>
      <c r="P121" s="1" t="str">
        <f t="shared" si="24"/>
        <v>Cumple</v>
      </c>
      <c r="Q121" s="5">
        <f t="shared" si="25"/>
        <v>120000</v>
      </c>
      <c r="R121" s="5">
        <f t="shared" si="26"/>
        <v>50000</v>
      </c>
      <c r="S121" s="4">
        <f>+VLOOKUP(C121,Indicadores!B:Q,15,FALSE)</f>
        <v>0.68493333333333328</v>
      </c>
      <c r="T121" s="5" t="str">
        <f t="shared" si="27"/>
        <v>No Cumple</v>
      </c>
      <c r="U121" s="5">
        <f t="shared" si="28"/>
        <v>0</v>
      </c>
      <c r="V121" s="5">
        <f t="shared" si="29"/>
        <v>50000</v>
      </c>
      <c r="W121" s="4">
        <f>+VLOOKUP(C121,Indicadores!B:V,21,FALSE)</f>
        <v>0.93504999999999994</v>
      </c>
      <c r="X121" s="35" t="str">
        <f t="shared" si="30"/>
        <v>No Cumple</v>
      </c>
      <c r="Y121" s="2">
        <f t="shared" si="31"/>
        <v>0</v>
      </c>
      <c r="Z121" s="5" t="str">
        <f t="shared" si="32"/>
        <v>SI</v>
      </c>
      <c r="AA121" s="5">
        <f t="shared" si="33"/>
        <v>120000</v>
      </c>
      <c r="AB121" s="1"/>
    </row>
    <row r="122" spans="2:28" x14ac:dyDescent="0.25">
      <c r="B122" s="1" t="s">
        <v>233</v>
      </c>
      <c r="C122" s="1" t="s">
        <v>127</v>
      </c>
      <c r="D122" s="1" t="s">
        <v>241</v>
      </c>
      <c r="E122" s="1" t="s">
        <v>207</v>
      </c>
      <c r="F122" s="2">
        <f t="shared" si="18"/>
        <v>0</v>
      </c>
      <c r="G122" s="4">
        <f>+VLOOKUP(C122,Indicadores!B:C,2,FALSE)</f>
        <v>0.80471818181818189</v>
      </c>
      <c r="H122" s="1" t="str">
        <f t="shared" si="19"/>
        <v>Cumple</v>
      </c>
      <c r="I122" s="5">
        <f t="shared" si="20"/>
        <v>0</v>
      </c>
      <c r="J122" s="9">
        <f t="shared" si="21"/>
        <v>0</v>
      </c>
      <c r="K122" s="4">
        <f>+VLOOKUP(C122,Indicadores!B:F,5,FALSE)</f>
        <v>1</v>
      </c>
      <c r="L122" s="1" t="str">
        <f t="shared" si="22"/>
        <v>Cumple</v>
      </c>
      <c r="M122" s="5">
        <f t="shared" si="23"/>
        <v>0</v>
      </c>
      <c r="N122" s="9">
        <f t="shared" si="17"/>
        <v>150000</v>
      </c>
      <c r="O122" s="4">
        <f>+VLOOKUP(C122,Indicadores!B:P,14,FALSE)</f>
        <v>1</v>
      </c>
      <c r="P122" s="1" t="str">
        <f t="shared" si="24"/>
        <v>Cumple</v>
      </c>
      <c r="Q122" s="5">
        <f t="shared" si="25"/>
        <v>150000</v>
      </c>
      <c r="R122" s="5">
        <f t="shared" si="26"/>
        <v>50000</v>
      </c>
      <c r="S122" s="4">
        <f>+VLOOKUP(C122,Indicadores!B:Q,15,FALSE)</f>
        <v>0.35803333333333337</v>
      </c>
      <c r="T122" s="5" t="str">
        <f t="shared" si="27"/>
        <v>No Cumple</v>
      </c>
      <c r="U122" s="5">
        <f t="shared" si="28"/>
        <v>0</v>
      </c>
      <c r="V122" s="5">
        <f t="shared" si="29"/>
        <v>50000</v>
      </c>
      <c r="W122" s="4">
        <f>+VLOOKUP(C122,Indicadores!B:V,21,FALSE)</f>
        <v>1</v>
      </c>
      <c r="X122" s="35" t="str">
        <f t="shared" si="30"/>
        <v>Cumple</v>
      </c>
      <c r="Y122" s="2">
        <f t="shared" si="31"/>
        <v>50000</v>
      </c>
      <c r="Z122" s="5" t="str">
        <f t="shared" si="32"/>
        <v>SI</v>
      </c>
      <c r="AA122" s="5">
        <f t="shared" si="33"/>
        <v>200000</v>
      </c>
      <c r="AB122" s="1"/>
    </row>
    <row r="123" spans="2:28" x14ac:dyDescent="0.25">
      <c r="B123" s="1" t="s">
        <v>233</v>
      </c>
      <c r="C123" s="1" t="s">
        <v>128</v>
      </c>
      <c r="D123" s="1" t="s">
        <v>241</v>
      </c>
      <c r="E123" s="1" t="s">
        <v>207</v>
      </c>
      <c r="F123" s="2">
        <f t="shared" si="18"/>
        <v>0</v>
      </c>
      <c r="G123" s="4">
        <f>+VLOOKUP(C123,Indicadores!B:C,2,FALSE)</f>
        <v>0.8561727272727272</v>
      </c>
      <c r="H123" s="1" t="str">
        <f t="shared" si="19"/>
        <v>Cumple</v>
      </c>
      <c r="I123" s="5">
        <f t="shared" si="20"/>
        <v>0</v>
      </c>
      <c r="J123" s="9">
        <f t="shared" si="21"/>
        <v>0</v>
      </c>
      <c r="K123" s="4">
        <f>+VLOOKUP(C123,Indicadores!B:F,5,FALSE)</f>
        <v>1</v>
      </c>
      <c r="L123" s="1" t="str">
        <f t="shared" si="22"/>
        <v>Cumple</v>
      </c>
      <c r="M123" s="5">
        <f t="shared" si="23"/>
        <v>0</v>
      </c>
      <c r="N123" s="9">
        <f t="shared" si="17"/>
        <v>150000</v>
      </c>
      <c r="O123" s="4">
        <f>+VLOOKUP(C123,Indicadores!B:P,14,FALSE)</f>
        <v>1</v>
      </c>
      <c r="P123" s="1" t="str">
        <f t="shared" si="24"/>
        <v>Cumple</v>
      </c>
      <c r="Q123" s="5">
        <f t="shared" si="25"/>
        <v>150000</v>
      </c>
      <c r="R123" s="5">
        <f t="shared" si="26"/>
        <v>50000</v>
      </c>
      <c r="S123" s="4">
        <f>+VLOOKUP(C123,Indicadores!B:Q,15,FALSE)</f>
        <v>0.65063333333333329</v>
      </c>
      <c r="T123" s="5" t="str">
        <f t="shared" si="27"/>
        <v>No Cumple</v>
      </c>
      <c r="U123" s="5">
        <f t="shared" si="28"/>
        <v>0</v>
      </c>
      <c r="V123" s="5">
        <f t="shared" si="29"/>
        <v>50000</v>
      </c>
      <c r="W123" s="4">
        <f>+VLOOKUP(C123,Indicadores!B:V,21,FALSE)</f>
        <v>1</v>
      </c>
      <c r="X123" s="35" t="str">
        <f t="shared" si="30"/>
        <v>Cumple</v>
      </c>
      <c r="Y123" s="2">
        <f t="shared" si="31"/>
        <v>50000</v>
      </c>
      <c r="Z123" s="5" t="str">
        <f t="shared" si="32"/>
        <v>SI</v>
      </c>
      <c r="AA123" s="5">
        <f t="shared" si="33"/>
        <v>200000</v>
      </c>
      <c r="AB123" s="1"/>
    </row>
    <row r="124" spans="2:28" x14ac:dyDescent="0.25">
      <c r="B124" s="1" t="s">
        <v>233</v>
      </c>
      <c r="C124" s="1" t="s">
        <v>129</v>
      </c>
      <c r="D124" s="1" t="s">
        <v>241</v>
      </c>
      <c r="E124" s="1" t="s">
        <v>207</v>
      </c>
      <c r="F124" s="2">
        <f t="shared" si="18"/>
        <v>0</v>
      </c>
      <c r="G124" s="4">
        <f>+VLOOKUP(C124,Indicadores!B:C,2,FALSE)</f>
        <v>0.75589090909090906</v>
      </c>
      <c r="H124" s="1" t="str">
        <f t="shared" si="19"/>
        <v>Cumple</v>
      </c>
      <c r="I124" s="5">
        <f t="shared" si="20"/>
        <v>0</v>
      </c>
      <c r="J124" s="9">
        <f t="shared" si="21"/>
        <v>0</v>
      </c>
      <c r="K124" s="4">
        <f>+VLOOKUP(C124,Indicadores!B:F,5,FALSE)</f>
        <v>1</v>
      </c>
      <c r="L124" s="1" t="str">
        <f t="shared" si="22"/>
        <v>Cumple</v>
      </c>
      <c r="M124" s="5">
        <f t="shared" si="23"/>
        <v>0</v>
      </c>
      <c r="N124" s="9">
        <f t="shared" si="17"/>
        <v>150000</v>
      </c>
      <c r="O124" s="4">
        <f>+VLOOKUP(C124,Indicadores!B:P,14,FALSE)</f>
        <v>0.92589999999999995</v>
      </c>
      <c r="P124" s="1" t="str">
        <f t="shared" si="24"/>
        <v>Cumple</v>
      </c>
      <c r="Q124" s="5">
        <f t="shared" si="25"/>
        <v>135000</v>
      </c>
      <c r="R124" s="5">
        <f t="shared" si="26"/>
        <v>50000</v>
      </c>
      <c r="S124" s="4">
        <f>+VLOOKUP(C124,Indicadores!B:Q,15,FALSE)</f>
        <v>0.49806666666666666</v>
      </c>
      <c r="T124" s="5" t="str">
        <f t="shared" si="27"/>
        <v>No Cumple</v>
      </c>
      <c r="U124" s="5">
        <f t="shared" si="28"/>
        <v>0</v>
      </c>
      <c r="V124" s="5">
        <f t="shared" si="29"/>
        <v>50000</v>
      </c>
      <c r="W124" s="4">
        <f>+VLOOKUP(C124,Indicadores!B:V,21,FALSE)</f>
        <v>0.98609999999999998</v>
      </c>
      <c r="X124" s="35" t="str">
        <f t="shared" si="30"/>
        <v>No Cumple</v>
      </c>
      <c r="Y124" s="2">
        <f t="shared" si="31"/>
        <v>0</v>
      </c>
      <c r="Z124" s="5" t="str">
        <f t="shared" si="32"/>
        <v>SI</v>
      </c>
      <c r="AA124" s="5">
        <f t="shared" si="33"/>
        <v>135000</v>
      </c>
      <c r="AB124" s="1"/>
    </row>
    <row r="125" spans="2:28" x14ac:dyDescent="0.25">
      <c r="B125" s="1" t="s">
        <v>233</v>
      </c>
      <c r="C125" s="1" t="s">
        <v>130</v>
      </c>
      <c r="D125" s="1" t="s">
        <v>241</v>
      </c>
      <c r="E125" s="1" t="s">
        <v>207</v>
      </c>
      <c r="F125" s="2">
        <f t="shared" si="18"/>
        <v>0</v>
      </c>
      <c r="G125" s="4">
        <f>+VLOOKUP(C125,Indicadores!B:C,2,FALSE)</f>
        <v>0.75394545454545459</v>
      </c>
      <c r="H125" s="1" t="str">
        <f t="shared" si="19"/>
        <v>Cumple</v>
      </c>
      <c r="I125" s="5">
        <f t="shared" si="20"/>
        <v>0</v>
      </c>
      <c r="J125" s="9">
        <f t="shared" si="21"/>
        <v>0</v>
      </c>
      <c r="K125" s="4">
        <f>+VLOOKUP(C125,Indicadores!B:F,5,FALSE)</f>
        <v>1</v>
      </c>
      <c r="L125" s="1" t="str">
        <f t="shared" si="22"/>
        <v>Cumple</v>
      </c>
      <c r="M125" s="5">
        <f t="shared" si="23"/>
        <v>0</v>
      </c>
      <c r="N125" s="9">
        <f t="shared" si="17"/>
        <v>150000</v>
      </c>
      <c r="O125" s="4">
        <f>+VLOOKUP(C125,Indicadores!B:P,14,FALSE)</f>
        <v>0.93330000000000002</v>
      </c>
      <c r="P125" s="1" t="str">
        <f t="shared" si="24"/>
        <v>Cumple</v>
      </c>
      <c r="Q125" s="5">
        <f t="shared" si="25"/>
        <v>135000</v>
      </c>
      <c r="R125" s="5">
        <f t="shared" si="26"/>
        <v>50000</v>
      </c>
      <c r="S125" s="4">
        <f>+VLOOKUP(C125,Indicadores!B:Q,15,FALSE)</f>
        <v>0.63406666666666667</v>
      </c>
      <c r="T125" s="5" t="str">
        <f t="shared" si="27"/>
        <v>No Cumple</v>
      </c>
      <c r="U125" s="5">
        <f t="shared" si="28"/>
        <v>0</v>
      </c>
      <c r="V125" s="5">
        <f t="shared" si="29"/>
        <v>50000</v>
      </c>
      <c r="W125" s="4">
        <f>+VLOOKUP(C125,Indicadores!B:V,21,FALSE)</f>
        <v>0.99334999999999996</v>
      </c>
      <c r="X125" s="35" t="str">
        <f t="shared" si="30"/>
        <v>No Cumple</v>
      </c>
      <c r="Y125" s="2">
        <f t="shared" si="31"/>
        <v>0</v>
      </c>
      <c r="Z125" s="5" t="str">
        <f t="shared" si="32"/>
        <v>SI</v>
      </c>
      <c r="AA125" s="5">
        <f t="shared" si="33"/>
        <v>135000</v>
      </c>
      <c r="AB125" s="1"/>
    </row>
    <row r="126" spans="2:28" x14ac:dyDescent="0.25">
      <c r="B126" s="1" t="s">
        <v>233</v>
      </c>
      <c r="C126" s="1" t="s">
        <v>131</v>
      </c>
      <c r="D126" s="1" t="s">
        <v>241</v>
      </c>
      <c r="E126" s="1" t="s">
        <v>207</v>
      </c>
      <c r="F126" s="2">
        <f t="shared" si="18"/>
        <v>0</v>
      </c>
      <c r="G126" s="4">
        <f>+VLOOKUP(C126,Indicadores!B:C,2,FALSE)</f>
        <v>0.77742727272727274</v>
      </c>
      <c r="H126" s="1" t="str">
        <f t="shared" si="19"/>
        <v>Cumple</v>
      </c>
      <c r="I126" s="5">
        <f t="shared" si="20"/>
        <v>0</v>
      </c>
      <c r="J126" s="9">
        <f t="shared" si="21"/>
        <v>0</v>
      </c>
      <c r="K126" s="4">
        <f>+VLOOKUP(C126,Indicadores!B:F,5,FALSE)</f>
        <v>1</v>
      </c>
      <c r="L126" s="1" t="str">
        <f t="shared" si="22"/>
        <v>Cumple</v>
      </c>
      <c r="M126" s="5">
        <f t="shared" si="23"/>
        <v>0</v>
      </c>
      <c r="N126" s="9">
        <f t="shared" si="17"/>
        <v>150000</v>
      </c>
      <c r="O126" s="4">
        <f>+VLOOKUP(C126,Indicadores!B:P,14,FALSE)</f>
        <v>1</v>
      </c>
      <c r="P126" s="1" t="str">
        <f t="shared" si="24"/>
        <v>Cumple</v>
      </c>
      <c r="Q126" s="5">
        <f t="shared" si="25"/>
        <v>150000</v>
      </c>
      <c r="R126" s="5">
        <f t="shared" si="26"/>
        <v>50000</v>
      </c>
      <c r="S126" s="4">
        <f>+VLOOKUP(C126,Indicadores!B:Q,15,FALSE)</f>
        <v>0.46743333333333331</v>
      </c>
      <c r="T126" s="5" t="str">
        <f t="shared" si="27"/>
        <v>No Cumple</v>
      </c>
      <c r="U126" s="5">
        <f t="shared" si="28"/>
        <v>0</v>
      </c>
      <c r="V126" s="5">
        <f t="shared" si="29"/>
        <v>50000</v>
      </c>
      <c r="W126" s="4">
        <f>+VLOOKUP(C126,Indicadores!B:V,21,FALSE)</f>
        <v>1</v>
      </c>
      <c r="X126" s="35" t="str">
        <f t="shared" si="30"/>
        <v>Cumple</v>
      </c>
      <c r="Y126" s="2">
        <f t="shared" si="31"/>
        <v>50000</v>
      </c>
      <c r="Z126" s="5" t="str">
        <f t="shared" si="32"/>
        <v>SI</v>
      </c>
      <c r="AA126" s="5">
        <f t="shared" si="33"/>
        <v>200000</v>
      </c>
      <c r="AB126" s="1"/>
    </row>
    <row r="127" spans="2:28" x14ac:dyDescent="0.25">
      <c r="B127" s="1" t="s">
        <v>233</v>
      </c>
      <c r="C127" s="1" t="s">
        <v>132</v>
      </c>
      <c r="D127" s="1" t="s">
        <v>241</v>
      </c>
      <c r="E127" s="1" t="s">
        <v>207</v>
      </c>
      <c r="F127" s="2">
        <f t="shared" si="18"/>
        <v>0</v>
      </c>
      <c r="G127" s="4">
        <f>+VLOOKUP(C127,Indicadores!B:C,2,FALSE)</f>
        <v>0.77994545454545472</v>
      </c>
      <c r="H127" s="1" t="str">
        <f t="shared" si="19"/>
        <v>Cumple</v>
      </c>
      <c r="I127" s="5">
        <f t="shared" si="20"/>
        <v>0</v>
      </c>
      <c r="J127" s="9">
        <f t="shared" si="21"/>
        <v>0</v>
      </c>
      <c r="K127" s="4">
        <f>+VLOOKUP(C127,Indicadores!B:F,5,FALSE)</f>
        <v>1</v>
      </c>
      <c r="L127" s="1" t="str">
        <f t="shared" si="22"/>
        <v>Cumple</v>
      </c>
      <c r="M127" s="5">
        <f t="shared" si="23"/>
        <v>0</v>
      </c>
      <c r="N127" s="9">
        <f t="shared" si="17"/>
        <v>150000</v>
      </c>
      <c r="O127" s="4">
        <f>+VLOOKUP(C127,Indicadores!B:P,14,FALSE)</f>
        <v>1</v>
      </c>
      <c r="P127" s="1" t="str">
        <f t="shared" si="24"/>
        <v>Cumple</v>
      </c>
      <c r="Q127" s="5">
        <f t="shared" si="25"/>
        <v>150000</v>
      </c>
      <c r="R127" s="5">
        <f t="shared" si="26"/>
        <v>50000</v>
      </c>
      <c r="S127" s="4">
        <f>+VLOOKUP(C127,Indicadores!B:Q,15,FALSE)</f>
        <v>0.57589999999999997</v>
      </c>
      <c r="T127" s="5" t="str">
        <f t="shared" si="27"/>
        <v>No Cumple</v>
      </c>
      <c r="U127" s="5">
        <f t="shared" si="28"/>
        <v>0</v>
      </c>
      <c r="V127" s="5">
        <f t="shared" si="29"/>
        <v>50000</v>
      </c>
      <c r="W127" s="4">
        <f>+VLOOKUP(C127,Indicadores!B:V,21,FALSE)</f>
        <v>1</v>
      </c>
      <c r="X127" s="35" t="str">
        <f t="shared" si="30"/>
        <v>Cumple</v>
      </c>
      <c r="Y127" s="2">
        <f t="shared" si="31"/>
        <v>50000</v>
      </c>
      <c r="Z127" s="5" t="str">
        <f t="shared" si="32"/>
        <v>SI</v>
      </c>
      <c r="AA127" s="5">
        <f t="shared" si="33"/>
        <v>200000</v>
      </c>
      <c r="AB127" s="1"/>
    </row>
    <row r="128" spans="2:28" x14ac:dyDescent="0.25">
      <c r="B128" s="1" t="s">
        <v>233</v>
      </c>
      <c r="C128" s="1" t="s">
        <v>133</v>
      </c>
      <c r="D128" s="1" t="s">
        <v>241</v>
      </c>
      <c r="E128" s="1" t="s">
        <v>207</v>
      </c>
      <c r="F128" s="2">
        <f t="shared" si="18"/>
        <v>0</v>
      </c>
      <c r="G128" s="4">
        <f>+VLOOKUP(C128,Indicadores!B:C,2,FALSE)</f>
        <v>0.80043636363636361</v>
      </c>
      <c r="H128" s="1" t="str">
        <f t="shared" si="19"/>
        <v>Cumple</v>
      </c>
      <c r="I128" s="5">
        <f t="shared" si="20"/>
        <v>0</v>
      </c>
      <c r="J128" s="9">
        <f t="shared" si="21"/>
        <v>0</v>
      </c>
      <c r="K128" s="4">
        <f>+VLOOKUP(C128,Indicadores!B:F,5,FALSE)</f>
        <v>1</v>
      </c>
      <c r="L128" s="1" t="str">
        <f t="shared" si="22"/>
        <v>Cumple</v>
      </c>
      <c r="M128" s="5">
        <f t="shared" si="23"/>
        <v>0</v>
      </c>
      <c r="N128" s="9">
        <f t="shared" si="17"/>
        <v>150000</v>
      </c>
      <c r="O128" s="4">
        <v>0.99</v>
      </c>
      <c r="P128" s="1" t="str">
        <f t="shared" si="24"/>
        <v>Cumple</v>
      </c>
      <c r="Q128" s="5">
        <f t="shared" si="25"/>
        <v>148500</v>
      </c>
      <c r="R128" s="5">
        <f t="shared" si="26"/>
        <v>50000</v>
      </c>
      <c r="S128" s="4">
        <f>+VLOOKUP(C128,Indicadores!B:Q,15,FALSE)</f>
        <v>0.53599999999999992</v>
      </c>
      <c r="T128" s="5" t="str">
        <f t="shared" si="27"/>
        <v>No Cumple</v>
      </c>
      <c r="U128" s="5">
        <f t="shared" si="28"/>
        <v>0</v>
      </c>
      <c r="V128" s="5">
        <f t="shared" si="29"/>
        <v>50000</v>
      </c>
      <c r="W128" s="4">
        <f>+VLOOKUP(C128,Indicadores!B:V,21,FALSE)</f>
        <v>1</v>
      </c>
      <c r="X128" s="35" t="str">
        <f t="shared" si="30"/>
        <v>Cumple</v>
      </c>
      <c r="Y128" s="2">
        <f t="shared" si="31"/>
        <v>50000</v>
      </c>
      <c r="Z128" s="5" t="str">
        <f t="shared" si="32"/>
        <v>SI</v>
      </c>
      <c r="AA128" s="5">
        <f t="shared" si="33"/>
        <v>198500</v>
      </c>
      <c r="AB128" s="1"/>
    </row>
    <row r="129" spans="2:28" x14ac:dyDescent="0.25">
      <c r="B129" s="1" t="s">
        <v>233</v>
      </c>
      <c r="C129" s="1" t="s">
        <v>134</v>
      </c>
      <c r="D129" s="1" t="s">
        <v>241</v>
      </c>
      <c r="E129" s="1" t="s">
        <v>207</v>
      </c>
      <c r="F129" s="2">
        <f t="shared" si="18"/>
        <v>0</v>
      </c>
      <c r="G129" s="4">
        <f>+VLOOKUP(C129,Indicadores!B:C,2,FALSE)</f>
        <v>0.762709090909091</v>
      </c>
      <c r="H129" s="1" t="str">
        <f t="shared" si="19"/>
        <v>Cumple</v>
      </c>
      <c r="I129" s="5">
        <f t="shared" si="20"/>
        <v>0</v>
      </c>
      <c r="J129" s="9">
        <f t="shared" si="21"/>
        <v>0</v>
      </c>
      <c r="K129" s="4">
        <f>+VLOOKUP(C129,Indicadores!B:F,5,FALSE)</f>
        <v>1</v>
      </c>
      <c r="L129" s="1" t="str">
        <f t="shared" si="22"/>
        <v>Cumple</v>
      </c>
      <c r="M129" s="5">
        <f t="shared" si="23"/>
        <v>0</v>
      </c>
      <c r="N129" s="9">
        <f t="shared" si="17"/>
        <v>150000</v>
      </c>
      <c r="O129" s="4">
        <f>+VLOOKUP(C129,Indicadores!B:P,14,FALSE)</f>
        <v>1</v>
      </c>
      <c r="P129" s="1" t="str">
        <f t="shared" si="24"/>
        <v>Cumple</v>
      </c>
      <c r="Q129" s="5">
        <f t="shared" si="25"/>
        <v>150000</v>
      </c>
      <c r="R129" s="5">
        <f t="shared" si="26"/>
        <v>50000</v>
      </c>
      <c r="S129" s="4">
        <f>+VLOOKUP(C129,Indicadores!B:Q,15,FALSE)</f>
        <v>0.51129999999999998</v>
      </c>
      <c r="T129" s="5" t="str">
        <f t="shared" si="27"/>
        <v>No Cumple</v>
      </c>
      <c r="U129" s="5">
        <f t="shared" si="28"/>
        <v>0</v>
      </c>
      <c r="V129" s="5">
        <f t="shared" si="29"/>
        <v>50000</v>
      </c>
      <c r="W129" s="4">
        <f>+VLOOKUP(C129,Indicadores!B:V,21,FALSE)</f>
        <v>1</v>
      </c>
      <c r="X129" s="35" t="str">
        <f t="shared" si="30"/>
        <v>Cumple</v>
      </c>
      <c r="Y129" s="2">
        <f t="shared" si="31"/>
        <v>50000</v>
      </c>
      <c r="Z129" s="5" t="str">
        <f t="shared" si="32"/>
        <v>SI</v>
      </c>
      <c r="AA129" s="5">
        <f t="shared" si="33"/>
        <v>200000</v>
      </c>
      <c r="AB129" s="1"/>
    </row>
    <row r="130" spans="2:28" x14ac:dyDescent="0.25">
      <c r="B130" s="1" t="s">
        <v>233</v>
      </c>
      <c r="C130" s="1" t="s">
        <v>135</v>
      </c>
      <c r="D130" s="1" t="s">
        <v>241</v>
      </c>
      <c r="E130" s="1" t="s">
        <v>207</v>
      </c>
      <c r="F130" s="2">
        <f t="shared" si="18"/>
        <v>0</v>
      </c>
      <c r="G130" s="4">
        <f>+VLOOKUP(C130,Indicadores!B:C,2,FALSE)</f>
        <v>0.76290909090909098</v>
      </c>
      <c r="H130" s="1" t="str">
        <f t="shared" si="19"/>
        <v>Cumple</v>
      </c>
      <c r="I130" s="5">
        <f t="shared" si="20"/>
        <v>0</v>
      </c>
      <c r="J130" s="9">
        <f t="shared" si="21"/>
        <v>0</v>
      </c>
      <c r="K130" s="4">
        <f>+VLOOKUP(C130,Indicadores!B:F,5,FALSE)</f>
        <v>0.77777777777777779</v>
      </c>
      <c r="L130" s="1" t="str">
        <f t="shared" si="22"/>
        <v>Cumple</v>
      </c>
      <c r="M130" s="5">
        <f t="shared" si="23"/>
        <v>0</v>
      </c>
      <c r="N130" s="9">
        <f t="shared" si="17"/>
        <v>150000</v>
      </c>
      <c r="O130" s="4">
        <f>+VLOOKUP(C130,Indicadores!B:P,14,FALSE)</f>
        <v>0.98650000000000004</v>
      </c>
      <c r="P130" s="1" t="str">
        <f t="shared" si="24"/>
        <v>Cumple</v>
      </c>
      <c r="Q130" s="5">
        <f t="shared" si="25"/>
        <v>0</v>
      </c>
      <c r="R130" s="5">
        <f t="shared" si="26"/>
        <v>50000</v>
      </c>
      <c r="S130" s="4">
        <f>+VLOOKUP(C130,Indicadores!B:Q,15,FALSE)</f>
        <v>0.42280000000000006</v>
      </c>
      <c r="T130" s="5" t="str">
        <f t="shared" si="27"/>
        <v>No Cumple</v>
      </c>
      <c r="U130" s="5">
        <f t="shared" si="28"/>
        <v>0</v>
      </c>
      <c r="V130" s="5">
        <f t="shared" si="29"/>
        <v>50000</v>
      </c>
      <c r="W130" s="4">
        <f>+VLOOKUP(C130,Indicadores!B:V,21,FALSE)</f>
        <v>0.99324999999999997</v>
      </c>
      <c r="X130" s="35" t="str">
        <f t="shared" si="30"/>
        <v>No Cumple</v>
      </c>
      <c r="Y130" s="2">
        <f t="shared" si="31"/>
        <v>0</v>
      </c>
      <c r="Z130" s="5" t="str">
        <f t="shared" si="32"/>
        <v>SI</v>
      </c>
      <c r="AA130" s="5">
        <f t="shared" si="33"/>
        <v>0</v>
      </c>
      <c r="AB130" s="1"/>
    </row>
    <row r="131" spans="2:28" x14ac:dyDescent="0.25">
      <c r="B131" s="1" t="s">
        <v>233</v>
      </c>
      <c r="C131" s="1" t="s">
        <v>136</v>
      </c>
      <c r="D131" s="1" t="s">
        <v>241</v>
      </c>
      <c r="E131" s="1" t="s">
        <v>207</v>
      </c>
      <c r="F131" s="2">
        <f t="shared" si="18"/>
        <v>0</v>
      </c>
      <c r="G131" s="4">
        <f>+VLOOKUP(C131,Indicadores!B:C,2,FALSE)</f>
        <v>0.85074545454545458</v>
      </c>
      <c r="H131" s="1" t="str">
        <f t="shared" si="19"/>
        <v>Cumple</v>
      </c>
      <c r="I131" s="5">
        <f t="shared" si="20"/>
        <v>0</v>
      </c>
      <c r="J131" s="9">
        <f t="shared" si="21"/>
        <v>0</v>
      </c>
      <c r="K131" s="4">
        <f>+VLOOKUP(C131,Indicadores!B:F,5,FALSE)</f>
        <v>1</v>
      </c>
      <c r="L131" s="1" t="str">
        <f t="shared" si="22"/>
        <v>Cumple</v>
      </c>
      <c r="M131" s="5">
        <f t="shared" si="23"/>
        <v>0</v>
      </c>
      <c r="N131" s="9">
        <f t="shared" si="17"/>
        <v>150000</v>
      </c>
      <c r="O131" s="4">
        <f>+VLOOKUP(C131,Indicadores!B:P,14,FALSE)</f>
        <v>1</v>
      </c>
      <c r="P131" s="1" t="str">
        <f t="shared" si="24"/>
        <v>Cumple</v>
      </c>
      <c r="Q131" s="5">
        <f t="shared" si="25"/>
        <v>150000</v>
      </c>
      <c r="R131" s="5">
        <f t="shared" si="26"/>
        <v>50000</v>
      </c>
      <c r="S131" s="4">
        <f>+VLOOKUP(C131,Indicadores!B:Q,15,FALSE)</f>
        <v>0.74256666666666671</v>
      </c>
      <c r="T131" s="5" t="str">
        <f t="shared" si="27"/>
        <v>No Cumple</v>
      </c>
      <c r="U131" s="5">
        <f t="shared" si="28"/>
        <v>0</v>
      </c>
      <c r="V131" s="5">
        <f t="shared" si="29"/>
        <v>50000</v>
      </c>
      <c r="W131" s="4">
        <f>+VLOOKUP(C131,Indicadores!B:V,21,FALSE)</f>
        <v>1</v>
      </c>
      <c r="X131" s="35" t="str">
        <f t="shared" si="30"/>
        <v>Cumple</v>
      </c>
      <c r="Y131" s="2">
        <f t="shared" si="31"/>
        <v>50000</v>
      </c>
      <c r="Z131" s="5" t="str">
        <f t="shared" si="32"/>
        <v>SI</v>
      </c>
      <c r="AA131" s="5">
        <f t="shared" si="33"/>
        <v>200000</v>
      </c>
      <c r="AB131" s="8"/>
    </row>
    <row r="132" spans="2:28" x14ac:dyDescent="0.25">
      <c r="B132" s="1" t="s">
        <v>233</v>
      </c>
      <c r="C132" s="1" t="s">
        <v>137</v>
      </c>
      <c r="D132" s="1" t="s">
        <v>241</v>
      </c>
      <c r="E132" s="1" t="s">
        <v>207</v>
      </c>
      <c r="F132" s="2">
        <f t="shared" si="18"/>
        <v>0</v>
      </c>
      <c r="G132" s="4">
        <v>0.7</v>
      </c>
      <c r="H132" s="1" t="str">
        <f t="shared" si="19"/>
        <v>Cumple</v>
      </c>
      <c r="I132" s="5">
        <f t="shared" si="20"/>
        <v>0</v>
      </c>
      <c r="J132" s="9">
        <f t="shared" si="21"/>
        <v>0</v>
      </c>
      <c r="K132" s="4">
        <f>+VLOOKUP(C132,Indicadores!B:F,5,FALSE)</f>
        <v>1</v>
      </c>
      <c r="L132" s="1" t="str">
        <f t="shared" si="22"/>
        <v>Cumple</v>
      </c>
      <c r="M132" s="5">
        <f t="shared" si="23"/>
        <v>0</v>
      </c>
      <c r="N132" s="9">
        <f t="shared" si="17"/>
        <v>150000</v>
      </c>
      <c r="O132" s="4">
        <v>0.99</v>
      </c>
      <c r="P132" s="1" t="str">
        <f t="shared" si="24"/>
        <v>Cumple</v>
      </c>
      <c r="Q132" s="5">
        <f t="shared" si="25"/>
        <v>148500</v>
      </c>
      <c r="R132" s="5">
        <f t="shared" si="26"/>
        <v>50000</v>
      </c>
      <c r="S132" s="4">
        <f>+VLOOKUP(C132,Indicadores!B:Q,15,FALSE)</f>
        <v>0.58450000000000002</v>
      </c>
      <c r="T132" s="5" t="str">
        <f t="shared" si="27"/>
        <v>No Cumple</v>
      </c>
      <c r="U132" s="5">
        <f t="shared" si="28"/>
        <v>0</v>
      </c>
      <c r="V132" s="5">
        <f t="shared" si="29"/>
        <v>50000</v>
      </c>
      <c r="W132" s="4">
        <f>+VLOOKUP(C132,Indicadores!B:V,21,FALSE)</f>
        <v>1</v>
      </c>
      <c r="X132" s="35" t="str">
        <f t="shared" si="30"/>
        <v>Cumple</v>
      </c>
      <c r="Y132" s="2">
        <f t="shared" si="31"/>
        <v>50000</v>
      </c>
      <c r="Z132" s="5" t="str">
        <f t="shared" si="32"/>
        <v>SI</v>
      </c>
      <c r="AA132" s="5">
        <f t="shared" si="33"/>
        <v>198500</v>
      </c>
      <c r="AB132" s="1"/>
    </row>
    <row r="133" spans="2:28" x14ac:dyDescent="0.25">
      <c r="B133" s="1" t="s">
        <v>233</v>
      </c>
      <c r="C133" s="1" t="s">
        <v>138</v>
      </c>
      <c r="D133" s="1" t="s">
        <v>241</v>
      </c>
      <c r="E133" s="1" t="s">
        <v>207</v>
      </c>
      <c r="F133" s="2">
        <f t="shared" si="18"/>
        <v>0</v>
      </c>
      <c r="G133" s="4">
        <f>+VLOOKUP(C133,Indicadores!B:C,2,FALSE)</f>
        <v>0.91861818181818178</v>
      </c>
      <c r="H133" s="1" t="str">
        <f t="shared" si="19"/>
        <v>Cumple</v>
      </c>
      <c r="I133" s="5">
        <f t="shared" si="20"/>
        <v>0</v>
      </c>
      <c r="J133" s="9">
        <f t="shared" si="21"/>
        <v>0</v>
      </c>
      <c r="K133" s="4">
        <f>+VLOOKUP(C133,Indicadores!B:F,5,FALSE)</f>
        <v>0.94117647058823528</v>
      </c>
      <c r="L133" s="1" t="str">
        <f t="shared" si="22"/>
        <v>Cumple</v>
      </c>
      <c r="M133" s="5">
        <f t="shared" si="23"/>
        <v>0</v>
      </c>
      <c r="N133" s="9">
        <f t="shared" si="17"/>
        <v>150000</v>
      </c>
      <c r="O133" s="4">
        <f>+VLOOKUP(C133,Indicadores!B:P,14,FALSE)</f>
        <v>1</v>
      </c>
      <c r="P133" s="1" t="str">
        <f t="shared" si="24"/>
        <v>Cumple</v>
      </c>
      <c r="Q133" s="5">
        <f t="shared" si="25"/>
        <v>150000</v>
      </c>
      <c r="R133" s="5">
        <f t="shared" si="26"/>
        <v>50000</v>
      </c>
      <c r="S133" s="4">
        <f>+VLOOKUP(C133,Indicadores!B:Q,15,FALSE)</f>
        <v>0.9345</v>
      </c>
      <c r="T133" s="5" t="str">
        <f t="shared" si="27"/>
        <v>Cumple</v>
      </c>
      <c r="U133" s="5">
        <f t="shared" si="28"/>
        <v>45000</v>
      </c>
      <c r="V133" s="5">
        <f t="shared" si="29"/>
        <v>50000</v>
      </c>
      <c r="W133" s="4">
        <f>+VLOOKUP(C133,Indicadores!B:V,21,FALSE)</f>
        <v>1</v>
      </c>
      <c r="X133" s="35" t="str">
        <f t="shared" si="30"/>
        <v>Cumple</v>
      </c>
      <c r="Y133" s="2">
        <f t="shared" si="31"/>
        <v>50000</v>
      </c>
      <c r="Z133" s="5" t="str">
        <f t="shared" si="32"/>
        <v>SI</v>
      </c>
      <c r="AA133" s="5">
        <f t="shared" si="33"/>
        <v>245000</v>
      </c>
      <c r="AB133" s="1"/>
    </row>
    <row r="134" spans="2:28" x14ac:dyDescent="0.25">
      <c r="B134" s="1" t="s">
        <v>233</v>
      </c>
      <c r="C134" s="1" t="s">
        <v>139</v>
      </c>
      <c r="D134" s="1" t="s">
        <v>241</v>
      </c>
      <c r="E134" s="1" t="s">
        <v>207</v>
      </c>
      <c r="F134" s="2">
        <f t="shared" si="18"/>
        <v>0</v>
      </c>
      <c r="G134" s="4">
        <v>0.7</v>
      </c>
      <c r="H134" s="1" t="str">
        <f t="shared" si="19"/>
        <v>Cumple</v>
      </c>
      <c r="I134" s="5">
        <f t="shared" si="20"/>
        <v>0</v>
      </c>
      <c r="J134" s="9">
        <f t="shared" si="21"/>
        <v>0</v>
      </c>
      <c r="K134" s="4">
        <f>+VLOOKUP(C134,Indicadores!B:F,5,FALSE)</f>
        <v>0.95652173913043481</v>
      </c>
      <c r="L134" s="1" t="str">
        <f t="shared" si="22"/>
        <v>Cumple</v>
      </c>
      <c r="M134" s="5">
        <f t="shared" si="23"/>
        <v>0</v>
      </c>
      <c r="N134" s="9">
        <f t="shared" ref="N134:N193" si="34">+$F$4*$N$3</f>
        <v>150000</v>
      </c>
      <c r="O134" s="4">
        <f>+VLOOKUP(C134,Indicadores!B:P,14,FALSE)</f>
        <v>1</v>
      </c>
      <c r="P134" s="1" t="str">
        <f t="shared" si="24"/>
        <v>Cumple</v>
      </c>
      <c r="Q134" s="5">
        <f t="shared" si="25"/>
        <v>150000</v>
      </c>
      <c r="R134" s="5">
        <f t="shared" si="26"/>
        <v>50000</v>
      </c>
      <c r="S134" s="4">
        <f>+VLOOKUP(C134,Indicadores!B:Q,15,FALSE)</f>
        <v>0.53230000000000011</v>
      </c>
      <c r="T134" s="5" t="str">
        <f t="shared" si="27"/>
        <v>No Cumple</v>
      </c>
      <c r="U134" s="5">
        <f t="shared" si="28"/>
        <v>0</v>
      </c>
      <c r="V134" s="5">
        <f t="shared" si="29"/>
        <v>50000</v>
      </c>
      <c r="W134" s="4">
        <f>+VLOOKUP(C134,Indicadores!B:V,21,FALSE)</f>
        <v>1</v>
      </c>
      <c r="X134" s="35" t="str">
        <f t="shared" si="30"/>
        <v>Cumple</v>
      </c>
      <c r="Y134" s="2">
        <f t="shared" si="31"/>
        <v>50000</v>
      </c>
      <c r="Z134" s="5" t="str">
        <f t="shared" si="32"/>
        <v>SI</v>
      </c>
      <c r="AA134" s="5">
        <f t="shared" si="33"/>
        <v>200000</v>
      </c>
      <c r="AB134" s="1"/>
    </row>
    <row r="135" spans="2:28" x14ac:dyDescent="0.25">
      <c r="B135" s="1" t="s">
        <v>233</v>
      </c>
      <c r="C135" s="1" t="s">
        <v>140</v>
      </c>
      <c r="D135" s="1" t="s">
        <v>241</v>
      </c>
      <c r="E135" s="1" t="s">
        <v>207</v>
      </c>
      <c r="F135" s="2">
        <f t="shared" ref="F135:F193" si="35">+$F$4*$G$3</f>
        <v>0</v>
      </c>
      <c r="G135" s="4">
        <f>+VLOOKUP(C135,Indicadores!B:C,2,FALSE)</f>
        <v>0.7474727272727274</v>
      </c>
      <c r="H135" s="1" t="str">
        <f t="shared" ref="H135:H193" si="36">IF(G135&gt;=70%,"Cumple","No Cumple")</f>
        <v>Cumple</v>
      </c>
      <c r="I135" s="5">
        <f t="shared" ref="I135:I193" si="37">+IF(G135&gt;=95%,F135*G135,0)</f>
        <v>0</v>
      </c>
      <c r="J135" s="9">
        <f t="shared" ref="J135:J193" si="38">+$F$4*$J$3</f>
        <v>0</v>
      </c>
      <c r="K135" s="4">
        <f>+VLOOKUP(C135,Indicadores!B:F,5,FALSE)</f>
        <v>0.9375</v>
      </c>
      <c r="L135" s="1" t="str">
        <f t="shared" ref="L135:L193" si="39">IF(K135&gt;=70%,"Cumple","No Cumple")</f>
        <v>Cumple</v>
      </c>
      <c r="M135" s="5">
        <f t="shared" ref="M135:M193" si="40">+IF(K135&gt;=95%,J135*K135,0)</f>
        <v>0</v>
      </c>
      <c r="N135" s="9">
        <f t="shared" si="34"/>
        <v>150000</v>
      </c>
      <c r="O135" s="4">
        <f>+VLOOKUP(C135,Indicadores!B:P,14,FALSE)</f>
        <v>0.9798</v>
      </c>
      <c r="P135" s="1" t="str">
        <f t="shared" ref="P135:P193" si="41">IF(O135&gt;=80%,"Cumple","No Cumple")</f>
        <v>Cumple</v>
      </c>
      <c r="Q135" s="5">
        <f t="shared" ref="Q135:Q193" si="42">IF(O135=80%,N135*70%,IF(AND(O135&gt;=81%,O135&lt;=90%),N135*80%,IF(AND(O135&gt;=91%,O135&lt;=95%),N135*90%,IF(O135=96%,N135*96%,IF(O135=97%,N135*97%,IF(O135=98%,N135*98%,IF(O135=99%,N135*99%,IF(O135=100%,N135,0))))))))</f>
        <v>0</v>
      </c>
      <c r="R135" s="5">
        <f t="shared" ref="R135:R193" si="43">+$F$4*$R$3</f>
        <v>50000</v>
      </c>
      <c r="S135" s="4">
        <f>+VLOOKUP(C135,Indicadores!B:Q,15,FALSE)</f>
        <v>0.50306666666666666</v>
      </c>
      <c r="T135" s="5" t="str">
        <f t="shared" ref="T135:T193" si="44">IF(S135&gt;=80%,"Cumple","No Cumple")</f>
        <v>No Cumple</v>
      </c>
      <c r="U135" s="5">
        <f t="shared" ref="U135:U193" si="45">IF(S135=80%,R135*70%,IF(AND(S135&gt;=81%,S135&lt;=90%),R135*80%,IF(AND(S135&gt;=91%,S135&lt;=95%),R135*90%,IF(S135=96%,R135*96%,IF(S135=97%,R135*97%,IF(S135=98%,R135*98%,IF(S135=99%,R135*99%,IF(S135=100%,R135,0))))))))</f>
        <v>0</v>
      </c>
      <c r="V135" s="5">
        <f t="shared" ref="V135:V193" si="46">+$F$4*$V$3</f>
        <v>50000</v>
      </c>
      <c r="W135" s="4">
        <f>+VLOOKUP(C135,Indicadores!B:V,21,FALSE)</f>
        <v>0.9899</v>
      </c>
      <c r="X135" s="35" t="str">
        <f t="shared" ref="X135:X193" si="47">IF(W135&gt;=100%,"Cumple","No Cumple")</f>
        <v>No Cumple</v>
      </c>
      <c r="Y135" s="2">
        <f t="shared" ref="Y135:Y193" si="48">IF(W135=100%,V135,0)</f>
        <v>0</v>
      </c>
      <c r="Z135" s="5" t="str">
        <f t="shared" ref="Z135:Z193" si="49">IF(AND(G135&gt;=70%,K135&gt;=70%),"SI","NO")</f>
        <v>SI</v>
      </c>
      <c r="AA135" s="5">
        <f t="shared" ref="AA135:AA193" si="50">+IF(Z135="SI",Q135+U135+Y135,0)</f>
        <v>0</v>
      </c>
      <c r="AB135" s="1"/>
    </row>
    <row r="136" spans="2:28" x14ac:dyDescent="0.25">
      <c r="B136" s="1" t="s">
        <v>233</v>
      </c>
      <c r="C136" s="1" t="s">
        <v>141</v>
      </c>
      <c r="D136" s="1" t="s">
        <v>241</v>
      </c>
      <c r="E136" s="1" t="s">
        <v>207</v>
      </c>
      <c r="F136" s="2">
        <f t="shared" si="35"/>
        <v>0</v>
      </c>
      <c r="G136" s="4">
        <f>+VLOOKUP(C136,Indicadores!B:C,2,FALSE)</f>
        <v>0.87151818181818186</v>
      </c>
      <c r="H136" s="1" t="str">
        <f t="shared" si="36"/>
        <v>Cumple</v>
      </c>
      <c r="I136" s="5">
        <f t="shared" si="37"/>
        <v>0</v>
      </c>
      <c r="J136" s="9">
        <f t="shared" si="38"/>
        <v>0</v>
      </c>
      <c r="K136" s="4">
        <f>+VLOOKUP(C136,Indicadores!B:F,5,FALSE)</f>
        <v>1</v>
      </c>
      <c r="L136" s="1" t="str">
        <f t="shared" si="39"/>
        <v>Cumple</v>
      </c>
      <c r="M136" s="5">
        <f t="shared" si="40"/>
        <v>0</v>
      </c>
      <c r="N136" s="9">
        <f t="shared" si="34"/>
        <v>150000</v>
      </c>
      <c r="O136" s="4">
        <f>+VLOOKUP(C136,Indicadores!B:P,14,FALSE)</f>
        <v>1</v>
      </c>
      <c r="P136" s="1" t="str">
        <f t="shared" si="41"/>
        <v>Cumple</v>
      </c>
      <c r="Q136" s="5">
        <f t="shared" si="42"/>
        <v>150000</v>
      </c>
      <c r="R136" s="5">
        <f t="shared" si="43"/>
        <v>50000</v>
      </c>
      <c r="S136" s="4">
        <f>+VLOOKUP(C136,Indicadores!B:Q,15,FALSE)</f>
        <v>0.95853333333333335</v>
      </c>
      <c r="T136" s="5" t="str">
        <f t="shared" si="44"/>
        <v>Cumple</v>
      </c>
      <c r="U136" s="5">
        <f t="shared" si="45"/>
        <v>0</v>
      </c>
      <c r="V136" s="5">
        <f t="shared" si="46"/>
        <v>50000</v>
      </c>
      <c r="W136" s="4">
        <f>+VLOOKUP(C136,Indicadores!B:V,21,FALSE)</f>
        <v>1</v>
      </c>
      <c r="X136" s="35" t="str">
        <f t="shared" si="47"/>
        <v>Cumple</v>
      </c>
      <c r="Y136" s="2">
        <f t="shared" si="48"/>
        <v>50000</v>
      </c>
      <c r="Z136" s="5" t="str">
        <f t="shared" si="49"/>
        <v>SI</v>
      </c>
      <c r="AA136" s="5">
        <f t="shared" si="50"/>
        <v>200000</v>
      </c>
      <c r="AB136" s="1"/>
    </row>
    <row r="137" spans="2:28" x14ac:dyDescent="0.25">
      <c r="B137" s="1" t="s">
        <v>240</v>
      </c>
      <c r="C137" s="1" t="s">
        <v>142</v>
      </c>
      <c r="D137" s="1" t="s">
        <v>243</v>
      </c>
      <c r="E137" s="1" t="s">
        <v>208</v>
      </c>
      <c r="F137" s="2">
        <f t="shared" si="35"/>
        <v>0</v>
      </c>
      <c r="G137" s="4">
        <f>+VLOOKUP(C137,Indicadores!B:C,2,FALSE)</f>
        <v>0.81480909090909104</v>
      </c>
      <c r="H137" s="1" t="str">
        <f t="shared" si="36"/>
        <v>Cumple</v>
      </c>
      <c r="I137" s="5">
        <f t="shared" si="37"/>
        <v>0</v>
      </c>
      <c r="J137" s="9">
        <f t="shared" si="38"/>
        <v>0</v>
      </c>
      <c r="K137" s="4">
        <f>+VLOOKUP(C137,Indicadores!B:F,5,FALSE)</f>
        <v>1</v>
      </c>
      <c r="L137" s="1" t="str">
        <f t="shared" si="39"/>
        <v>Cumple</v>
      </c>
      <c r="M137" s="5">
        <f t="shared" si="40"/>
        <v>0</v>
      </c>
      <c r="N137" s="9">
        <f t="shared" si="34"/>
        <v>150000</v>
      </c>
      <c r="O137" s="4">
        <f>+VLOOKUP(C137,Indicadores!B:P,14,FALSE)</f>
        <v>1</v>
      </c>
      <c r="P137" s="1" t="str">
        <f t="shared" si="41"/>
        <v>Cumple</v>
      </c>
      <c r="Q137" s="5">
        <f t="shared" si="42"/>
        <v>150000</v>
      </c>
      <c r="R137" s="5">
        <f t="shared" si="43"/>
        <v>50000</v>
      </c>
      <c r="S137" s="4">
        <f>+VLOOKUP(C137,Indicadores!B:Q,15,FALSE)</f>
        <v>0.53613333333333335</v>
      </c>
      <c r="T137" s="5" t="str">
        <f t="shared" si="44"/>
        <v>No Cumple</v>
      </c>
      <c r="U137" s="5">
        <f t="shared" si="45"/>
        <v>0</v>
      </c>
      <c r="V137" s="5">
        <f t="shared" si="46"/>
        <v>50000</v>
      </c>
      <c r="W137" s="4">
        <f>+VLOOKUP(C137,Indicadores!B:V,21,FALSE)</f>
        <v>0.5</v>
      </c>
      <c r="X137" s="35" t="str">
        <f t="shared" si="47"/>
        <v>No Cumple</v>
      </c>
      <c r="Y137" s="2">
        <f t="shared" si="48"/>
        <v>0</v>
      </c>
      <c r="Z137" s="5" t="str">
        <f t="shared" si="49"/>
        <v>SI</v>
      </c>
      <c r="AA137" s="5">
        <f t="shared" si="50"/>
        <v>150000</v>
      </c>
      <c r="AB137" s="1"/>
    </row>
    <row r="138" spans="2:28" x14ac:dyDescent="0.25">
      <c r="B138" s="1" t="s">
        <v>240</v>
      </c>
      <c r="C138" s="1" t="s">
        <v>143</v>
      </c>
      <c r="D138" s="1" t="s">
        <v>243</v>
      </c>
      <c r="E138" s="1" t="s">
        <v>208</v>
      </c>
      <c r="F138" s="2">
        <f t="shared" si="35"/>
        <v>0</v>
      </c>
      <c r="G138" s="4">
        <f>+VLOOKUP(C138,Indicadores!B:C,2,FALSE)</f>
        <v>0.75973636363636354</v>
      </c>
      <c r="H138" s="1" t="str">
        <f t="shared" si="36"/>
        <v>Cumple</v>
      </c>
      <c r="I138" s="5">
        <f t="shared" si="37"/>
        <v>0</v>
      </c>
      <c r="J138" s="9">
        <f t="shared" si="38"/>
        <v>0</v>
      </c>
      <c r="K138" s="4">
        <f>+VLOOKUP(C138,Indicadores!B:F,5,FALSE)</f>
        <v>1</v>
      </c>
      <c r="L138" s="1" t="str">
        <f t="shared" si="39"/>
        <v>Cumple</v>
      </c>
      <c r="M138" s="5">
        <f t="shared" si="40"/>
        <v>0</v>
      </c>
      <c r="N138" s="9">
        <f t="shared" si="34"/>
        <v>150000</v>
      </c>
      <c r="O138" s="4">
        <f>+VLOOKUP(C138,Indicadores!B:P,14,FALSE)</f>
        <v>1</v>
      </c>
      <c r="P138" s="1" t="str">
        <f t="shared" si="41"/>
        <v>Cumple</v>
      </c>
      <c r="Q138" s="5">
        <f t="shared" si="42"/>
        <v>150000</v>
      </c>
      <c r="R138" s="5">
        <f t="shared" si="43"/>
        <v>50000</v>
      </c>
      <c r="S138" s="4">
        <f>+VLOOKUP(C138,Indicadores!B:Q,15,FALSE)</f>
        <v>0.70236666666666669</v>
      </c>
      <c r="T138" s="5" t="str">
        <f t="shared" si="44"/>
        <v>No Cumple</v>
      </c>
      <c r="U138" s="5">
        <f t="shared" si="45"/>
        <v>0</v>
      </c>
      <c r="V138" s="5">
        <f t="shared" si="46"/>
        <v>50000</v>
      </c>
      <c r="W138" s="4">
        <f>+VLOOKUP(C138,Indicadores!B:V,21,FALSE)</f>
        <v>1</v>
      </c>
      <c r="X138" s="35" t="str">
        <f t="shared" si="47"/>
        <v>Cumple</v>
      </c>
      <c r="Y138" s="2">
        <f t="shared" si="48"/>
        <v>50000</v>
      </c>
      <c r="Z138" s="5" t="str">
        <f t="shared" si="49"/>
        <v>SI</v>
      </c>
      <c r="AA138" s="5">
        <f t="shared" si="50"/>
        <v>200000</v>
      </c>
      <c r="AB138" s="8"/>
    </row>
    <row r="139" spans="2:28" x14ac:dyDescent="0.25">
      <c r="B139" s="1" t="s">
        <v>240</v>
      </c>
      <c r="C139" s="1" t="s">
        <v>144</v>
      </c>
      <c r="D139" s="1" t="s">
        <v>243</v>
      </c>
      <c r="E139" s="1" t="s">
        <v>208</v>
      </c>
      <c r="F139" s="2">
        <f t="shared" si="35"/>
        <v>0</v>
      </c>
      <c r="G139" s="4">
        <f>+VLOOKUP(C139,Indicadores!B:C,2,FALSE)</f>
        <v>0.76018181818181818</v>
      </c>
      <c r="H139" s="1" t="str">
        <f t="shared" si="36"/>
        <v>Cumple</v>
      </c>
      <c r="I139" s="5">
        <f t="shared" si="37"/>
        <v>0</v>
      </c>
      <c r="J139" s="9">
        <f t="shared" si="38"/>
        <v>0</v>
      </c>
      <c r="K139" s="4">
        <v>1</v>
      </c>
      <c r="L139" s="1" t="str">
        <f t="shared" si="39"/>
        <v>Cumple</v>
      </c>
      <c r="M139" s="5">
        <f t="shared" si="40"/>
        <v>0</v>
      </c>
      <c r="N139" s="9">
        <f t="shared" si="34"/>
        <v>150000</v>
      </c>
      <c r="O139" s="4">
        <f>+VLOOKUP(C139,Indicadores!B:P,14,FALSE)</f>
        <v>1</v>
      </c>
      <c r="P139" s="1" t="str">
        <f t="shared" si="41"/>
        <v>Cumple</v>
      </c>
      <c r="Q139" s="5">
        <f t="shared" si="42"/>
        <v>150000</v>
      </c>
      <c r="R139" s="5">
        <f t="shared" si="43"/>
        <v>50000</v>
      </c>
      <c r="S139" s="4">
        <f>+VLOOKUP(C139,Indicadores!B:Q,15,FALSE)</f>
        <v>0.58906666666666674</v>
      </c>
      <c r="T139" s="5" t="str">
        <f t="shared" si="44"/>
        <v>No Cumple</v>
      </c>
      <c r="U139" s="5">
        <f t="shared" si="45"/>
        <v>0</v>
      </c>
      <c r="V139" s="5">
        <f t="shared" si="46"/>
        <v>50000</v>
      </c>
      <c r="W139" s="4">
        <f>+VLOOKUP(C139,Indicadores!B:V,21,FALSE)</f>
        <v>1</v>
      </c>
      <c r="X139" s="35" t="str">
        <f t="shared" si="47"/>
        <v>Cumple</v>
      </c>
      <c r="Y139" s="2">
        <f t="shared" si="48"/>
        <v>50000</v>
      </c>
      <c r="Z139" s="5" t="str">
        <f t="shared" si="49"/>
        <v>SI</v>
      </c>
      <c r="AA139" s="5">
        <f t="shared" si="50"/>
        <v>200000</v>
      </c>
      <c r="AB139" s="1"/>
    </row>
    <row r="140" spans="2:28" x14ac:dyDescent="0.25">
      <c r="B140" s="1" t="s">
        <v>240</v>
      </c>
      <c r="C140" s="1" t="s">
        <v>145</v>
      </c>
      <c r="D140" s="1" t="s">
        <v>243</v>
      </c>
      <c r="E140" s="1" t="s">
        <v>208</v>
      </c>
      <c r="F140" s="2">
        <f t="shared" si="35"/>
        <v>0</v>
      </c>
      <c r="G140" s="4">
        <f>+VLOOKUP(C140,Indicadores!B:C,2,FALSE)</f>
        <v>0.78149999999999986</v>
      </c>
      <c r="H140" s="1" t="str">
        <f t="shared" si="36"/>
        <v>Cumple</v>
      </c>
      <c r="I140" s="5">
        <f t="shared" si="37"/>
        <v>0</v>
      </c>
      <c r="J140" s="9">
        <f t="shared" si="38"/>
        <v>0</v>
      </c>
      <c r="K140" s="4">
        <f>+VLOOKUP(C140,Indicadores!B:F,5,FALSE)</f>
        <v>1</v>
      </c>
      <c r="L140" s="1" t="str">
        <f t="shared" si="39"/>
        <v>Cumple</v>
      </c>
      <c r="M140" s="5">
        <f t="shared" si="40"/>
        <v>0</v>
      </c>
      <c r="N140" s="9">
        <f t="shared" si="34"/>
        <v>150000</v>
      </c>
      <c r="O140" s="4">
        <f>+VLOOKUP(C140,Indicadores!B:P,14,FALSE)</f>
        <v>1</v>
      </c>
      <c r="P140" s="1" t="str">
        <f t="shared" si="41"/>
        <v>Cumple</v>
      </c>
      <c r="Q140" s="5">
        <f t="shared" si="42"/>
        <v>150000</v>
      </c>
      <c r="R140" s="5">
        <f t="shared" si="43"/>
        <v>50000</v>
      </c>
      <c r="S140" s="4">
        <f>+VLOOKUP(C140,Indicadores!B:Q,15,FALSE)</f>
        <v>0.71519999999999995</v>
      </c>
      <c r="T140" s="5" t="str">
        <f t="shared" si="44"/>
        <v>No Cumple</v>
      </c>
      <c r="U140" s="5">
        <f t="shared" si="45"/>
        <v>0</v>
      </c>
      <c r="V140" s="5">
        <f t="shared" si="46"/>
        <v>50000</v>
      </c>
      <c r="W140" s="4">
        <f>+VLOOKUP(C140,Indicadores!B:V,21,FALSE)</f>
        <v>0.5</v>
      </c>
      <c r="X140" s="35" t="str">
        <f t="shared" si="47"/>
        <v>No Cumple</v>
      </c>
      <c r="Y140" s="2">
        <f t="shared" si="48"/>
        <v>0</v>
      </c>
      <c r="Z140" s="5" t="str">
        <f t="shared" si="49"/>
        <v>SI</v>
      </c>
      <c r="AA140" s="5">
        <f t="shared" si="50"/>
        <v>150000</v>
      </c>
      <c r="AB140" s="1"/>
    </row>
    <row r="141" spans="2:28" x14ac:dyDescent="0.25">
      <c r="B141" s="1" t="s">
        <v>240</v>
      </c>
      <c r="C141" s="1" t="s">
        <v>146</v>
      </c>
      <c r="D141" s="1" t="s">
        <v>243</v>
      </c>
      <c r="E141" s="1" t="s">
        <v>208</v>
      </c>
      <c r="F141" s="2">
        <f t="shared" si="35"/>
        <v>0</v>
      </c>
      <c r="G141" s="4">
        <f>+VLOOKUP(C141,Indicadores!B:C,2,FALSE)</f>
        <v>0.76564545454545463</v>
      </c>
      <c r="H141" s="1" t="str">
        <f t="shared" si="36"/>
        <v>Cumple</v>
      </c>
      <c r="I141" s="5">
        <f t="shared" si="37"/>
        <v>0</v>
      </c>
      <c r="J141" s="9">
        <f t="shared" si="38"/>
        <v>0</v>
      </c>
      <c r="K141" s="4">
        <f>+VLOOKUP(C141,Indicadores!B:F,5,FALSE)</f>
        <v>1</v>
      </c>
      <c r="L141" s="1" t="str">
        <f t="shared" si="39"/>
        <v>Cumple</v>
      </c>
      <c r="M141" s="5">
        <f t="shared" si="40"/>
        <v>0</v>
      </c>
      <c r="N141" s="9">
        <f t="shared" si="34"/>
        <v>150000</v>
      </c>
      <c r="O141" s="4">
        <f>+VLOOKUP(C141,Indicadores!B:P,14,FALSE)</f>
        <v>0.98440000000000005</v>
      </c>
      <c r="P141" s="1" t="str">
        <f t="shared" si="41"/>
        <v>Cumple</v>
      </c>
      <c r="Q141" s="5">
        <f t="shared" si="42"/>
        <v>0</v>
      </c>
      <c r="R141" s="5">
        <f t="shared" si="43"/>
        <v>50000</v>
      </c>
      <c r="S141" s="4">
        <f>+VLOOKUP(C141,Indicadores!B:Q,15,FALSE)</f>
        <v>0.40506666666666669</v>
      </c>
      <c r="T141" s="5" t="str">
        <f t="shared" si="44"/>
        <v>No Cumple</v>
      </c>
      <c r="U141" s="5">
        <f t="shared" si="45"/>
        <v>0</v>
      </c>
      <c r="V141" s="5">
        <f t="shared" si="46"/>
        <v>50000</v>
      </c>
      <c r="W141" s="4">
        <f>+VLOOKUP(C141,Indicadores!B:V,21,FALSE)</f>
        <v>0.98440000000000005</v>
      </c>
      <c r="X141" s="35" t="str">
        <f t="shared" si="47"/>
        <v>No Cumple</v>
      </c>
      <c r="Y141" s="2">
        <f t="shared" si="48"/>
        <v>0</v>
      </c>
      <c r="Z141" s="5" t="str">
        <f t="shared" si="49"/>
        <v>SI</v>
      </c>
      <c r="AA141" s="5">
        <f t="shared" si="50"/>
        <v>0</v>
      </c>
      <c r="AB141" s="1"/>
    </row>
    <row r="142" spans="2:28" x14ac:dyDescent="0.25">
      <c r="B142" s="1" t="s">
        <v>240</v>
      </c>
      <c r="C142" s="1" t="s">
        <v>147</v>
      </c>
      <c r="D142" s="1" t="s">
        <v>243</v>
      </c>
      <c r="E142" s="1" t="s">
        <v>208</v>
      </c>
      <c r="F142" s="2">
        <f t="shared" si="35"/>
        <v>0</v>
      </c>
      <c r="G142" s="4">
        <v>0.7</v>
      </c>
      <c r="H142" s="1" t="str">
        <f t="shared" si="36"/>
        <v>Cumple</v>
      </c>
      <c r="I142" s="5">
        <f t="shared" si="37"/>
        <v>0</v>
      </c>
      <c r="J142" s="9">
        <f t="shared" si="38"/>
        <v>0</v>
      </c>
      <c r="K142" s="4">
        <f>+VLOOKUP(C142,Indicadores!B:F,5,FALSE)</f>
        <v>1</v>
      </c>
      <c r="L142" s="1" t="str">
        <f t="shared" si="39"/>
        <v>Cumple</v>
      </c>
      <c r="M142" s="5">
        <f t="shared" si="40"/>
        <v>0</v>
      </c>
      <c r="N142" s="9">
        <f t="shared" si="34"/>
        <v>150000</v>
      </c>
      <c r="O142" s="4">
        <v>0.99</v>
      </c>
      <c r="P142" s="1" t="str">
        <f t="shared" si="41"/>
        <v>Cumple</v>
      </c>
      <c r="Q142" s="5">
        <f t="shared" si="42"/>
        <v>148500</v>
      </c>
      <c r="R142" s="5">
        <f t="shared" si="43"/>
        <v>50000</v>
      </c>
      <c r="S142" s="4">
        <f>+VLOOKUP(C142,Indicadores!B:Q,15,FALSE)</f>
        <v>0.39303333333333335</v>
      </c>
      <c r="T142" s="5" t="str">
        <f t="shared" si="44"/>
        <v>No Cumple</v>
      </c>
      <c r="U142" s="5">
        <f t="shared" si="45"/>
        <v>0</v>
      </c>
      <c r="V142" s="5">
        <f t="shared" si="46"/>
        <v>50000</v>
      </c>
      <c r="W142" s="4">
        <f>+VLOOKUP(C142,Indicadores!B:V,21,FALSE)</f>
        <v>0.98680000000000001</v>
      </c>
      <c r="X142" s="35" t="str">
        <f t="shared" si="47"/>
        <v>No Cumple</v>
      </c>
      <c r="Y142" s="2">
        <f t="shared" si="48"/>
        <v>0</v>
      </c>
      <c r="Z142" s="5" t="str">
        <f t="shared" si="49"/>
        <v>SI</v>
      </c>
      <c r="AA142" s="5">
        <f t="shared" si="50"/>
        <v>148500</v>
      </c>
      <c r="AB142" s="1"/>
    </row>
    <row r="143" spans="2:28" x14ac:dyDescent="0.25">
      <c r="B143" s="1" t="s">
        <v>240</v>
      </c>
      <c r="C143" s="1" t="s">
        <v>148</v>
      </c>
      <c r="D143" s="1" t="s">
        <v>243</v>
      </c>
      <c r="E143" s="1" t="s">
        <v>208</v>
      </c>
      <c r="F143" s="2">
        <f t="shared" si="35"/>
        <v>0</v>
      </c>
      <c r="G143" s="4">
        <f>+VLOOKUP(C143,Indicadores!B:C,2,FALSE)</f>
        <v>0.76468181818181824</v>
      </c>
      <c r="H143" s="1" t="str">
        <f t="shared" si="36"/>
        <v>Cumple</v>
      </c>
      <c r="I143" s="5">
        <f t="shared" si="37"/>
        <v>0</v>
      </c>
      <c r="J143" s="9">
        <f t="shared" si="38"/>
        <v>0</v>
      </c>
      <c r="K143" s="4">
        <f>+VLOOKUP(C143,Indicadores!B:F,5,FALSE)</f>
        <v>0.93333333333333335</v>
      </c>
      <c r="L143" s="1" t="str">
        <f t="shared" si="39"/>
        <v>Cumple</v>
      </c>
      <c r="M143" s="5">
        <f t="shared" si="40"/>
        <v>0</v>
      </c>
      <c r="N143" s="9">
        <f t="shared" si="34"/>
        <v>150000</v>
      </c>
      <c r="O143" s="4">
        <f>+VLOOKUP(C143,Indicadores!B:P,14,FALSE)</f>
        <v>0.98819999999999997</v>
      </c>
      <c r="P143" s="1" t="str">
        <f t="shared" si="41"/>
        <v>Cumple</v>
      </c>
      <c r="Q143" s="5">
        <f t="shared" si="42"/>
        <v>0</v>
      </c>
      <c r="R143" s="5">
        <f t="shared" si="43"/>
        <v>50000</v>
      </c>
      <c r="S143" s="4">
        <f>+VLOOKUP(C143,Indicadores!B:Q,15,FALSE)</f>
        <v>0.69589999999999996</v>
      </c>
      <c r="T143" s="5" t="str">
        <f t="shared" si="44"/>
        <v>No Cumple</v>
      </c>
      <c r="U143" s="5">
        <f t="shared" si="45"/>
        <v>0</v>
      </c>
      <c r="V143" s="5">
        <f t="shared" si="46"/>
        <v>50000</v>
      </c>
      <c r="W143" s="4">
        <f>+VLOOKUP(C143,Indicadores!B:V,21,FALSE)</f>
        <v>0.49409999999999998</v>
      </c>
      <c r="X143" s="35" t="str">
        <f t="shared" si="47"/>
        <v>No Cumple</v>
      </c>
      <c r="Y143" s="2">
        <f t="shared" si="48"/>
        <v>0</v>
      </c>
      <c r="Z143" s="5" t="str">
        <f t="shared" si="49"/>
        <v>SI</v>
      </c>
      <c r="AA143" s="5">
        <f t="shared" si="50"/>
        <v>0</v>
      </c>
      <c r="AB143" s="1"/>
    </row>
    <row r="144" spans="2:28" x14ac:dyDescent="0.25">
      <c r="B144" s="1" t="s">
        <v>240</v>
      </c>
      <c r="C144" s="1" t="s">
        <v>149</v>
      </c>
      <c r="D144" s="1" t="s">
        <v>243</v>
      </c>
      <c r="E144" s="1" t="s">
        <v>208</v>
      </c>
      <c r="F144" s="2">
        <f t="shared" si="35"/>
        <v>0</v>
      </c>
      <c r="G144" s="4">
        <f>+VLOOKUP(C144,Indicadores!B:C,2,FALSE)</f>
        <v>0.77224545454545457</v>
      </c>
      <c r="H144" s="1" t="str">
        <f t="shared" si="36"/>
        <v>Cumple</v>
      </c>
      <c r="I144" s="5">
        <f t="shared" si="37"/>
        <v>0</v>
      </c>
      <c r="J144" s="9">
        <f t="shared" si="38"/>
        <v>0</v>
      </c>
      <c r="K144" s="4">
        <f>+VLOOKUP(C144,Indicadores!B:F,5,FALSE)</f>
        <v>1</v>
      </c>
      <c r="L144" s="1" t="str">
        <f t="shared" si="39"/>
        <v>Cumple</v>
      </c>
      <c r="M144" s="5">
        <f t="shared" si="40"/>
        <v>0</v>
      </c>
      <c r="N144" s="9">
        <f t="shared" si="34"/>
        <v>150000</v>
      </c>
      <c r="O144" s="4">
        <f>+VLOOKUP(C144,Indicadores!B:P,14,FALSE)</f>
        <v>1</v>
      </c>
      <c r="P144" s="1" t="str">
        <f t="shared" si="41"/>
        <v>Cumple</v>
      </c>
      <c r="Q144" s="5">
        <f t="shared" si="42"/>
        <v>150000</v>
      </c>
      <c r="R144" s="5">
        <f t="shared" si="43"/>
        <v>50000</v>
      </c>
      <c r="S144" s="4">
        <f>+VLOOKUP(C144,Indicadores!B:Q,15,FALSE)</f>
        <v>0.66220000000000001</v>
      </c>
      <c r="T144" s="5" t="str">
        <f t="shared" si="44"/>
        <v>No Cumple</v>
      </c>
      <c r="U144" s="5">
        <f t="shared" si="45"/>
        <v>0</v>
      </c>
      <c r="V144" s="5">
        <f t="shared" si="46"/>
        <v>50000</v>
      </c>
      <c r="W144" s="4">
        <f>+VLOOKUP(C144,Indicadores!B:V,21,FALSE)</f>
        <v>0.5</v>
      </c>
      <c r="X144" s="35" t="str">
        <f t="shared" si="47"/>
        <v>No Cumple</v>
      </c>
      <c r="Y144" s="2">
        <f t="shared" si="48"/>
        <v>0</v>
      </c>
      <c r="Z144" s="5" t="str">
        <f t="shared" si="49"/>
        <v>SI</v>
      </c>
      <c r="AA144" s="5">
        <f t="shared" si="50"/>
        <v>150000</v>
      </c>
      <c r="AB144" s="1"/>
    </row>
    <row r="145" spans="2:28" x14ac:dyDescent="0.25">
      <c r="B145" s="1" t="s">
        <v>240</v>
      </c>
      <c r="C145" s="1" t="s">
        <v>150</v>
      </c>
      <c r="D145" s="1" t="s">
        <v>243</v>
      </c>
      <c r="E145" s="1" t="s">
        <v>208</v>
      </c>
      <c r="F145" s="2">
        <f t="shared" si="35"/>
        <v>0</v>
      </c>
      <c r="G145" s="4">
        <v>0.7</v>
      </c>
      <c r="H145" s="1" t="str">
        <f t="shared" si="36"/>
        <v>Cumple</v>
      </c>
      <c r="I145" s="5">
        <f t="shared" si="37"/>
        <v>0</v>
      </c>
      <c r="J145" s="9">
        <f t="shared" si="38"/>
        <v>0</v>
      </c>
      <c r="K145" s="4">
        <f>+VLOOKUP(C145,Indicadores!B:F,5,FALSE)</f>
        <v>0.90909090909090906</v>
      </c>
      <c r="L145" s="1" t="str">
        <f t="shared" si="39"/>
        <v>Cumple</v>
      </c>
      <c r="M145" s="5">
        <f t="shared" si="40"/>
        <v>0</v>
      </c>
      <c r="N145" s="9">
        <f t="shared" si="34"/>
        <v>150000</v>
      </c>
      <c r="O145" s="4">
        <f>+VLOOKUP(C145,Indicadores!B:P,14,FALSE)</f>
        <v>1</v>
      </c>
      <c r="P145" s="1" t="str">
        <f t="shared" si="41"/>
        <v>Cumple</v>
      </c>
      <c r="Q145" s="5">
        <f t="shared" si="42"/>
        <v>150000</v>
      </c>
      <c r="R145" s="5">
        <f t="shared" si="43"/>
        <v>50000</v>
      </c>
      <c r="S145" s="4">
        <f>+VLOOKUP(C145,Indicadores!B:Q,15,FALSE)</f>
        <v>0.58106666666666673</v>
      </c>
      <c r="T145" s="5" t="str">
        <f t="shared" si="44"/>
        <v>No Cumple</v>
      </c>
      <c r="U145" s="5">
        <f t="shared" si="45"/>
        <v>0</v>
      </c>
      <c r="V145" s="5">
        <f t="shared" si="46"/>
        <v>50000</v>
      </c>
      <c r="W145" s="4">
        <f>+VLOOKUP(C145,Indicadores!B:V,21,FALSE)</f>
        <v>1</v>
      </c>
      <c r="X145" s="35" t="str">
        <f t="shared" si="47"/>
        <v>Cumple</v>
      </c>
      <c r="Y145" s="2">
        <f t="shared" si="48"/>
        <v>50000</v>
      </c>
      <c r="Z145" s="5" t="str">
        <f t="shared" si="49"/>
        <v>SI</v>
      </c>
      <c r="AA145" s="5">
        <f t="shared" si="50"/>
        <v>200000</v>
      </c>
      <c r="AB145" s="1"/>
    </row>
    <row r="146" spans="2:28" x14ac:dyDescent="0.25">
      <c r="B146" s="1" t="s">
        <v>240</v>
      </c>
      <c r="C146" s="1" t="s">
        <v>151</v>
      </c>
      <c r="D146" s="1" t="s">
        <v>243</v>
      </c>
      <c r="E146" s="1" t="s">
        <v>208</v>
      </c>
      <c r="F146" s="2">
        <f t="shared" si="35"/>
        <v>0</v>
      </c>
      <c r="G146" s="4">
        <f>+VLOOKUP(C146,Indicadores!B:C,2,FALSE)</f>
        <v>0.80039999999999989</v>
      </c>
      <c r="H146" s="1" t="str">
        <f t="shared" si="36"/>
        <v>Cumple</v>
      </c>
      <c r="I146" s="5">
        <f t="shared" si="37"/>
        <v>0</v>
      </c>
      <c r="J146" s="9">
        <f t="shared" si="38"/>
        <v>0</v>
      </c>
      <c r="K146" s="4">
        <f>+VLOOKUP(C146,Indicadores!B:F,5,FALSE)</f>
        <v>1</v>
      </c>
      <c r="L146" s="1" t="str">
        <f t="shared" si="39"/>
        <v>Cumple</v>
      </c>
      <c r="M146" s="5">
        <f t="shared" si="40"/>
        <v>0</v>
      </c>
      <c r="N146" s="9">
        <f t="shared" si="34"/>
        <v>150000</v>
      </c>
      <c r="O146" s="4">
        <f>+VLOOKUP(C146,Indicadores!B:P,14,FALSE)</f>
        <v>1</v>
      </c>
      <c r="P146" s="1" t="str">
        <f t="shared" si="41"/>
        <v>Cumple</v>
      </c>
      <c r="Q146" s="5">
        <f t="shared" si="42"/>
        <v>150000</v>
      </c>
      <c r="R146" s="5">
        <f t="shared" si="43"/>
        <v>50000</v>
      </c>
      <c r="S146" s="4">
        <f>+VLOOKUP(C146,Indicadores!B:Q,15,FALSE)</f>
        <v>0.71376666666666677</v>
      </c>
      <c r="T146" s="5" t="str">
        <f t="shared" si="44"/>
        <v>No Cumple</v>
      </c>
      <c r="U146" s="5">
        <f t="shared" si="45"/>
        <v>0</v>
      </c>
      <c r="V146" s="5">
        <f t="shared" si="46"/>
        <v>50000</v>
      </c>
      <c r="W146" s="4">
        <f>+VLOOKUP(C146,Indicadores!B:V,21,FALSE)</f>
        <v>0.5</v>
      </c>
      <c r="X146" s="35" t="str">
        <f t="shared" si="47"/>
        <v>No Cumple</v>
      </c>
      <c r="Y146" s="2">
        <f t="shared" si="48"/>
        <v>0</v>
      </c>
      <c r="Z146" s="5" t="str">
        <f t="shared" si="49"/>
        <v>SI</v>
      </c>
      <c r="AA146" s="5">
        <f t="shared" si="50"/>
        <v>150000</v>
      </c>
      <c r="AB146" s="1"/>
    </row>
    <row r="147" spans="2:28" x14ac:dyDescent="0.25">
      <c r="B147" s="1" t="s">
        <v>240</v>
      </c>
      <c r="C147" s="1" t="s">
        <v>152</v>
      </c>
      <c r="D147" s="1" t="s">
        <v>243</v>
      </c>
      <c r="E147" s="1" t="s">
        <v>208</v>
      </c>
      <c r="F147" s="2">
        <f t="shared" si="35"/>
        <v>0</v>
      </c>
      <c r="G147" s="4">
        <f>+VLOOKUP(C147,Indicadores!B:C,2,FALSE)</f>
        <v>0.85429999999999995</v>
      </c>
      <c r="H147" s="1" t="str">
        <f t="shared" si="36"/>
        <v>Cumple</v>
      </c>
      <c r="I147" s="5">
        <f t="shared" si="37"/>
        <v>0</v>
      </c>
      <c r="J147" s="9">
        <f t="shared" si="38"/>
        <v>0</v>
      </c>
      <c r="K147" s="4">
        <f>+VLOOKUP(C147,Indicadores!B:F,5,FALSE)</f>
        <v>1</v>
      </c>
      <c r="L147" s="1" t="str">
        <f t="shared" si="39"/>
        <v>Cumple</v>
      </c>
      <c r="M147" s="5">
        <f t="shared" si="40"/>
        <v>0</v>
      </c>
      <c r="N147" s="9">
        <f t="shared" si="34"/>
        <v>150000</v>
      </c>
      <c r="O147" s="4">
        <f>+VLOOKUP(C147,Indicadores!B:P,14,FALSE)</f>
        <v>1</v>
      </c>
      <c r="P147" s="1" t="str">
        <f t="shared" si="41"/>
        <v>Cumple</v>
      </c>
      <c r="Q147" s="5">
        <f t="shared" si="42"/>
        <v>150000</v>
      </c>
      <c r="R147" s="5">
        <f t="shared" si="43"/>
        <v>50000</v>
      </c>
      <c r="S147" s="4">
        <f>+VLOOKUP(C147,Indicadores!B:Q,15,FALSE)</f>
        <v>0.76056666666666661</v>
      </c>
      <c r="T147" s="5" t="str">
        <f t="shared" si="44"/>
        <v>No Cumple</v>
      </c>
      <c r="U147" s="5">
        <f t="shared" si="45"/>
        <v>0</v>
      </c>
      <c r="V147" s="5">
        <f t="shared" si="46"/>
        <v>50000</v>
      </c>
      <c r="W147" s="4">
        <f>+VLOOKUP(C147,Indicadores!B:V,21,FALSE)</f>
        <v>0.5</v>
      </c>
      <c r="X147" s="35" t="str">
        <f t="shared" si="47"/>
        <v>No Cumple</v>
      </c>
      <c r="Y147" s="2">
        <f t="shared" si="48"/>
        <v>0</v>
      </c>
      <c r="Z147" s="5" t="str">
        <f t="shared" si="49"/>
        <v>SI</v>
      </c>
      <c r="AA147" s="5">
        <f t="shared" si="50"/>
        <v>150000</v>
      </c>
      <c r="AB147" s="1"/>
    </row>
    <row r="148" spans="2:28" x14ac:dyDescent="0.25">
      <c r="B148" s="1" t="s">
        <v>240</v>
      </c>
      <c r="C148" s="1" t="s">
        <v>153</v>
      </c>
      <c r="D148" s="1" t="s">
        <v>243</v>
      </c>
      <c r="E148" s="1" t="s">
        <v>208</v>
      </c>
      <c r="F148" s="2">
        <f t="shared" si="35"/>
        <v>0</v>
      </c>
      <c r="G148" s="4">
        <f>+VLOOKUP(C148,Indicadores!B:C,2,FALSE)</f>
        <v>0.77709090909090905</v>
      </c>
      <c r="H148" s="1" t="str">
        <f t="shared" si="36"/>
        <v>Cumple</v>
      </c>
      <c r="I148" s="5">
        <f t="shared" si="37"/>
        <v>0</v>
      </c>
      <c r="J148" s="9">
        <f t="shared" si="38"/>
        <v>0</v>
      </c>
      <c r="K148" s="4">
        <f>+VLOOKUP(C148,Indicadores!B:F,5,FALSE)</f>
        <v>0.9375</v>
      </c>
      <c r="L148" s="1" t="str">
        <f t="shared" si="39"/>
        <v>Cumple</v>
      </c>
      <c r="M148" s="5">
        <f t="shared" si="40"/>
        <v>0</v>
      </c>
      <c r="N148" s="9">
        <f t="shared" si="34"/>
        <v>150000</v>
      </c>
      <c r="O148" s="4">
        <f>+VLOOKUP(C148,Indicadores!B:P,14,FALSE)</f>
        <v>1</v>
      </c>
      <c r="P148" s="1" t="str">
        <f t="shared" si="41"/>
        <v>Cumple</v>
      </c>
      <c r="Q148" s="5">
        <f t="shared" si="42"/>
        <v>150000</v>
      </c>
      <c r="R148" s="5">
        <f t="shared" si="43"/>
        <v>50000</v>
      </c>
      <c r="S148" s="4">
        <f>+VLOOKUP(C148,Indicadores!B:Q,15,FALSE)</f>
        <v>0.73396666666666677</v>
      </c>
      <c r="T148" s="5" t="str">
        <f t="shared" si="44"/>
        <v>No Cumple</v>
      </c>
      <c r="U148" s="5">
        <f t="shared" si="45"/>
        <v>0</v>
      </c>
      <c r="V148" s="5">
        <f t="shared" si="46"/>
        <v>50000</v>
      </c>
      <c r="W148" s="4">
        <f>+VLOOKUP(C148,Indicadores!B:V,21,FALSE)</f>
        <v>0.5</v>
      </c>
      <c r="X148" s="35" t="str">
        <f t="shared" si="47"/>
        <v>No Cumple</v>
      </c>
      <c r="Y148" s="2">
        <f t="shared" si="48"/>
        <v>0</v>
      </c>
      <c r="Z148" s="5" t="str">
        <f t="shared" si="49"/>
        <v>SI</v>
      </c>
      <c r="AA148" s="5">
        <f t="shared" si="50"/>
        <v>150000</v>
      </c>
      <c r="AB148" s="1"/>
    </row>
    <row r="149" spans="2:28" x14ac:dyDescent="0.25">
      <c r="B149" s="1" t="s">
        <v>240</v>
      </c>
      <c r="C149" s="1" t="s">
        <v>154</v>
      </c>
      <c r="D149" s="1" t="s">
        <v>243</v>
      </c>
      <c r="E149" s="1" t="s">
        <v>208</v>
      </c>
      <c r="F149" s="2">
        <f t="shared" si="35"/>
        <v>0</v>
      </c>
      <c r="G149" s="4">
        <f>+VLOOKUP(C149,Indicadores!B:C,2,FALSE)</f>
        <v>0.81150000000000011</v>
      </c>
      <c r="H149" s="1" t="str">
        <f t="shared" si="36"/>
        <v>Cumple</v>
      </c>
      <c r="I149" s="5">
        <f t="shared" si="37"/>
        <v>0</v>
      </c>
      <c r="J149" s="9">
        <f t="shared" si="38"/>
        <v>0</v>
      </c>
      <c r="K149" s="4">
        <f>+VLOOKUP(C149,Indicadores!B:F,5,FALSE)</f>
        <v>1</v>
      </c>
      <c r="L149" s="1" t="str">
        <f t="shared" si="39"/>
        <v>Cumple</v>
      </c>
      <c r="M149" s="5">
        <f t="shared" si="40"/>
        <v>0</v>
      </c>
      <c r="N149" s="9">
        <f t="shared" si="34"/>
        <v>150000</v>
      </c>
      <c r="O149" s="4">
        <f>+VLOOKUP(C149,Indicadores!B:P,14,FALSE)</f>
        <v>1</v>
      </c>
      <c r="P149" s="1" t="str">
        <f t="shared" si="41"/>
        <v>Cumple</v>
      </c>
      <c r="Q149" s="5">
        <f t="shared" si="42"/>
        <v>150000</v>
      </c>
      <c r="R149" s="5">
        <f t="shared" si="43"/>
        <v>50000</v>
      </c>
      <c r="S149" s="4">
        <f>+VLOOKUP(C149,Indicadores!B:Q,15,FALSE)</f>
        <v>0.75490000000000002</v>
      </c>
      <c r="T149" s="5" t="str">
        <f t="shared" si="44"/>
        <v>No Cumple</v>
      </c>
      <c r="U149" s="5">
        <f t="shared" si="45"/>
        <v>0</v>
      </c>
      <c r="V149" s="5">
        <f t="shared" si="46"/>
        <v>50000</v>
      </c>
      <c r="W149" s="4">
        <f>+VLOOKUP(C149,Indicadores!B:V,21,FALSE)</f>
        <v>0.5</v>
      </c>
      <c r="X149" s="35" t="str">
        <f t="shared" si="47"/>
        <v>No Cumple</v>
      </c>
      <c r="Y149" s="2">
        <f t="shared" si="48"/>
        <v>0</v>
      </c>
      <c r="Z149" s="5" t="str">
        <f t="shared" si="49"/>
        <v>SI</v>
      </c>
      <c r="AA149" s="5">
        <f t="shared" si="50"/>
        <v>150000</v>
      </c>
      <c r="AB149" s="1"/>
    </row>
    <row r="150" spans="2:28" x14ac:dyDescent="0.25">
      <c r="B150" s="1" t="s">
        <v>240</v>
      </c>
      <c r="C150" s="1" t="s">
        <v>155</v>
      </c>
      <c r="D150" s="1" t="s">
        <v>243</v>
      </c>
      <c r="E150" s="1" t="s">
        <v>208</v>
      </c>
      <c r="F150" s="2">
        <f t="shared" si="35"/>
        <v>0</v>
      </c>
      <c r="G150" s="4">
        <f>+VLOOKUP(C150,Indicadores!B:C,2,FALSE)</f>
        <v>0.81819090909090919</v>
      </c>
      <c r="H150" s="1" t="str">
        <f t="shared" si="36"/>
        <v>Cumple</v>
      </c>
      <c r="I150" s="5">
        <f t="shared" si="37"/>
        <v>0</v>
      </c>
      <c r="J150" s="9">
        <f t="shared" si="38"/>
        <v>0</v>
      </c>
      <c r="K150" s="4">
        <f>+VLOOKUP(C150,Indicadores!B:F,5,FALSE)</f>
        <v>0.89473684210526316</v>
      </c>
      <c r="L150" s="1" t="str">
        <f t="shared" si="39"/>
        <v>Cumple</v>
      </c>
      <c r="M150" s="5">
        <f t="shared" si="40"/>
        <v>0</v>
      </c>
      <c r="N150" s="9">
        <f t="shared" si="34"/>
        <v>150000</v>
      </c>
      <c r="O150" s="4">
        <f>+VLOOKUP(C150,Indicadores!B:P,14,FALSE)</f>
        <v>1</v>
      </c>
      <c r="P150" s="1" t="str">
        <f t="shared" si="41"/>
        <v>Cumple</v>
      </c>
      <c r="Q150" s="5">
        <f t="shared" si="42"/>
        <v>150000</v>
      </c>
      <c r="R150" s="5">
        <f t="shared" si="43"/>
        <v>50000</v>
      </c>
      <c r="S150" s="4">
        <f>+VLOOKUP(C150,Indicadores!B:Q,15,FALSE)</f>
        <v>0.72226666666666661</v>
      </c>
      <c r="T150" s="5" t="str">
        <f t="shared" si="44"/>
        <v>No Cumple</v>
      </c>
      <c r="U150" s="5">
        <f t="shared" si="45"/>
        <v>0</v>
      </c>
      <c r="V150" s="5">
        <f t="shared" si="46"/>
        <v>50000</v>
      </c>
      <c r="W150" s="4">
        <f>+VLOOKUP(C150,Indicadores!B:V,21,FALSE)</f>
        <v>1</v>
      </c>
      <c r="X150" s="35" t="str">
        <f t="shared" si="47"/>
        <v>Cumple</v>
      </c>
      <c r="Y150" s="2">
        <f t="shared" si="48"/>
        <v>50000</v>
      </c>
      <c r="Z150" s="5" t="str">
        <f t="shared" si="49"/>
        <v>SI</v>
      </c>
      <c r="AA150" s="5">
        <f t="shared" si="50"/>
        <v>200000</v>
      </c>
      <c r="AB150" s="1"/>
    </row>
    <row r="151" spans="2:28" x14ac:dyDescent="0.25">
      <c r="B151" s="1" t="s">
        <v>240</v>
      </c>
      <c r="C151" s="1" t="s">
        <v>156</v>
      </c>
      <c r="D151" s="1" t="s">
        <v>243</v>
      </c>
      <c r="E151" s="1" t="s">
        <v>208</v>
      </c>
      <c r="F151" s="2">
        <f t="shared" si="35"/>
        <v>0</v>
      </c>
      <c r="G151" s="4">
        <f>+VLOOKUP(C151,Indicadores!B:C,2,FALSE)</f>
        <v>0.77070000000000005</v>
      </c>
      <c r="H151" s="1" t="str">
        <f t="shared" si="36"/>
        <v>Cumple</v>
      </c>
      <c r="I151" s="5">
        <f t="shared" si="37"/>
        <v>0</v>
      </c>
      <c r="J151" s="9">
        <f t="shared" si="38"/>
        <v>0</v>
      </c>
      <c r="K151" s="4">
        <f>+VLOOKUP(C151,Indicadores!B:F,5,FALSE)</f>
        <v>0.83333333333333337</v>
      </c>
      <c r="L151" s="1" t="str">
        <f t="shared" si="39"/>
        <v>Cumple</v>
      </c>
      <c r="M151" s="5">
        <f t="shared" si="40"/>
        <v>0</v>
      </c>
      <c r="N151" s="9">
        <f t="shared" si="34"/>
        <v>150000</v>
      </c>
      <c r="O151" s="4">
        <f>+VLOOKUP(C151,Indicadores!B:P,14,FALSE)</f>
        <v>1</v>
      </c>
      <c r="P151" s="1" t="str">
        <f t="shared" si="41"/>
        <v>Cumple</v>
      </c>
      <c r="Q151" s="5">
        <f t="shared" si="42"/>
        <v>150000</v>
      </c>
      <c r="R151" s="5">
        <f t="shared" si="43"/>
        <v>50000</v>
      </c>
      <c r="S151" s="4">
        <f>+VLOOKUP(C151,Indicadores!B:Q,15,FALSE)</f>
        <v>0.6303333333333333</v>
      </c>
      <c r="T151" s="5" t="str">
        <f t="shared" si="44"/>
        <v>No Cumple</v>
      </c>
      <c r="U151" s="5">
        <f t="shared" si="45"/>
        <v>0</v>
      </c>
      <c r="V151" s="5">
        <f t="shared" si="46"/>
        <v>50000</v>
      </c>
      <c r="W151" s="4">
        <f>+VLOOKUP(C151,Indicadores!B:V,21,FALSE)</f>
        <v>0.5</v>
      </c>
      <c r="X151" s="35" t="str">
        <f t="shared" si="47"/>
        <v>No Cumple</v>
      </c>
      <c r="Y151" s="2">
        <f t="shared" si="48"/>
        <v>0</v>
      </c>
      <c r="Z151" s="5" t="str">
        <f t="shared" si="49"/>
        <v>SI</v>
      </c>
      <c r="AA151" s="5">
        <f t="shared" si="50"/>
        <v>150000</v>
      </c>
      <c r="AB151" s="1"/>
    </row>
    <row r="152" spans="2:28" x14ac:dyDescent="0.25">
      <c r="B152" s="1" t="s">
        <v>240</v>
      </c>
      <c r="C152" s="1" t="s">
        <v>157</v>
      </c>
      <c r="D152" s="1" t="s">
        <v>243</v>
      </c>
      <c r="E152" s="1" t="s">
        <v>208</v>
      </c>
      <c r="F152" s="2">
        <f t="shared" si="35"/>
        <v>0</v>
      </c>
      <c r="G152" s="4">
        <f>+VLOOKUP(C152,Indicadores!B:C,2,FALSE)</f>
        <v>0.776590909090909</v>
      </c>
      <c r="H152" s="1" t="str">
        <f t="shared" si="36"/>
        <v>Cumple</v>
      </c>
      <c r="I152" s="5">
        <f t="shared" si="37"/>
        <v>0</v>
      </c>
      <c r="J152" s="9">
        <f t="shared" si="38"/>
        <v>0</v>
      </c>
      <c r="K152" s="4">
        <f>+VLOOKUP(C152,Indicadores!B:F,5,FALSE)</f>
        <v>1</v>
      </c>
      <c r="L152" s="1" t="str">
        <f t="shared" si="39"/>
        <v>Cumple</v>
      </c>
      <c r="M152" s="5">
        <f t="shared" si="40"/>
        <v>0</v>
      </c>
      <c r="N152" s="9">
        <f t="shared" si="34"/>
        <v>150000</v>
      </c>
      <c r="O152" s="4">
        <f>+VLOOKUP(C152,Indicadores!B:P,14,FALSE)</f>
        <v>0.98799999999999999</v>
      </c>
      <c r="P152" s="1" t="str">
        <f t="shared" si="41"/>
        <v>Cumple</v>
      </c>
      <c r="Q152" s="5">
        <f t="shared" si="42"/>
        <v>0</v>
      </c>
      <c r="R152" s="5">
        <f t="shared" si="43"/>
        <v>50000</v>
      </c>
      <c r="S152" s="4">
        <f>+VLOOKUP(C152,Indicadores!B:Q,15,FALSE)</f>
        <v>0.67166666666666652</v>
      </c>
      <c r="T152" s="5" t="str">
        <f t="shared" si="44"/>
        <v>No Cumple</v>
      </c>
      <c r="U152" s="5">
        <f t="shared" si="45"/>
        <v>0</v>
      </c>
      <c r="V152" s="5">
        <f t="shared" si="46"/>
        <v>50000</v>
      </c>
      <c r="W152" s="4">
        <f>+VLOOKUP(C152,Indicadores!B:V,21,FALSE)</f>
        <v>0.99399999999999999</v>
      </c>
      <c r="X152" s="35" t="str">
        <f t="shared" si="47"/>
        <v>No Cumple</v>
      </c>
      <c r="Y152" s="2">
        <f t="shared" si="48"/>
        <v>0</v>
      </c>
      <c r="Z152" s="5" t="str">
        <f t="shared" si="49"/>
        <v>SI</v>
      </c>
      <c r="AA152" s="5">
        <f t="shared" si="50"/>
        <v>0</v>
      </c>
      <c r="AB152" s="1"/>
    </row>
    <row r="153" spans="2:28" x14ac:dyDescent="0.25">
      <c r="B153" s="1" t="s">
        <v>240</v>
      </c>
      <c r="C153" s="1" t="s">
        <v>158</v>
      </c>
      <c r="D153" s="1" t="s">
        <v>243</v>
      </c>
      <c r="E153" s="1" t="s">
        <v>208</v>
      </c>
      <c r="F153" s="2">
        <f t="shared" si="35"/>
        <v>0</v>
      </c>
      <c r="G153" s="4">
        <f>+VLOOKUP(C153,Indicadores!B:C,2,FALSE)</f>
        <v>0.77338181818181806</v>
      </c>
      <c r="H153" s="1" t="str">
        <f t="shared" si="36"/>
        <v>Cumple</v>
      </c>
      <c r="I153" s="5">
        <f t="shared" si="37"/>
        <v>0</v>
      </c>
      <c r="J153" s="9">
        <f t="shared" si="38"/>
        <v>0</v>
      </c>
      <c r="K153" s="4">
        <f>+VLOOKUP(C153,Indicadores!B:F,5,FALSE)</f>
        <v>1</v>
      </c>
      <c r="L153" s="1" t="str">
        <f t="shared" si="39"/>
        <v>Cumple</v>
      </c>
      <c r="M153" s="5">
        <f t="shared" si="40"/>
        <v>0</v>
      </c>
      <c r="N153" s="9">
        <f t="shared" si="34"/>
        <v>150000</v>
      </c>
      <c r="O153" s="4">
        <f>+VLOOKUP(C153,Indicadores!B:P,14,FALSE)</f>
        <v>1</v>
      </c>
      <c r="P153" s="1" t="str">
        <f t="shared" si="41"/>
        <v>Cumple</v>
      </c>
      <c r="Q153" s="5">
        <f t="shared" si="42"/>
        <v>150000</v>
      </c>
      <c r="R153" s="5">
        <f t="shared" si="43"/>
        <v>50000</v>
      </c>
      <c r="S153" s="4">
        <f>+VLOOKUP(C153,Indicadores!B:Q,15,FALSE)</f>
        <v>0.60483333333333333</v>
      </c>
      <c r="T153" s="5" t="str">
        <f t="shared" si="44"/>
        <v>No Cumple</v>
      </c>
      <c r="U153" s="5">
        <f t="shared" si="45"/>
        <v>0</v>
      </c>
      <c r="V153" s="5">
        <f t="shared" si="46"/>
        <v>50000</v>
      </c>
      <c r="W153" s="4">
        <f>+VLOOKUP(C153,Indicadores!B:V,21,FALSE)</f>
        <v>1</v>
      </c>
      <c r="X153" s="35" t="str">
        <f t="shared" si="47"/>
        <v>Cumple</v>
      </c>
      <c r="Y153" s="2">
        <f t="shared" si="48"/>
        <v>50000</v>
      </c>
      <c r="Z153" s="5" t="str">
        <f t="shared" si="49"/>
        <v>SI</v>
      </c>
      <c r="AA153" s="5">
        <f t="shared" si="50"/>
        <v>200000</v>
      </c>
      <c r="AB153" s="1"/>
    </row>
    <row r="154" spans="2:28" x14ac:dyDescent="0.25">
      <c r="B154" s="1" t="s">
        <v>239</v>
      </c>
      <c r="C154" s="1" t="s">
        <v>159</v>
      </c>
      <c r="D154" s="1" t="s">
        <v>243</v>
      </c>
      <c r="E154" s="1" t="s">
        <v>209</v>
      </c>
      <c r="F154" s="2">
        <f t="shared" si="35"/>
        <v>0</v>
      </c>
      <c r="G154" s="4">
        <v>0.8</v>
      </c>
      <c r="H154" s="1" t="str">
        <f t="shared" si="36"/>
        <v>Cumple</v>
      </c>
      <c r="I154" s="5">
        <f t="shared" si="37"/>
        <v>0</v>
      </c>
      <c r="J154" s="9">
        <f t="shared" si="38"/>
        <v>0</v>
      </c>
      <c r="K154" s="4">
        <f>+VLOOKUP(C154,Indicadores!B:F,5,FALSE)</f>
        <v>1</v>
      </c>
      <c r="L154" s="1" t="str">
        <f t="shared" si="39"/>
        <v>Cumple</v>
      </c>
      <c r="M154" s="5">
        <f t="shared" si="40"/>
        <v>0</v>
      </c>
      <c r="N154" s="9">
        <f t="shared" si="34"/>
        <v>150000</v>
      </c>
      <c r="O154" s="4">
        <f>+VLOOKUP(C154,Indicadores!B:P,14,FALSE)</f>
        <v>1</v>
      </c>
      <c r="P154" s="1" t="str">
        <f t="shared" si="41"/>
        <v>Cumple</v>
      </c>
      <c r="Q154" s="5">
        <f t="shared" si="42"/>
        <v>150000</v>
      </c>
      <c r="R154" s="5">
        <f t="shared" si="43"/>
        <v>50000</v>
      </c>
      <c r="S154" s="4">
        <f>+VLOOKUP(C154,Indicadores!B:Q,15,FALSE)</f>
        <v>0.82350000000000001</v>
      </c>
      <c r="T154" s="5" t="str">
        <f t="shared" si="44"/>
        <v>Cumple</v>
      </c>
      <c r="U154" s="5">
        <f t="shared" si="45"/>
        <v>40000</v>
      </c>
      <c r="V154" s="5">
        <f t="shared" si="46"/>
        <v>50000</v>
      </c>
      <c r="W154" s="4">
        <f>+VLOOKUP(C154,Indicadores!B:V,21,FALSE)</f>
        <v>0.5</v>
      </c>
      <c r="X154" s="35" t="str">
        <f t="shared" si="47"/>
        <v>No Cumple</v>
      </c>
      <c r="Y154" s="2">
        <f t="shared" si="48"/>
        <v>0</v>
      </c>
      <c r="Z154" s="5" t="str">
        <f t="shared" si="49"/>
        <v>SI</v>
      </c>
      <c r="AA154" s="5">
        <f t="shared" si="50"/>
        <v>190000</v>
      </c>
      <c r="AB154" s="1"/>
    </row>
    <row r="155" spans="2:28" x14ac:dyDescent="0.25">
      <c r="B155" s="1" t="s">
        <v>239</v>
      </c>
      <c r="C155" s="1" t="s">
        <v>160</v>
      </c>
      <c r="D155" s="1" t="s">
        <v>243</v>
      </c>
      <c r="E155" s="1" t="s">
        <v>209</v>
      </c>
      <c r="F155" s="2">
        <f t="shared" si="35"/>
        <v>0</v>
      </c>
      <c r="G155" s="4">
        <f>+VLOOKUP(C155,Indicadores!B:C,2,FALSE)</f>
        <v>0.83440909090909088</v>
      </c>
      <c r="H155" s="1" t="str">
        <f t="shared" si="36"/>
        <v>Cumple</v>
      </c>
      <c r="I155" s="5">
        <f t="shared" si="37"/>
        <v>0</v>
      </c>
      <c r="J155" s="9">
        <f t="shared" si="38"/>
        <v>0</v>
      </c>
      <c r="K155" s="4">
        <f>+VLOOKUP(C155,Indicadores!B:F,5,FALSE)</f>
        <v>1</v>
      </c>
      <c r="L155" s="1" t="str">
        <f t="shared" si="39"/>
        <v>Cumple</v>
      </c>
      <c r="M155" s="5">
        <f t="shared" si="40"/>
        <v>0</v>
      </c>
      <c r="N155" s="9">
        <f t="shared" si="34"/>
        <v>150000</v>
      </c>
      <c r="O155" s="4">
        <f>+VLOOKUP(C155,Indicadores!B:P,14,FALSE)</f>
        <v>1</v>
      </c>
      <c r="P155" s="1" t="str">
        <f t="shared" si="41"/>
        <v>Cumple</v>
      </c>
      <c r="Q155" s="5">
        <f t="shared" si="42"/>
        <v>150000</v>
      </c>
      <c r="R155" s="5">
        <f t="shared" si="43"/>
        <v>50000</v>
      </c>
      <c r="S155" s="4">
        <f>+VLOOKUP(C155,Indicadores!B:Q,15,FALSE)</f>
        <v>0.41899999999999998</v>
      </c>
      <c r="T155" s="5" t="str">
        <f t="shared" si="44"/>
        <v>No Cumple</v>
      </c>
      <c r="U155" s="5">
        <f t="shared" si="45"/>
        <v>0</v>
      </c>
      <c r="V155" s="5">
        <f t="shared" si="46"/>
        <v>50000</v>
      </c>
      <c r="W155" s="4">
        <f>+VLOOKUP(C155,Indicadores!B:V,21,FALSE)</f>
        <v>0.5</v>
      </c>
      <c r="X155" s="35" t="str">
        <f t="shared" si="47"/>
        <v>No Cumple</v>
      </c>
      <c r="Y155" s="2">
        <f t="shared" si="48"/>
        <v>0</v>
      </c>
      <c r="Z155" s="5" t="str">
        <f t="shared" si="49"/>
        <v>SI</v>
      </c>
      <c r="AA155" s="5">
        <f t="shared" si="50"/>
        <v>150000</v>
      </c>
      <c r="AB155" s="1"/>
    </row>
    <row r="156" spans="2:28" x14ac:dyDescent="0.25">
      <c r="B156" s="1" t="s">
        <v>239</v>
      </c>
      <c r="C156" s="1" t="s">
        <v>161</v>
      </c>
      <c r="D156" s="1" t="s">
        <v>243</v>
      </c>
      <c r="E156" s="1" t="s">
        <v>209</v>
      </c>
      <c r="F156" s="2">
        <f t="shared" si="35"/>
        <v>0</v>
      </c>
      <c r="G156" s="4">
        <f>+VLOOKUP(C156,Indicadores!B:C,2,FALSE)</f>
        <v>0.70810909090909102</v>
      </c>
      <c r="H156" s="1" t="str">
        <f t="shared" si="36"/>
        <v>Cumple</v>
      </c>
      <c r="I156" s="5">
        <f t="shared" si="37"/>
        <v>0</v>
      </c>
      <c r="J156" s="9">
        <f t="shared" si="38"/>
        <v>0</v>
      </c>
      <c r="K156" s="4">
        <f>+VLOOKUP(C156,Indicadores!B:F,5,FALSE)</f>
        <v>0.58333333333333337</v>
      </c>
      <c r="L156" s="1" t="str">
        <f t="shared" si="39"/>
        <v>No Cumple</v>
      </c>
      <c r="M156" s="5">
        <f t="shared" si="40"/>
        <v>0</v>
      </c>
      <c r="N156" s="9">
        <f t="shared" si="34"/>
        <v>150000</v>
      </c>
      <c r="O156" s="4">
        <f>+VLOOKUP(C156,Indicadores!B:P,14,FALSE)</f>
        <v>0.89470000000000005</v>
      </c>
      <c r="P156" s="1" t="str">
        <f t="shared" si="41"/>
        <v>Cumple</v>
      </c>
      <c r="Q156" s="5">
        <f t="shared" si="42"/>
        <v>120000</v>
      </c>
      <c r="R156" s="5">
        <f t="shared" si="43"/>
        <v>50000</v>
      </c>
      <c r="S156" s="4">
        <f>+VLOOKUP(C156,Indicadores!B:Q,15,FALSE)</f>
        <v>0.29823333333333335</v>
      </c>
      <c r="T156" s="5" t="str">
        <f t="shared" si="44"/>
        <v>No Cumple</v>
      </c>
      <c r="U156" s="5">
        <f t="shared" si="45"/>
        <v>0</v>
      </c>
      <c r="V156" s="5">
        <f t="shared" si="46"/>
        <v>50000</v>
      </c>
      <c r="W156" s="4">
        <f>+VLOOKUP(C156,Indicadores!B:V,21,FALSE)</f>
        <v>0.89470000000000005</v>
      </c>
      <c r="X156" s="35" t="str">
        <f t="shared" si="47"/>
        <v>No Cumple</v>
      </c>
      <c r="Y156" s="2">
        <f t="shared" si="48"/>
        <v>0</v>
      </c>
      <c r="Z156" s="5" t="str">
        <f t="shared" si="49"/>
        <v>NO</v>
      </c>
      <c r="AA156" s="5">
        <f t="shared" si="50"/>
        <v>0</v>
      </c>
      <c r="AB156" s="1"/>
    </row>
    <row r="157" spans="2:28" x14ac:dyDescent="0.25">
      <c r="B157" s="1" t="s">
        <v>239</v>
      </c>
      <c r="C157" s="1" t="s">
        <v>162</v>
      </c>
      <c r="D157" s="1" t="s">
        <v>243</v>
      </c>
      <c r="E157" s="1" t="s">
        <v>209</v>
      </c>
      <c r="F157" s="2">
        <f t="shared" si="35"/>
        <v>0</v>
      </c>
      <c r="G157" s="4">
        <f>+VLOOKUP(C157,Indicadores!B:C,2,FALSE)</f>
        <v>0.82828181818181823</v>
      </c>
      <c r="H157" s="1" t="str">
        <f t="shared" si="36"/>
        <v>Cumple</v>
      </c>
      <c r="I157" s="5">
        <f t="shared" si="37"/>
        <v>0</v>
      </c>
      <c r="J157" s="9">
        <f t="shared" si="38"/>
        <v>0</v>
      </c>
      <c r="K157" s="4">
        <f>+VLOOKUP(C157,Indicadores!B:F,5,FALSE)</f>
        <v>1</v>
      </c>
      <c r="L157" s="1" t="str">
        <f t="shared" si="39"/>
        <v>Cumple</v>
      </c>
      <c r="M157" s="5">
        <f t="shared" si="40"/>
        <v>0</v>
      </c>
      <c r="N157" s="9">
        <f t="shared" si="34"/>
        <v>150000</v>
      </c>
      <c r="O157" s="4">
        <f>+VLOOKUP(C157,Indicadores!B:P,14,FALSE)</f>
        <v>1</v>
      </c>
      <c r="P157" s="1" t="str">
        <f t="shared" si="41"/>
        <v>Cumple</v>
      </c>
      <c r="Q157" s="5">
        <f t="shared" si="42"/>
        <v>150000</v>
      </c>
      <c r="R157" s="5">
        <f t="shared" si="43"/>
        <v>50000</v>
      </c>
      <c r="S157" s="4">
        <f>+VLOOKUP(C157,Indicadores!B:Q,15,FALSE)</f>
        <v>0.59523333333333328</v>
      </c>
      <c r="T157" s="5" t="str">
        <f t="shared" si="44"/>
        <v>No Cumple</v>
      </c>
      <c r="U157" s="5">
        <f t="shared" si="45"/>
        <v>0</v>
      </c>
      <c r="V157" s="5">
        <f t="shared" si="46"/>
        <v>50000</v>
      </c>
      <c r="W157" s="4">
        <f>+VLOOKUP(C157,Indicadores!B:V,21,FALSE)</f>
        <v>1</v>
      </c>
      <c r="X157" s="35" t="str">
        <f t="shared" si="47"/>
        <v>Cumple</v>
      </c>
      <c r="Y157" s="2">
        <f t="shared" si="48"/>
        <v>50000</v>
      </c>
      <c r="Z157" s="5" t="str">
        <f t="shared" si="49"/>
        <v>SI</v>
      </c>
      <c r="AA157" s="5">
        <f t="shared" si="50"/>
        <v>200000</v>
      </c>
      <c r="AB157" s="1"/>
    </row>
    <row r="158" spans="2:28" x14ac:dyDescent="0.25">
      <c r="B158" s="1" t="s">
        <v>239</v>
      </c>
      <c r="C158" s="1" t="s">
        <v>163</v>
      </c>
      <c r="D158" s="1" t="s">
        <v>243</v>
      </c>
      <c r="E158" s="1" t="s">
        <v>209</v>
      </c>
      <c r="F158" s="2">
        <f t="shared" si="35"/>
        <v>0</v>
      </c>
      <c r="G158" s="4">
        <f>+VLOOKUP(C158,Indicadores!B:C,2,FALSE)</f>
        <v>0.82155454545454554</v>
      </c>
      <c r="H158" s="1" t="str">
        <f t="shared" si="36"/>
        <v>Cumple</v>
      </c>
      <c r="I158" s="5">
        <f t="shared" si="37"/>
        <v>0</v>
      </c>
      <c r="J158" s="9">
        <f t="shared" si="38"/>
        <v>0</v>
      </c>
      <c r="K158" s="4">
        <f>+VLOOKUP(C158,Indicadores!B:F,5,FALSE)</f>
        <v>0.8571428571428571</v>
      </c>
      <c r="L158" s="1" t="str">
        <f t="shared" si="39"/>
        <v>Cumple</v>
      </c>
      <c r="M158" s="5">
        <f t="shared" si="40"/>
        <v>0</v>
      </c>
      <c r="N158" s="9">
        <f t="shared" si="34"/>
        <v>150000</v>
      </c>
      <c r="O158" s="4">
        <f>+VLOOKUP(C158,Indicadores!B:P,14,FALSE)</f>
        <v>1</v>
      </c>
      <c r="P158" s="1" t="str">
        <f t="shared" si="41"/>
        <v>Cumple</v>
      </c>
      <c r="Q158" s="5">
        <f t="shared" si="42"/>
        <v>150000</v>
      </c>
      <c r="R158" s="5">
        <f t="shared" si="43"/>
        <v>50000</v>
      </c>
      <c r="S158" s="4">
        <f>+VLOOKUP(C158,Indicadores!B:Q,15,FALSE)</f>
        <v>0.61730000000000007</v>
      </c>
      <c r="T158" s="5" t="str">
        <f t="shared" si="44"/>
        <v>No Cumple</v>
      </c>
      <c r="U158" s="5">
        <f t="shared" si="45"/>
        <v>0</v>
      </c>
      <c r="V158" s="5">
        <f t="shared" si="46"/>
        <v>50000</v>
      </c>
      <c r="W158" s="4">
        <f>+VLOOKUP(C158,Indicadores!B:V,21,FALSE)</f>
        <v>0.5</v>
      </c>
      <c r="X158" s="35" t="str">
        <f t="shared" si="47"/>
        <v>No Cumple</v>
      </c>
      <c r="Y158" s="2">
        <f t="shared" si="48"/>
        <v>0</v>
      </c>
      <c r="Z158" s="5" t="str">
        <f t="shared" si="49"/>
        <v>SI</v>
      </c>
      <c r="AA158" s="5">
        <f t="shared" si="50"/>
        <v>150000</v>
      </c>
      <c r="AB158" s="1"/>
    </row>
    <row r="159" spans="2:28" x14ac:dyDescent="0.25">
      <c r="B159" s="1" t="s">
        <v>239</v>
      </c>
      <c r="C159" s="1" t="s">
        <v>164</v>
      </c>
      <c r="D159" s="1" t="s">
        <v>243</v>
      </c>
      <c r="E159" s="1" t="s">
        <v>209</v>
      </c>
      <c r="F159" s="2">
        <f t="shared" si="35"/>
        <v>0</v>
      </c>
      <c r="G159" s="4">
        <f>+VLOOKUP(C159,Indicadores!B:C,2,FALSE)</f>
        <v>0.76262727272727271</v>
      </c>
      <c r="H159" s="1" t="str">
        <f t="shared" si="36"/>
        <v>Cumple</v>
      </c>
      <c r="I159" s="5">
        <f t="shared" si="37"/>
        <v>0</v>
      </c>
      <c r="J159" s="9">
        <f t="shared" si="38"/>
        <v>0</v>
      </c>
      <c r="K159" s="4">
        <f>+VLOOKUP(C159,Indicadores!B:F,5,FALSE)</f>
        <v>1</v>
      </c>
      <c r="L159" s="1" t="str">
        <f t="shared" si="39"/>
        <v>Cumple</v>
      </c>
      <c r="M159" s="5">
        <f t="shared" si="40"/>
        <v>0</v>
      </c>
      <c r="N159" s="9">
        <f t="shared" si="34"/>
        <v>150000</v>
      </c>
      <c r="O159" s="4">
        <f>+VLOOKUP(C159,Indicadores!B:P,14,FALSE)</f>
        <v>1</v>
      </c>
      <c r="P159" s="1" t="str">
        <f t="shared" si="41"/>
        <v>Cumple</v>
      </c>
      <c r="Q159" s="5">
        <f t="shared" si="42"/>
        <v>150000</v>
      </c>
      <c r="R159" s="5">
        <f t="shared" si="43"/>
        <v>50000</v>
      </c>
      <c r="S159" s="4">
        <f>+VLOOKUP(C159,Indicadores!B:Q,15,FALSE)</f>
        <v>0.52083333333333337</v>
      </c>
      <c r="T159" s="5" t="str">
        <f t="shared" si="44"/>
        <v>No Cumple</v>
      </c>
      <c r="U159" s="5">
        <f t="shared" si="45"/>
        <v>0</v>
      </c>
      <c r="V159" s="5">
        <f t="shared" si="46"/>
        <v>50000</v>
      </c>
      <c r="W159" s="4">
        <f>+VLOOKUP(C159,Indicadores!B:V,21,FALSE)</f>
        <v>1</v>
      </c>
      <c r="X159" s="35" t="str">
        <f t="shared" si="47"/>
        <v>Cumple</v>
      </c>
      <c r="Y159" s="2">
        <f t="shared" si="48"/>
        <v>50000</v>
      </c>
      <c r="Z159" s="5" t="str">
        <f t="shared" si="49"/>
        <v>SI</v>
      </c>
      <c r="AA159" s="5">
        <f t="shared" si="50"/>
        <v>200000</v>
      </c>
      <c r="AB159" s="1"/>
    </row>
    <row r="160" spans="2:28" x14ac:dyDescent="0.25">
      <c r="B160" s="1" t="s">
        <v>239</v>
      </c>
      <c r="C160" s="1" t="s">
        <v>165</v>
      </c>
      <c r="D160" s="1" t="s">
        <v>243</v>
      </c>
      <c r="E160" s="1" t="s">
        <v>209</v>
      </c>
      <c r="F160" s="2">
        <f t="shared" si="35"/>
        <v>0</v>
      </c>
      <c r="G160" s="4">
        <f>+VLOOKUP(C160,Indicadores!B:C,2,FALSE)</f>
        <v>0.75681818181818172</v>
      </c>
      <c r="H160" s="1" t="str">
        <f t="shared" si="36"/>
        <v>Cumple</v>
      </c>
      <c r="I160" s="5">
        <f t="shared" si="37"/>
        <v>0</v>
      </c>
      <c r="J160" s="9">
        <f t="shared" si="38"/>
        <v>0</v>
      </c>
      <c r="K160" s="4">
        <f>+VLOOKUP(C160,Indicadores!B:F,5,FALSE)</f>
        <v>0.90909090909090906</v>
      </c>
      <c r="L160" s="1" t="str">
        <f t="shared" si="39"/>
        <v>Cumple</v>
      </c>
      <c r="M160" s="5">
        <f t="shared" si="40"/>
        <v>0</v>
      </c>
      <c r="N160" s="9">
        <f t="shared" si="34"/>
        <v>150000</v>
      </c>
      <c r="O160" s="4">
        <f>+VLOOKUP(C160,Indicadores!B:P,14,FALSE)</f>
        <v>1</v>
      </c>
      <c r="P160" s="1" t="str">
        <f t="shared" si="41"/>
        <v>Cumple</v>
      </c>
      <c r="Q160" s="5">
        <f t="shared" si="42"/>
        <v>150000</v>
      </c>
      <c r="R160" s="5">
        <f t="shared" si="43"/>
        <v>50000</v>
      </c>
      <c r="S160" s="4">
        <f>+VLOOKUP(C160,Indicadores!B:Q,15,FALSE)</f>
        <v>0.40860000000000002</v>
      </c>
      <c r="T160" s="5" t="str">
        <f t="shared" si="44"/>
        <v>No Cumple</v>
      </c>
      <c r="U160" s="5">
        <f t="shared" si="45"/>
        <v>0</v>
      </c>
      <c r="V160" s="5">
        <f t="shared" si="46"/>
        <v>50000</v>
      </c>
      <c r="W160" s="4">
        <f>+VLOOKUP(C160,Indicadores!B:V,21,FALSE)</f>
        <v>1</v>
      </c>
      <c r="X160" s="35" t="str">
        <f t="shared" si="47"/>
        <v>Cumple</v>
      </c>
      <c r="Y160" s="2">
        <f t="shared" si="48"/>
        <v>50000</v>
      </c>
      <c r="Z160" s="5" t="str">
        <f t="shared" si="49"/>
        <v>SI</v>
      </c>
      <c r="AA160" s="5">
        <f t="shared" si="50"/>
        <v>200000</v>
      </c>
      <c r="AB160" s="1"/>
    </row>
    <row r="161" spans="2:28" x14ac:dyDescent="0.25">
      <c r="B161" s="1" t="s">
        <v>239</v>
      </c>
      <c r="C161" s="1" t="s">
        <v>166</v>
      </c>
      <c r="D161" s="1" t="s">
        <v>243</v>
      </c>
      <c r="E161" s="1" t="s">
        <v>209</v>
      </c>
      <c r="F161" s="2">
        <f t="shared" si="35"/>
        <v>0</v>
      </c>
      <c r="G161" s="4">
        <f>+VLOOKUP(C161,Indicadores!B:C,2,FALSE)</f>
        <v>0.800009090909091</v>
      </c>
      <c r="H161" s="1" t="str">
        <f t="shared" si="36"/>
        <v>Cumple</v>
      </c>
      <c r="I161" s="5">
        <f t="shared" si="37"/>
        <v>0</v>
      </c>
      <c r="J161" s="9">
        <f t="shared" si="38"/>
        <v>0</v>
      </c>
      <c r="K161" s="4">
        <f>+VLOOKUP(C161,Indicadores!B:F,5,FALSE)</f>
        <v>1</v>
      </c>
      <c r="L161" s="1" t="str">
        <f t="shared" si="39"/>
        <v>Cumple</v>
      </c>
      <c r="M161" s="5">
        <f t="shared" si="40"/>
        <v>0</v>
      </c>
      <c r="N161" s="9">
        <f t="shared" si="34"/>
        <v>150000</v>
      </c>
      <c r="O161" s="4">
        <f>+VLOOKUP(C161,Indicadores!B:P,14,FALSE)</f>
        <v>1</v>
      </c>
      <c r="P161" s="1" t="str">
        <f t="shared" si="41"/>
        <v>Cumple</v>
      </c>
      <c r="Q161" s="5">
        <f t="shared" si="42"/>
        <v>150000</v>
      </c>
      <c r="R161" s="5">
        <f t="shared" si="43"/>
        <v>50000</v>
      </c>
      <c r="S161" s="4">
        <f>+VLOOKUP(C161,Indicadores!B:Q,15,FALSE)</f>
        <v>0.42553333333333332</v>
      </c>
      <c r="T161" s="5" t="str">
        <f t="shared" si="44"/>
        <v>No Cumple</v>
      </c>
      <c r="U161" s="5">
        <f t="shared" si="45"/>
        <v>0</v>
      </c>
      <c r="V161" s="5">
        <f t="shared" si="46"/>
        <v>50000</v>
      </c>
      <c r="W161" s="4">
        <f>+VLOOKUP(C161,Indicadores!B:V,21,FALSE)</f>
        <v>1</v>
      </c>
      <c r="X161" s="35" t="str">
        <f t="shared" si="47"/>
        <v>Cumple</v>
      </c>
      <c r="Y161" s="2">
        <f t="shared" si="48"/>
        <v>50000</v>
      </c>
      <c r="Z161" s="5" t="str">
        <f t="shared" si="49"/>
        <v>SI</v>
      </c>
      <c r="AA161" s="5">
        <f t="shared" si="50"/>
        <v>200000</v>
      </c>
      <c r="AB161" s="1"/>
    </row>
    <row r="162" spans="2:28" x14ac:dyDescent="0.25">
      <c r="B162" s="1" t="s">
        <v>239</v>
      </c>
      <c r="C162" s="1" t="s">
        <v>167</v>
      </c>
      <c r="D162" s="1" t="s">
        <v>243</v>
      </c>
      <c r="E162" s="1" t="s">
        <v>209</v>
      </c>
      <c r="F162" s="2">
        <f t="shared" si="35"/>
        <v>0</v>
      </c>
      <c r="G162" s="4">
        <f>+VLOOKUP(C162,Indicadores!B:C,2,FALSE)</f>
        <v>0.92803636363636377</v>
      </c>
      <c r="H162" s="1" t="str">
        <f t="shared" si="36"/>
        <v>Cumple</v>
      </c>
      <c r="I162" s="5">
        <f t="shared" si="37"/>
        <v>0</v>
      </c>
      <c r="J162" s="9">
        <f t="shared" si="38"/>
        <v>0</v>
      </c>
      <c r="K162" s="4">
        <f>+VLOOKUP(C162,Indicadores!B:F,5,FALSE)</f>
        <v>1</v>
      </c>
      <c r="L162" s="1" t="str">
        <f t="shared" si="39"/>
        <v>Cumple</v>
      </c>
      <c r="M162" s="5">
        <f t="shared" si="40"/>
        <v>0</v>
      </c>
      <c r="N162" s="9">
        <f t="shared" si="34"/>
        <v>150000</v>
      </c>
      <c r="O162" s="4">
        <f>+VLOOKUP(C162,Indicadores!B:P,14,FALSE)</f>
        <v>1</v>
      </c>
      <c r="P162" s="1" t="str">
        <f t="shared" si="41"/>
        <v>Cumple</v>
      </c>
      <c r="Q162" s="5">
        <f t="shared" si="42"/>
        <v>150000</v>
      </c>
      <c r="R162" s="5">
        <f t="shared" si="43"/>
        <v>50000</v>
      </c>
      <c r="S162" s="4">
        <f>+VLOOKUP(C162,Indicadores!B:Q,15,FALSE)</f>
        <v>0.74670000000000003</v>
      </c>
      <c r="T162" s="5" t="str">
        <f t="shared" si="44"/>
        <v>No Cumple</v>
      </c>
      <c r="U162" s="5">
        <f t="shared" si="45"/>
        <v>0</v>
      </c>
      <c r="V162" s="5">
        <f t="shared" si="46"/>
        <v>50000</v>
      </c>
      <c r="W162" s="4">
        <f>+VLOOKUP(C162,Indicadores!B:V,21,FALSE)</f>
        <v>0.5</v>
      </c>
      <c r="X162" s="35" t="str">
        <f t="shared" si="47"/>
        <v>No Cumple</v>
      </c>
      <c r="Y162" s="2">
        <f t="shared" si="48"/>
        <v>0</v>
      </c>
      <c r="Z162" s="5" t="str">
        <f t="shared" si="49"/>
        <v>SI</v>
      </c>
      <c r="AA162" s="5">
        <f t="shared" si="50"/>
        <v>150000</v>
      </c>
      <c r="AB162" s="1"/>
    </row>
    <row r="163" spans="2:28" x14ac:dyDescent="0.25">
      <c r="B163" s="1" t="s">
        <v>239</v>
      </c>
      <c r="C163" s="1" t="s">
        <v>168</v>
      </c>
      <c r="D163" s="1" t="s">
        <v>243</v>
      </c>
      <c r="E163" s="1" t="s">
        <v>209</v>
      </c>
      <c r="F163" s="2">
        <f t="shared" si="35"/>
        <v>0</v>
      </c>
      <c r="G163" s="4">
        <f>+VLOOKUP(C163,Indicadores!B:C,2,FALSE)</f>
        <v>0.78182727272727282</v>
      </c>
      <c r="H163" s="1" t="str">
        <f t="shared" si="36"/>
        <v>Cumple</v>
      </c>
      <c r="I163" s="5">
        <f t="shared" si="37"/>
        <v>0</v>
      </c>
      <c r="J163" s="9">
        <f t="shared" si="38"/>
        <v>0</v>
      </c>
      <c r="K163" s="4">
        <f>+VLOOKUP(C163,Indicadores!B:F,5,FALSE)</f>
        <v>1</v>
      </c>
      <c r="L163" s="1" t="str">
        <f t="shared" si="39"/>
        <v>Cumple</v>
      </c>
      <c r="M163" s="5">
        <f t="shared" si="40"/>
        <v>0</v>
      </c>
      <c r="N163" s="9">
        <f t="shared" si="34"/>
        <v>150000</v>
      </c>
      <c r="O163" s="4">
        <f>+VLOOKUP(C163,Indicadores!B:P,14,FALSE)</f>
        <v>0.9667</v>
      </c>
      <c r="P163" s="1" t="str">
        <f t="shared" si="41"/>
        <v>Cumple</v>
      </c>
      <c r="Q163" s="5">
        <f t="shared" si="42"/>
        <v>0</v>
      </c>
      <c r="R163" s="5">
        <f t="shared" si="43"/>
        <v>50000</v>
      </c>
      <c r="S163" s="4">
        <f>+VLOOKUP(C163,Indicadores!B:Q,15,FALSE)</f>
        <v>0.71110000000000007</v>
      </c>
      <c r="T163" s="5" t="str">
        <f t="shared" si="44"/>
        <v>No Cumple</v>
      </c>
      <c r="U163" s="5">
        <f t="shared" si="45"/>
        <v>0</v>
      </c>
      <c r="V163" s="5">
        <f t="shared" si="46"/>
        <v>50000</v>
      </c>
      <c r="W163" s="4">
        <f>+VLOOKUP(C163,Indicadores!B:V,21,FALSE)</f>
        <v>0.98334999999999995</v>
      </c>
      <c r="X163" s="35" t="str">
        <f t="shared" si="47"/>
        <v>No Cumple</v>
      </c>
      <c r="Y163" s="2">
        <f t="shared" si="48"/>
        <v>0</v>
      </c>
      <c r="Z163" s="5" t="str">
        <f t="shared" si="49"/>
        <v>SI</v>
      </c>
      <c r="AA163" s="5">
        <f t="shared" si="50"/>
        <v>0</v>
      </c>
      <c r="AB163" s="1"/>
    </row>
    <row r="164" spans="2:28" x14ac:dyDescent="0.25">
      <c r="B164" s="1" t="s">
        <v>239</v>
      </c>
      <c r="C164" s="1" t="s">
        <v>169</v>
      </c>
      <c r="D164" s="1" t="s">
        <v>243</v>
      </c>
      <c r="E164" s="1" t="s">
        <v>209</v>
      </c>
      <c r="F164" s="2">
        <f t="shared" si="35"/>
        <v>0</v>
      </c>
      <c r="G164" s="4">
        <f>+VLOOKUP(C164,Indicadores!B:C,2,FALSE)</f>
        <v>0.73587272727272712</v>
      </c>
      <c r="H164" s="1" t="str">
        <f t="shared" si="36"/>
        <v>Cumple</v>
      </c>
      <c r="I164" s="5">
        <f t="shared" si="37"/>
        <v>0</v>
      </c>
      <c r="J164" s="9">
        <f t="shared" si="38"/>
        <v>0</v>
      </c>
      <c r="K164" s="4">
        <f>+VLOOKUP(C164,Indicadores!B:F,5,FALSE)</f>
        <v>0.875</v>
      </c>
      <c r="L164" s="1" t="str">
        <f t="shared" si="39"/>
        <v>Cumple</v>
      </c>
      <c r="M164" s="5">
        <f t="shared" si="40"/>
        <v>0</v>
      </c>
      <c r="N164" s="9">
        <f t="shared" si="34"/>
        <v>150000</v>
      </c>
      <c r="O164" s="4">
        <v>0.98</v>
      </c>
      <c r="P164" s="1" t="str">
        <f t="shared" si="41"/>
        <v>Cumple</v>
      </c>
      <c r="Q164" s="5">
        <f t="shared" si="42"/>
        <v>147000</v>
      </c>
      <c r="R164" s="5">
        <f t="shared" si="43"/>
        <v>50000</v>
      </c>
      <c r="S164" s="4">
        <f>+VLOOKUP(C164,Indicadores!B:Q,15,FALSE)</f>
        <v>0.5067666666666667</v>
      </c>
      <c r="T164" s="5" t="str">
        <f t="shared" si="44"/>
        <v>No Cumple</v>
      </c>
      <c r="U164" s="5">
        <f t="shared" si="45"/>
        <v>0</v>
      </c>
      <c r="V164" s="5">
        <f t="shared" si="46"/>
        <v>50000</v>
      </c>
      <c r="W164" s="4">
        <f>+VLOOKUP(C164,Indicadores!B:V,21,FALSE)</f>
        <v>0.45284999999999997</v>
      </c>
      <c r="X164" s="35" t="str">
        <f t="shared" si="47"/>
        <v>No Cumple</v>
      </c>
      <c r="Y164" s="2">
        <f t="shared" si="48"/>
        <v>0</v>
      </c>
      <c r="Z164" s="5" t="str">
        <f t="shared" si="49"/>
        <v>SI</v>
      </c>
      <c r="AA164" s="5">
        <f t="shared" si="50"/>
        <v>147000</v>
      </c>
      <c r="AB164" s="1"/>
    </row>
    <row r="165" spans="2:28" x14ac:dyDescent="0.25">
      <c r="B165" s="1" t="s">
        <v>239</v>
      </c>
      <c r="C165" s="1" t="s">
        <v>170</v>
      </c>
      <c r="D165" s="1" t="s">
        <v>243</v>
      </c>
      <c r="E165" s="1" t="s">
        <v>209</v>
      </c>
      <c r="F165" s="2">
        <f t="shared" si="35"/>
        <v>0</v>
      </c>
      <c r="G165" s="4">
        <f>+VLOOKUP(C165,Indicadores!B:C,2,FALSE)</f>
        <v>0.8316636363636366</v>
      </c>
      <c r="H165" s="1" t="str">
        <f t="shared" si="36"/>
        <v>Cumple</v>
      </c>
      <c r="I165" s="5">
        <f t="shared" si="37"/>
        <v>0</v>
      </c>
      <c r="J165" s="9">
        <f t="shared" si="38"/>
        <v>0</v>
      </c>
      <c r="K165" s="4">
        <f>+VLOOKUP(C165,Indicadores!B:F,5,FALSE)</f>
        <v>1</v>
      </c>
      <c r="L165" s="1" t="str">
        <f t="shared" si="39"/>
        <v>Cumple</v>
      </c>
      <c r="M165" s="5">
        <f t="shared" si="40"/>
        <v>0</v>
      </c>
      <c r="N165" s="9">
        <f t="shared" si="34"/>
        <v>150000</v>
      </c>
      <c r="O165" s="4">
        <f>+VLOOKUP(C165,Indicadores!B:P,14,FALSE)</f>
        <v>0.98150000000000004</v>
      </c>
      <c r="P165" s="1" t="str">
        <f t="shared" si="41"/>
        <v>Cumple</v>
      </c>
      <c r="Q165" s="5">
        <f t="shared" si="42"/>
        <v>0</v>
      </c>
      <c r="R165" s="5">
        <f t="shared" si="43"/>
        <v>50000</v>
      </c>
      <c r="S165" s="4">
        <f>+VLOOKUP(C165,Indicadores!B:Q,15,FALSE)</f>
        <v>0.68396666666666661</v>
      </c>
      <c r="T165" s="5" t="str">
        <f t="shared" si="44"/>
        <v>No Cumple</v>
      </c>
      <c r="U165" s="5">
        <f t="shared" si="45"/>
        <v>0</v>
      </c>
      <c r="V165" s="5">
        <f t="shared" si="46"/>
        <v>50000</v>
      </c>
      <c r="W165" s="4">
        <f>+VLOOKUP(C165,Indicadores!B:V,21,FALSE)</f>
        <v>0.49075000000000002</v>
      </c>
      <c r="X165" s="35" t="str">
        <f t="shared" si="47"/>
        <v>No Cumple</v>
      </c>
      <c r="Y165" s="2">
        <f t="shared" si="48"/>
        <v>0</v>
      </c>
      <c r="Z165" s="5" t="str">
        <f t="shared" si="49"/>
        <v>SI</v>
      </c>
      <c r="AA165" s="5">
        <f t="shared" si="50"/>
        <v>0</v>
      </c>
      <c r="AB165" s="1"/>
    </row>
    <row r="166" spans="2:28" x14ac:dyDescent="0.25">
      <c r="B166" s="1" t="s">
        <v>239</v>
      </c>
      <c r="C166" s="1" t="s">
        <v>171</v>
      </c>
      <c r="D166" s="1" t="s">
        <v>243</v>
      </c>
      <c r="E166" s="1" t="s">
        <v>209</v>
      </c>
      <c r="F166" s="2">
        <f t="shared" si="35"/>
        <v>0</v>
      </c>
      <c r="G166" s="4">
        <f>+VLOOKUP(C166,Indicadores!B:C,2,FALSE)</f>
        <v>0.86429090909090922</v>
      </c>
      <c r="H166" s="1" t="str">
        <f t="shared" si="36"/>
        <v>Cumple</v>
      </c>
      <c r="I166" s="5">
        <f t="shared" si="37"/>
        <v>0</v>
      </c>
      <c r="J166" s="9">
        <f t="shared" si="38"/>
        <v>0</v>
      </c>
      <c r="K166" s="4">
        <f>+VLOOKUP(C166,Indicadores!B:F,5,FALSE)</f>
        <v>1</v>
      </c>
      <c r="L166" s="1" t="str">
        <f t="shared" si="39"/>
        <v>Cumple</v>
      </c>
      <c r="M166" s="5">
        <f t="shared" si="40"/>
        <v>0</v>
      </c>
      <c r="N166" s="9">
        <f t="shared" si="34"/>
        <v>150000</v>
      </c>
      <c r="O166" s="4">
        <f>+VLOOKUP(C166,Indicadores!B:P,14,FALSE)</f>
        <v>1</v>
      </c>
      <c r="P166" s="1" t="str">
        <f t="shared" si="41"/>
        <v>Cumple</v>
      </c>
      <c r="Q166" s="5">
        <f t="shared" si="42"/>
        <v>150000</v>
      </c>
      <c r="R166" s="5">
        <f t="shared" si="43"/>
        <v>50000</v>
      </c>
      <c r="S166" s="4">
        <f>+VLOOKUP(C166,Indicadores!B:Q,15,FALSE)</f>
        <v>0.82303333333333339</v>
      </c>
      <c r="T166" s="5" t="str">
        <f t="shared" si="44"/>
        <v>Cumple</v>
      </c>
      <c r="U166" s="5">
        <f t="shared" si="45"/>
        <v>40000</v>
      </c>
      <c r="V166" s="5">
        <f t="shared" si="46"/>
        <v>50000</v>
      </c>
      <c r="W166" s="4">
        <f>+VLOOKUP(C166,Indicadores!B:V,21,FALSE)</f>
        <v>0.5</v>
      </c>
      <c r="X166" s="35" t="str">
        <f t="shared" si="47"/>
        <v>No Cumple</v>
      </c>
      <c r="Y166" s="2">
        <f t="shared" si="48"/>
        <v>0</v>
      </c>
      <c r="Z166" s="5" t="str">
        <f t="shared" si="49"/>
        <v>SI</v>
      </c>
      <c r="AA166" s="5">
        <f t="shared" si="50"/>
        <v>190000</v>
      </c>
      <c r="AB166" s="1"/>
    </row>
    <row r="167" spans="2:28" x14ac:dyDescent="0.25">
      <c r="B167" s="1" t="s">
        <v>234</v>
      </c>
      <c r="C167" s="1" t="s">
        <v>172</v>
      </c>
      <c r="D167" s="1" t="s">
        <v>243</v>
      </c>
      <c r="E167" s="1" t="s">
        <v>210</v>
      </c>
      <c r="F167" s="2">
        <f t="shared" si="35"/>
        <v>0</v>
      </c>
      <c r="G167" s="4">
        <f>+VLOOKUP(C167,Indicadores!B:C,2,FALSE)</f>
        <v>0.81072727272727263</v>
      </c>
      <c r="H167" s="1" t="str">
        <f t="shared" si="36"/>
        <v>Cumple</v>
      </c>
      <c r="I167" s="5">
        <f t="shared" si="37"/>
        <v>0</v>
      </c>
      <c r="J167" s="9">
        <f t="shared" si="38"/>
        <v>0</v>
      </c>
      <c r="K167" s="4">
        <f>+VLOOKUP(C167,Indicadores!B:F,5,FALSE)</f>
        <v>1</v>
      </c>
      <c r="L167" s="1" t="str">
        <f t="shared" si="39"/>
        <v>Cumple</v>
      </c>
      <c r="M167" s="5">
        <f t="shared" si="40"/>
        <v>0</v>
      </c>
      <c r="N167" s="9">
        <f t="shared" si="34"/>
        <v>150000</v>
      </c>
      <c r="O167" s="4">
        <f>+VLOOKUP(C167,Indicadores!B:P,14,FALSE)</f>
        <v>1</v>
      </c>
      <c r="P167" s="1" t="str">
        <f t="shared" si="41"/>
        <v>Cumple</v>
      </c>
      <c r="Q167" s="5">
        <f t="shared" si="42"/>
        <v>150000</v>
      </c>
      <c r="R167" s="5">
        <f t="shared" si="43"/>
        <v>50000</v>
      </c>
      <c r="S167" s="4">
        <f>+VLOOKUP(C167,Indicadores!B:Q,15,FALSE)</f>
        <v>0.66489999999999994</v>
      </c>
      <c r="T167" s="5" t="str">
        <f t="shared" si="44"/>
        <v>No Cumple</v>
      </c>
      <c r="U167" s="5">
        <f t="shared" si="45"/>
        <v>0</v>
      </c>
      <c r="V167" s="5">
        <f t="shared" si="46"/>
        <v>50000</v>
      </c>
      <c r="W167" s="4">
        <f>+VLOOKUP(C167,Indicadores!B:V,21,FALSE)</f>
        <v>0.5</v>
      </c>
      <c r="X167" s="35" t="str">
        <f t="shared" si="47"/>
        <v>No Cumple</v>
      </c>
      <c r="Y167" s="2">
        <f t="shared" si="48"/>
        <v>0</v>
      </c>
      <c r="Z167" s="5" t="str">
        <f t="shared" si="49"/>
        <v>SI</v>
      </c>
      <c r="AA167" s="5">
        <f t="shared" si="50"/>
        <v>150000</v>
      </c>
      <c r="AB167" s="1"/>
    </row>
    <row r="168" spans="2:28" x14ac:dyDescent="0.25">
      <c r="B168" s="1" t="s">
        <v>234</v>
      </c>
      <c r="C168" s="1" t="s">
        <v>173</v>
      </c>
      <c r="D168" s="1" t="s">
        <v>243</v>
      </c>
      <c r="E168" s="1" t="s">
        <v>210</v>
      </c>
      <c r="F168" s="2">
        <f t="shared" si="35"/>
        <v>0</v>
      </c>
      <c r="G168" s="4">
        <f>+VLOOKUP(C168,Indicadores!B:C,2,FALSE)</f>
        <v>0.76818181818181808</v>
      </c>
      <c r="H168" s="1" t="str">
        <f t="shared" si="36"/>
        <v>Cumple</v>
      </c>
      <c r="I168" s="5">
        <f t="shared" si="37"/>
        <v>0</v>
      </c>
      <c r="J168" s="9">
        <f t="shared" si="38"/>
        <v>0</v>
      </c>
      <c r="K168" s="4">
        <f>+VLOOKUP(C168,Indicadores!B:F,5,FALSE)</f>
        <v>1</v>
      </c>
      <c r="L168" s="1" t="str">
        <f t="shared" si="39"/>
        <v>Cumple</v>
      </c>
      <c r="M168" s="5">
        <f t="shared" si="40"/>
        <v>0</v>
      </c>
      <c r="N168" s="9">
        <f t="shared" si="34"/>
        <v>150000</v>
      </c>
      <c r="O168" s="4">
        <f>+VLOOKUP(C168,Indicadores!B:P,14,FALSE)</f>
        <v>1</v>
      </c>
      <c r="P168" s="1" t="str">
        <f t="shared" si="41"/>
        <v>Cumple</v>
      </c>
      <c r="Q168" s="5">
        <f t="shared" si="42"/>
        <v>150000</v>
      </c>
      <c r="R168" s="5">
        <f t="shared" si="43"/>
        <v>50000</v>
      </c>
      <c r="S168" s="4">
        <f>+VLOOKUP(C168,Indicadores!B:Q,15,FALSE)</f>
        <v>0.69446666666666668</v>
      </c>
      <c r="T168" s="5" t="str">
        <f t="shared" si="44"/>
        <v>No Cumple</v>
      </c>
      <c r="U168" s="5">
        <f t="shared" si="45"/>
        <v>0</v>
      </c>
      <c r="V168" s="5">
        <f t="shared" si="46"/>
        <v>50000</v>
      </c>
      <c r="W168" s="4">
        <f>+VLOOKUP(C168,Indicadores!B:V,21,FALSE)</f>
        <v>0.5</v>
      </c>
      <c r="X168" s="35" t="str">
        <f t="shared" si="47"/>
        <v>No Cumple</v>
      </c>
      <c r="Y168" s="2">
        <f t="shared" si="48"/>
        <v>0</v>
      </c>
      <c r="Z168" s="5" t="str">
        <f t="shared" si="49"/>
        <v>SI</v>
      </c>
      <c r="AA168" s="5">
        <f t="shared" si="50"/>
        <v>150000</v>
      </c>
      <c r="AB168" s="1"/>
    </row>
    <row r="169" spans="2:28" x14ac:dyDescent="0.25">
      <c r="B169" s="1" t="s">
        <v>234</v>
      </c>
      <c r="C169" s="1" t="s">
        <v>174</v>
      </c>
      <c r="D169" s="1" t="s">
        <v>243</v>
      </c>
      <c r="E169" s="1" t="s">
        <v>210</v>
      </c>
      <c r="F169" s="2">
        <f t="shared" si="35"/>
        <v>0</v>
      </c>
      <c r="G169" s="4">
        <f>+VLOOKUP(C169,Indicadores!B:C,2,FALSE)</f>
        <v>0.72473636363636362</v>
      </c>
      <c r="H169" s="1" t="str">
        <f t="shared" si="36"/>
        <v>Cumple</v>
      </c>
      <c r="I169" s="5">
        <f t="shared" si="37"/>
        <v>0</v>
      </c>
      <c r="J169" s="9">
        <f t="shared" si="38"/>
        <v>0</v>
      </c>
      <c r="K169" s="4">
        <f>+VLOOKUP(C169,Indicadores!B:F,5,FALSE)</f>
        <v>1</v>
      </c>
      <c r="L169" s="1" t="str">
        <f t="shared" si="39"/>
        <v>Cumple</v>
      </c>
      <c r="M169" s="5">
        <f t="shared" si="40"/>
        <v>0</v>
      </c>
      <c r="N169" s="9">
        <f t="shared" si="34"/>
        <v>150000</v>
      </c>
      <c r="O169" s="4">
        <f>+VLOOKUP(C169,Indicadores!B:P,14,FALSE)</f>
        <v>0.86919999999999997</v>
      </c>
      <c r="P169" s="1" t="str">
        <f t="shared" si="41"/>
        <v>Cumple</v>
      </c>
      <c r="Q169" s="5">
        <f t="shared" si="42"/>
        <v>120000</v>
      </c>
      <c r="R169" s="5">
        <f t="shared" si="43"/>
        <v>50000</v>
      </c>
      <c r="S169" s="4">
        <f>+VLOOKUP(C169,Indicadores!B:Q,15,FALSE)</f>
        <v>0.46526666666666666</v>
      </c>
      <c r="T169" s="5" t="str">
        <f t="shared" si="44"/>
        <v>No Cumple</v>
      </c>
      <c r="U169" s="5">
        <f t="shared" si="45"/>
        <v>0</v>
      </c>
      <c r="V169" s="5">
        <f t="shared" si="46"/>
        <v>50000</v>
      </c>
      <c r="W169" s="4">
        <f>+VLOOKUP(C169,Indicadores!B:V,21,FALSE)</f>
        <v>0.43459999999999999</v>
      </c>
      <c r="X169" s="35" t="str">
        <f t="shared" si="47"/>
        <v>No Cumple</v>
      </c>
      <c r="Y169" s="2">
        <f t="shared" si="48"/>
        <v>0</v>
      </c>
      <c r="Z169" s="5" t="str">
        <f t="shared" si="49"/>
        <v>SI</v>
      </c>
      <c r="AA169" s="5">
        <f t="shared" si="50"/>
        <v>120000</v>
      </c>
      <c r="AB169" s="1"/>
    </row>
    <row r="170" spans="2:28" x14ac:dyDescent="0.25">
      <c r="B170" s="1" t="s">
        <v>234</v>
      </c>
      <c r="C170" s="1" t="s">
        <v>175</v>
      </c>
      <c r="D170" s="1" t="s">
        <v>243</v>
      </c>
      <c r="E170" s="1" t="s">
        <v>210</v>
      </c>
      <c r="F170" s="2">
        <f t="shared" si="35"/>
        <v>0</v>
      </c>
      <c r="G170" s="4">
        <f>+VLOOKUP(C170,Indicadores!B:C,2,FALSE)</f>
        <v>0.80481818181818177</v>
      </c>
      <c r="H170" s="1" t="str">
        <f t="shared" si="36"/>
        <v>Cumple</v>
      </c>
      <c r="I170" s="5">
        <f t="shared" si="37"/>
        <v>0</v>
      </c>
      <c r="J170" s="9">
        <f t="shared" si="38"/>
        <v>0</v>
      </c>
      <c r="K170" s="4">
        <f>+VLOOKUP(C170,Indicadores!B:F,5,FALSE)</f>
        <v>0.94117647058823528</v>
      </c>
      <c r="L170" s="1" t="str">
        <f t="shared" si="39"/>
        <v>Cumple</v>
      </c>
      <c r="M170" s="5">
        <f t="shared" si="40"/>
        <v>0</v>
      </c>
      <c r="N170" s="9">
        <f t="shared" si="34"/>
        <v>150000</v>
      </c>
      <c r="O170" s="4">
        <f>+VLOOKUP(C170,Indicadores!B:P,14,FALSE)</f>
        <v>1</v>
      </c>
      <c r="P170" s="1" t="str">
        <f t="shared" si="41"/>
        <v>Cumple</v>
      </c>
      <c r="Q170" s="5">
        <f t="shared" si="42"/>
        <v>150000</v>
      </c>
      <c r="R170" s="5">
        <f t="shared" si="43"/>
        <v>50000</v>
      </c>
      <c r="S170" s="4">
        <f>+VLOOKUP(C170,Indicadores!B:Q,15,FALSE)</f>
        <v>0.6830666666666666</v>
      </c>
      <c r="T170" s="5" t="str">
        <f t="shared" si="44"/>
        <v>No Cumple</v>
      </c>
      <c r="U170" s="5">
        <f t="shared" si="45"/>
        <v>0</v>
      </c>
      <c r="V170" s="5">
        <f t="shared" si="46"/>
        <v>50000</v>
      </c>
      <c r="W170" s="4">
        <f>+VLOOKUP(C170,Indicadores!B:V,21,FALSE)</f>
        <v>0.5</v>
      </c>
      <c r="X170" s="35" t="str">
        <f t="shared" si="47"/>
        <v>No Cumple</v>
      </c>
      <c r="Y170" s="2">
        <f t="shared" si="48"/>
        <v>0</v>
      </c>
      <c r="Z170" s="5" t="str">
        <f t="shared" si="49"/>
        <v>SI</v>
      </c>
      <c r="AA170" s="5">
        <f t="shared" si="50"/>
        <v>150000</v>
      </c>
      <c r="AB170" s="1"/>
    </row>
    <row r="171" spans="2:28" x14ac:dyDescent="0.25">
      <c r="B171" s="1" t="s">
        <v>234</v>
      </c>
      <c r="C171" s="1" t="s">
        <v>176</v>
      </c>
      <c r="D171" s="1" t="s">
        <v>243</v>
      </c>
      <c r="E171" s="1" t="s">
        <v>210</v>
      </c>
      <c r="F171" s="2">
        <f t="shared" si="35"/>
        <v>0</v>
      </c>
      <c r="G171" s="4">
        <v>0.7</v>
      </c>
      <c r="H171" s="1" t="str">
        <f t="shared" si="36"/>
        <v>Cumple</v>
      </c>
      <c r="I171" s="5">
        <f t="shared" si="37"/>
        <v>0</v>
      </c>
      <c r="J171" s="9">
        <f t="shared" si="38"/>
        <v>0</v>
      </c>
      <c r="K171" s="4">
        <f>+VLOOKUP(C171,Indicadores!B:F,5,FALSE)</f>
        <v>0.95</v>
      </c>
      <c r="L171" s="1" t="str">
        <f t="shared" si="39"/>
        <v>Cumple</v>
      </c>
      <c r="M171" s="5">
        <f t="shared" si="40"/>
        <v>0</v>
      </c>
      <c r="N171" s="9">
        <f t="shared" si="34"/>
        <v>150000</v>
      </c>
      <c r="O171" s="4">
        <f>+VLOOKUP(C171,Indicadores!B:P,14,FALSE)</f>
        <v>0.99299999999999999</v>
      </c>
      <c r="P171" s="1" t="str">
        <f t="shared" si="41"/>
        <v>Cumple</v>
      </c>
      <c r="Q171" s="5">
        <f t="shared" si="42"/>
        <v>0</v>
      </c>
      <c r="R171" s="5">
        <f t="shared" si="43"/>
        <v>50000</v>
      </c>
      <c r="S171" s="4">
        <f>+VLOOKUP(C171,Indicadores!B:Q,15,FALSE)</f>
        <v>0.46416666666666662</v>
      </c>
      <c r="T171" s="5" t="str">
        <f t="shared" si="44"/>
        <v>No Cumple</v>
      </c>
      <c r="U171" s="5">
        <f t="shared" si="45"/>
        <v>0</v>
      </c>
      <c r="V171" s="5">
        <f t="shared" si="46"/>
        <v>50000</v>
      </c>
      <c r="W171" s="4">
        <f>+VLOOKUP(C171,Indicadores!B:V,21,FALSE)</f>
        <v>0.4965</v>
      </c>
      <c r="X171" s="35" t="str">
        <f t="shared" si="47"/>
        <v>No Cumple</v>
      </c>
      <c r="Y171" s="2">
        <f t="shared" si="48"/>
        <v>0</v>
      </c>
      <c r="Z171" s="5" t="str">
        <f t="shared" si="49"/>
        <v>SI</v>
      </c>
      <c r="AA171" s="5">
        <f t="shared" si="50"/>
        <v>0</v>
      </c>
      <c r="AB171" s="1"/>
    </row>
    <row r="172" spans="2:28" x14ac:dyDescent="0.25">
      <c r="B172" s="1" t="s">
        <v>234</v>
      </c>
      <c r="C172" s="1" t="s">
        <v>177</v>
      </c>
      <c r="D172" s="1" t="s">
        <v>243</v>
      </c>
      <c r="E172" s="1" t="s">
        <v>210</v>
      </c>
      <c r="F172" s="2">
        <f t="shared" si="35"/>
        <v>0</v>
      </c>
      <c r="G172" s="4">
        <f>+VLOOKUP(C172,Indicadores!B:C,2,FALSE)</f>
        <v>0.78473636363636379</v>
      </c>
      <c r="H172" s="1" t="str">
        <f t="shared" si="36"/>
        <v>Cumple</v>
      </c>
      <c r="I172" s="5">
        <f t="shared" si="37"/>
        <v>0</v>
      </c>
      <c r="J172" s="9">
        <f t="shared" si="38"/>
        <v>0</v>
      </c>
      <c r="K172" s="4">
        <f>+VLOOKUP(C172,Indicadores!B:F,5,FALSE)</f>
        <v>0.93333333333333335</v>
      </c>
      <c r="L172" s="1" t="str">
        <f t="shared" si="39"/>
        <v>Cumple</v>
      </c>
      <c r="M172" s="5">
        <f t="shared" si="40"/>
        <v>0</v>
      </c>
      <c r="N172" s="9">
        <f t="shared" si="34"/>
        <v>150000</v>
      </c>
      <c r="O172" s="4">
        <f>+VLOOKUP(C172,Indicadores!B:P,14,FALSE)</f>
        <v>1</v>
      </c>
      <c r="P172" s="1" t="str">
        <f t="shared" si="41"/>
        <v>Cumple</v>
      </c>
      <c r="Q172" s="5">
        <f t="shared" si="42"/>
        <v>150000</v>
      </c>
      <c r="R172" s="5">
        <f t="shared" si="43"/>
        <v>50000</v>
      </c>
      <c r="S172" s="4">
        <f>+VLOOKUP(C172,Indicadores!B:Q,15,FALSE)</f>
        <v>0.69136666666666668</v>
      </c>
      <c r="T172" s="5" t="str">
        <f t="shared" si="44"/>
        <v>No Cumple</v>
      </c>
      <c r="U172" s="5">
        <f t="shared" si="45"/>
        <v>0</v>
      </c>
      <c r="V172" s="5">
        <f t="shared" si="46"/>
        <v>50000</v>
      </c>
      <c r="W172" s="4">
        <f>+VLOOKUP(C172,Indicadores!B:V,21,FALSE)</f>
        <v>0.5</v>
      </c>
      <c r="X172" s="35" t="str">
        <f t="shared" si="47"/>
        <v>No Cumple</v>
      </c>
      <c r="Y172" s="2">
        <f t="shared" si="48"/>
        <v>0</v>
      </c>
      <c r="Z172" s="5" t="str">
        <f t="shared" si="49"/>
        <v>SI</v>
      </c>
      <c r="AA172" s="5">
        <f t="shared" si="50"/>
        <v>150000</v>
      </c>
      <c r="AB172" s="1"/>
    </row>
    <row r="173" spans="2:28" x14ac:dyDescent="0.25">
      <c r="B173" s="1" t="s">
        <v>234</v>
      </c>
      <c r="C173" s="1" t="s">
        <v>178</v>
      </c>
      <c r="D173" s="1" t="s">
        <v>243</v>
      </c>
      <c r="E173" s="1" t="s">
        <v>210</v>
      </c>
      <c r="F173" s="2">
        <f t="shared" si="35"/>
        <v>0</v>
      </c>
      <c r="G173" s="4">
        <f>+VLOOKUP(C173,Indicadores!B:C,2,FALSE)</f>
        <v>0.7593545454545455</v>
      </c>
      <c r="H173" s="1" t="str">
        <f t="shared" si="36"/>
        <v>Cumple</v>
      </c>
      <c r="I173" s="5">
        <f t="shared" si="37"/>
        <v>0</v>
      </c>
      <c r="J173" s="9">
        <f t="shared" si="38"/>
        <v>0</v>
      </c>
      <c r="K173" s="4">
        <f>+VLOOKUP(C173,Indicadores!B:F,5,FALSE)</f>
        <v>0.875</v>
      </c>
      <c r="L173" s="1" t="str">
        <f t="shared" si="39"/>
        <v>Cumple</v>
      </c>
      <c r="M173" s="5">
        <f t="shared" si="40"/>
        <v>0</v>
      </c>
      <c r="N173" s="9">
        <f t="shared" si="34"/>
        <v>150000</v>
      </c>
      <c r="O173" s="4">
        <f>+VLOOKUP(C173,Indicadores!B:P,14,FALSE)</f>
        <v>0.98529999999999995</v>
      </c>
      <c r="P173" s="1" t="str">
        <f t="shared" si="41"/>
        <v>Cumple</v>
      </c>
      <c r="Q173" s="5">
        <f t="shared" si="42"/>
        <v>0</v>
      </c>
      <c r="R173" s="5">
        <f t="shared" si="43"/>
        <v>50000</v>
      </c>
      <c r="S173" s="4">
        <f>+VLOOKUP(C173,Indicadores!B:Q,15,FALSE)</f>
        <v>0.46690000000000004</v>
      </c>
      <c r="T173" s="5" t="str">
        <f t="shared" si="44"/>
        <v>No Cumple</v>
      </c>
      <c r="U173" s="5">
        <f t="shared" si="45"/>
        <v>0</v>
      </c>
      <c r="V173" s="5">
        <f t="shared" si="46"/>
        <v>50000</v>
      </c>
      <c r="W173" s="4">
        <f>+VLOOKUP(C173,Indicadores!B:V,21,FALSE)</f>
        <v>0.49264999999999998</v>
      </c>
      <c r="X173" s="35" t="str">
        <f t="shared" si="47"/>
        <v>No Cumple</v>
      </c>
      <c r="Y173" s="2">
        <f t="shared" si="48"/>
        <v>0</v>
      </c>
      <c r="Z173" s="5" t="str">
        <f t="shared" si="49"/>
        <v>SI</v>
      </c>
      <c r="AA173" s="5">
        <f t="shared" si="50"/>
        <v>0</v>
      </c>
      <c r="AB173" s="1"/>
    </row>
    <row r="174" spans="2:28" x14ac:dyDescent="0.25">
      <c r="B174" s="1" t="s">
        <v>234</v>
      </c>
      <c r="C174" s="1" t="s">
        <v>179</v>
      </c>
      <c r="D174" s="1" t="s">
        <v>243</v>
      </c>
      <c r="E174" s="1" t="s">
        <v>210</v>
      </c>
      <c r="F174" s="2">
        <f t="shared" si="35"/>
        <v>0</v>
      </c>
      <c r="G174" s="4">
        <f>+VLOOKUP(C174,Indicadores!B:C,2,FALSE)</f>
        <v>0.8062454545454546</v>
      </c>
      <c r="H174" s="1" t="str">
        <f t="shared" si="36"/>
        <v>Cumple</v>
      </c>
      <c r="I174" s="5">
        <f t="shared" si="37"/>
        <v>0</v>
      </c>
      <c r="J174" s="9">
        <f t="shared" si="38"/>
        <v>0</v>
      </c>
      <c r="K174" s="4">
        <f>+VLOOKUP(C174,Indicadores!B:F,5,FALSE)</f>
        <v>0.8571428571428571</v>
      </c>
      <c r="L174" s="1" t="str">
        <f t="shared" si="39"/>
        <v>Cumple</v>
      </c>
      <c r="M174" s="5">
        <f t="shared" si="40"/>
        <v>0</v>
      </c>
      <c r="N174" s="9">
        <f t="shared" si="34"/>
        <v>150000</v>
      </c>
      <c r="O174" s="4">
        <f>+VLOOKUP(C174,Indicadores!B:P,14,FALSE)</f>
        <v>0.96719999999999995</v>
      </c>
      <c r="P174" s="1" t="str">
        <f t="shared" si="41"/>
        <v>Cumple</v>
      </c>
      <c r="Q174" s="5">
        <f t="shared" si="42"/>
        <v>0</v>
      </c>
      <c r="R174" s="5">
        <f t="shared" si="43"/>
        <v>50000</v>
      </c>
      <c r="S174" s="4">
        <f>+VLOOKUP(C174,Indicadores!B:Q,15,FALSE)</f>
        <v>0.73043333333333338</v>
      </c>
      <c r="T174" s="5" t="str">
        <f t="shared" si="44"/>
        <v>No Cumple</v>
      </c>
      <c r="U174" s="5">
        <f t="shared" si="45"/>
        <v>0</v>
      </c>
      <c r="V174" s="5">
        <f t="shared" si="46"/>
        <v>50000</v>
      </c>
      <c r="W174" s="4">
        <f>+VLOOKUP(C174,Indicadores!B:V,21,FALSE)</f>
        <v>0.49180000000000001</v>
      </c>
      <c r="X174" s="35" t="str">
        <f t="shared" si="47"/>
        <v>No Cumple</v>
      </c>
      <c r="Y174" s="2">
        <f t="shared" si="48"/>
        <v>0</v>
      </c>
      <c r="Z174" s="5" t="str">
        <f t="shared" si="49"/>
        <v>SI</v>
      </c>
      <c r="AA174" s="5">
        <f t="shared" si="50"/>
        <v>0</v>
      </c>
      <c r="AB174" s="1"/>
    </row>
    <row r="175" spans="2:28" x14ac:dyDescent="0.25">
      <c r="B175" s="1" t="s">
        <v>234</v>
      </c>
      <c r="C175" s="1" t="s">
        <v>180</v>
      </c>
      <c r="D175" s="1" t="s">
        <v>243</v>
      </c>
      <c r="E175" s="1" t="s">
        <v>210</v>
      </c>
      <c r="F175" s="2">
        <f t="shared" si="35"/>
        <v>0</v>
      </c>
      <c r="G175" s="4">
        <f>+VLOOKUP(C175,Indicadores!B:C,2,FALSE)</f>
        <v>0.71885454545454541</v>
      </c>
      <c r="H175" s="1" t="str">
        <f t="shared" si="36"/>
        <v>Cumple</v>
      </c>
      <c r="I175" s="5">
        <f t="shared" si="37"/>
        <v>0</v>
      </c>
      <c r="J175" s="9">
        <f t="shared" si="38"/>
        <v>0</v>
      </c>
      <c r="K175" s="4">
        <f>+VLOOKUP(C175,Indicadores!B:F,5,FALSE)</f>
        <v>0.8571428571428571</v>
      </c>
      <c r="L175" s="1" t="str">
        <f t="shared" si="39"/>
        <v>Cumple</v>
      </c>
      <c r="M175" s="5">
        <f t="shared" si="40"/>
        <v>0</v>
      </c>
      <c r="N175" s="9">
        <f t="shared" si="34"/>
        <v>150000</v>
      </c>
      <c r="O175" s="4">
        <f>+VLOOKUP(C175,Indicadores!B:P,14,FALSE)</f>
        <v>0.90739999999999998</v>
      </c>
      <c r="P175" s="1" t="str">
        <f t="shared" si="41"/>
        <v>Cumple</v>
      </c>
      <c r="Q175" s="5">
        <f t="shared" si="42"/>
        <v>0</v>
      </c>
      <c r="R175" s="5">
        <f t="shared" si="43"/>
        <v>50000</v>
      </c>
      <c r="S175" s="4">
        <f>+VLOOKUP(C175,Indicadores!B:Q,15,FALSE)</f>
        <v>0.74230000000000007</v>
      </c>
      <c r="T175" s="5" t="str">
        <f t="shared" si="44"/>
        <v>No Cumple</v>
      </c>
      <c r="U175" s="5">
        <f t="shared" si="45"/>
        <v>0</v>
      </c>
      <c r="V175" s="5">
        <f t="shared" si="46"/>
        <v>50000</v>
      </c>
      <c r="W175" s="4">
        <f>+VLOOKUP(C175,Indicadores!B:V,21,FALSE)</f>
        <v>0.47220000000000001</v>
      </c>
      <c r="X175" s="35" t="str">
        <f t="shared" si="47"/>
        <v>No Cumple</v>
      </c>
      <c r="Y175" s="2">
        <f t="shared" si="48"/>
        <v>0</v>
      </c>
      <c r="Z175" s="5" t="str">
        <f t="shared" si="49"/>
        <v>SI</v>
      </c>
      <c r="AA175" s="5">
        <f t="shared" si="50"/>
        <v>0</v>
      </c>
      <c r="AB175" s="1"/>
    </row>
    <row r="176" spans="2:28" x14ac:dyDescent="0.25">
      <c r="B176" s="1" t="s">
        <v>234</v>
      </c>
      <c r="C176" s="1" t="s">
        <v>181</v>
      </c>
      <c r="D176" s="1" t="s">
        <v>243</v>
      </c>
      <c r="E176" s="1" t="s">
        <v>210</v>
      </c>
      <c r="F176" s="2">
        <f t="shared" si="35"/>
        <v>0</v>
      </c>
      <c r="G176" s="4">
        <v>0.7</v>
      </c>
      <c r="H176" s="1" t="str">
        <f t="shared" si="36"/>
        <v>Cumple</v>
      </c>
      <c r="I176" s="5">
        <f t="shared" si="37"/>
        <v>0</v>
      </c>
      <c r="J176" s="9">
        <f t="shared" si="38"/>
        <v>0</v>
      </c>
      <c r="K176" s="4">
        <f>+VLOOKUP(C176,Indicadores!B:F,5,FALSE)</f>
        <v>0.93333333333333335</v>
      </c>
      <c r="L176" s="1" t="str">
        <f t="shared" si="39"/>
        <v>Cumple</v>
      </c>
      <c r="M176" s="5">
        <f t="shared" si="40"/>
        <v>0</v>
      </c>
      <c r="N176" s="9">
        <f t="shared" si="34"/>
        <v>150000</v>
      </c>
      <c r="O176" s="4">
        <f>+VLOOKUP(C176,Indicadores!B:P,14,FALSE)</f>
        <v>0.98939999999999995</v>
      </c>
      <c r="P176" s="1" t="str">
        <f t="shared" si="41"/>
        <v>Cumple</v>
      </c>
      <c r="Q176" s="5">
        <f t="shared" si="42"/>
        <v>0</v>
      </c>
      <c r="R176" s="5">
        <f t="shared" si="43"/>
        <v>50000</v>
      </c>
      <c r="S176" s="4">
        <f>+VLOOKUP(C176,Indicadores!B:Q,15,FALSE)</f>
        <v>0.65973333333333339</v>
      </c>
      <c r="T176" s="5" t="str">
        <f t="shared" si="44"/>
        <v>No Cumple</v>
      </c>
      <c r="U176" s="5">
        <f t="shared" si="45"/>
        <v>0</v>
      </c>
      <c r="V176" s="5">
        <f t="shared" si="46"/>
        <v>50000</v>
      </c>
      <c r="W176" s="4">
        <f>+VLOOKUP(C176,Indicadores!B:V,21,FALSE)</f>
        <v>0.49469999999999997</v>
      </c>
      <c r="X176" s="35" t="str">
        <f t="shared" si="47"/>
        <v>No Cumple</v>
      </c>
      <c r="Y176" s="2">
        <f t="shared" si="48"/>
        <v>0</v>
      </c>
      <c r="Z176" s="5" t="str">
        <f t="shared" si="49"/>
        <v>SI</v>
      </c>
      <c r="AA176" s="5">
        <f t="shared" si="50"/>
        <v>0</v>
      </c>
      <c r="AB176" s="1"/>
    </row>
    <row r="177" spans="2:28" x14ac:dyDescent="0.25">
      <c r="B177" s="1" t="s">
        <v>234</v>
      </c>
      <c r="C177" s="1" t="s">
        <v>182</v>
      </c>
      <c r="D177" s="1" t="s">
        <v>243</v>
      </c>
      <c r="E177" s="1" t="s">
        <v>210</v>
      </c>
      <c r="F177" s="2">
        <f t="shared" si="35"/>
        <v>0</v>
      </c>
      <c r="G177" s="4">
        <f>+VLOOKUP(C177,Indicadores!B:C,2,FALSE)</f>
        <v>0.80380909090909103</v>
      </c>
      <c r="H177" s="1" t="str">
        <f t="shared" si="36"/>
        <v>Cumple</v>
      </c>
      <c r="I177" s="5">
        <f t="shared" si="37"/>
        <v>0</v>
      </c>
      <c r="J177" s="9">
        <f t="shared" si="38"/>
        <v>0</v>
      </c>
      <c r="K177" s="4">
        <f>+VLOOKUP(C177,Indicadores!B:F,5,FALSE)</f>
        <v>0.8571428571428571</v>
      </c>
      <c r="L177" s="1" t="str">
        <f t="shared" si="39"/>
        <v>Cumple</v>
      </c>
      <c r="M177" s="5">
        <f t="shared" si="40"/>
        <v>0</v>
      </c>
      <c r="N177" s="9">
        <f t="shared" si="34"/>
        <v>150000</v>
      </c>
      <c r="O177" s="4">
        <v>0.99</v>
      </c>
      <c r="P177" s="1" t="str">
        <f t="shared" si="41"/>
        <v>Cumple</v>
      </c>
      <c r="Q177" s="5">
        <f t="shared" si="42"/>
        <v>148500</v>
      </c>
      <c r="R177" s="5">
        <f t="shared" si="43"/>
        <v>50000</v>
      </c>
      <c r="S177" s="4">
        <f>+VLOOKUP(C177,Indicadores!B:Q,15,FALSE)</f>
        <v>0.54759999999999998</v>
      </c>
      <c r="T177" s="5" t="str">
        <f t="shared" si="44"/>
        <v>No Cumple</v>
      </c>
      <c r="U177" s="5">
        <f t="shared" si="45"/>
        <v>0</v>
      </c>
      <c r="V177" s="5">
        <f t="shared" si="46"/>
        <v>50000</v>
      </c>
      <c r="W177" s="4">
        <f>+VLOOKUP(C177,Indicadores!B:V,21,FALSE)</f>
        <v>0.49585000000000001</v>
      </c>
      <c r="X177" s="35" t="str">
        <f t="shared" si="47"/>
        <v>No Cumple</v>
      </c>
      <c r="Y177" s="2">
        <f t="shared" si="48"/>
        <v>0</v>
      </c>
      <c r="Z177" s="5" t="str">
        <f t="shared" si="49"/>
        <v>SI</v>
      </c>
      <c r="AA177" s="5">
        <f t="shared" si="50"/>
        <v>148500</v>
      </c>
      <c r="AB177" s="1"/>
    </row>
    <row r="178" spans="2:28" x14ac:dyDescent="0.25">
      <c r="B178" s="1" t="s">
        <v>233</v>
      </c>
      <c r="C178" s="1" t="s">
        <v>183</v>
      </c>
      <c r="D178" s="1" t="s">
        <v>242</v>
      </c>
      <c r="E178" s="1" t="s">
        <v>211</v>
      </c>
      <c r="F178" s="2">
        <f t="shared" si="35"/>
        <v>0</v>
      </c>
      <c r="G178" s="4">
        <f>+VLOOKUP(C178,Indicadores!B:C,2,FALSE)</f>
        <v>0.72020909090909091</v>
      </c>
      <c r="H178" s="1" t="str">
        <f t="shared" si="36"/>
        <v>Cumple</v>
      </c>
      <c r="I178" s="5">
        <f t="shared" si="37"/>
        <v>0</v>
      </c>
      <c r="J178" s="9">
        <f t="shared" si="38"/>
        <v>0</v>
      </c>
      <c r="K178" s="4">
        <f>+VLOOKUP(C178,Indicadores!B:F,5,FALSE)</f>
        <v>1</v>
      </c>
      <c r="L178" s="1" t="str">
        <f t="shared" si="39"/>
        <v>Cumple</v>
      </c>
      <c r="M178" s="5">
        <f t="shared" si="40"/>
        <v>0</v>
      </c>
      <c r="N178" s="9">
        <f t="shared" si="34"/>
        <v>150000</v>
      </c>
      <c r="O178" s="4">
        <f>+VLOOKUP(C178,Indicadores!B:P,14,FALSE)</f>
        <v>0.88890000000000002</v>
      </c>
      <c r="P178" s="1" t="str">
        <f t="shared" si="41"/>
        <v>Cumple</v>
      </c>
      <c r="Q178" s="5">
        <f t="shared" si="42"/>
        <v>120000</v>
      </c>
      <c r="R178" s="5">
        <f t="shared" si="43"/>
        <v>50000</v>
      </c>
      <c r="S178" s="4">
        <f>+VLOOKUP(C178,Indicadores!B:Q,15,FALSE)</f>
        <v>0.32529999999999998</v>
      </c>
      <c r="T178" s="5" t="str">
        <f t="shared" si="44"/>
        <v>No Cumple</v>
      </c>
      <c r="U178" s="5">
        <f t="shared" si="45"/>
        <v>0</v>
      </c>
      <c r="V178" s="5">
        <f t="shared" si="46"/>
        <v>50000</v>
      </c>
      <c r="W178" s="4">
        <f>+VLOOKUP(C178,Indicadores!B:V,21,FALSE)</f>
        <v>0.4889</v>
      </c>
      <c r="X178" s="35" t="str">
        <f t="shared" si="47"/>
        <v>No Cumple</v>
      </c>
      <c r="Y178" s="2">
        <f t="shared" si="48"/>
        <v>0</v>
      </c>
      <c r="Z178" s="5" t="str">
        <f t="shared" si="49"/>
        <v>SI</v>
      </c>
      <c r="AA178" s="5">
        <f t="shared" si="50"/>
        <v>120000</v>
      </c>
      <c r="AB178" s="1"/>
    </row>
    <row r="179" spans="2:28" x14ac:dyDescent="0.25">
      <c r="B179" s="1" t="s">
        <v>233</v>
      </c>
      <c r="C179" s="1" t="s">
        <v>184</v>
      </c>
      <c r="D179" s="1" t="s">
        <v>242</v>
      </c>
      <c r="E179" s="1" t="s">
        <v>211</v>
      </c>
      <c r="F179" s="2">
        <f t="shared" si="35"/>
        <v>0</v>
      </c>
      <c r="G179" s="4">
        <f>+VLOOKUP(C179,Indicadores!B:C,2,FALSE)</f>
        <v>0.75001818181818181</v>
      </c>
      <c r="H179" s="1" t="str">
        <f t="shared" si="36"/>
        <v>Cumple</v>
      </c>
      <c r="I179" s="5">
        <f t="shared" si="37"/>
        <v>0</v>
      </c>
      <c r="J179" s="9">
        <f t="shared" si="38"/>
        <v>0</v>
      </c>
      <c r="K179" s="4">
        <f>+VLOOKUP(C179,Indicadores!B:F,5,FALSE)</f>
        <v>0.66666666666666663</v>
      </c>
      <c r="L179" s="1" t="str">
        <f t="shared" si="39"/>
        <v>No Cumple</v>
      </c>
      <c r="M179" s="5">
        <f t="shared" si="40"/>
        <v>0</v>
      </c>
      <c r="N179" s="9">
        <f t="shared" si="34"/>
        <v>150000</v>
      </c>
      <c r="O179" s="4">
        <f>+VLOOKUP(C179,Indicadores!B:P,14,FALSE)</f>
        <v>0.97919999999999996</v>
      </c>
      <c r="P179" s="1" t="str">
        <f t="shared" si="41"/>
        <v>Cumple</v>
      </c>
      <c r="Q179" s="5">
        <f t="shared" si="42"/>
        <v>0</v>
      </c>
      <c r="R179" s="5">
        <f t="shared" si="43"/>
        <v>50000</v>
      </c>
      <c r="S179" s="4">
        <f>+VLOOKUP(C179,Indicadores!B:Q,15,FALSE)</f>
        <v>0.3571333333333333</v>
      </c>
      <c r="T179" s="5" t="str">
        <f t="shared" si="44"/>
        <v>No Cumple</v>
      </c>
      <c r="U179" s="5">
        <f t="shared" si="45"/>
        <v>0</v>
      </c>
      <c r="V179" s="5">
        <f t="shared" si="46"/>
        <v>50000</v>
      </c>
      <c r="W179" s="4">
        <f>+VLOOKUP(C179,Indicadores!B:V,21,FALSE)</f>
        <v>0.48959999999999998</v>
      </c>
      <c r="X179" s="35" t="str">
        <f t="shared" si="47"/>
        <v>No Cumple</v>
      </c>
      <c r="Y179" s="2">
        <f t="shared" si="48"/>
        <v>0</v>
      </c>
      <c r="Z179" s="5" t="str">
        <f t="shared" si="49"/>
        <v>NO</v>
      </c>
      <c r="AA179" s="5">
        <f t="shared" si="50"/>
        <v>0</v>
      </c>
      <c r="AB179" s="1"/>
    </row>
    <row r="180" spans="2:28" x14ac:dyDescent="0.25">
      <c r="B180" s="1" t="s">
        <v>233</v>
      </c>
      <c r="C180" s="1" t="s">
        <v>185</v>
      </c>
      <c r="D180" s="1" t="s">
        <v>242</v>
      </c>
      <c r="E180" s="1" t="s">
        <v>211</v>
      </c>
      <c r="F180" s="2">
        <f t="shared" si="35"/>
        <v>0</v>
      </c>
      <c r="G180" s="4">
        <f>+VLOOKUP(C180,Indicadores!B:C,2,FALSE)</f>
        <v>0.81818181818181823</v>
      </c>
      <c r="H180" s="1" t="str">
        <f t="shared" si="36"/>
        <v>Cumple</v>
      </c>
      <c r="I180" s="5">
        <f t="shared" si="37"/>
        <v>0</v>
      </c>
      <c r="J180" s="9">
        <f t="shared" si="38"/>
        <v>0</v>
      </c>
      <c r="K180" s="4">
        <f>+VLOOKUP(C180,Indicadores!B:F,5,FALSE)</f>
        <v>0.5</v>
      </c>
      <c r="L180" s="1" t="str">
        <f t="shared" si="39"/>
        <v>No Cumple</v>
      </c>
      <c r="M180" s="5">
        <f t="shared" si="40"/>
        <v>0</v>
      </c>
      <c r="N180" s="9">
        <f t="shared" si="34"/>
        <v>150000</v>
      </c>
      <c r="O180" s="4">
        <f>+VLOOKUP(C180,Indicadores!B:P,14,FALSE)</f>
        <v>1</v>
      </c>
      <c r="P180" s="1" t="str">
        <f t="shared" si="41"/>
        <v>Cumple</v>
      </c>
      <c r="Q180" s="5">
        <f t="shared" si="42"/>
        <v>150000</v>
      </c>
      <c r="R180" s="5">
        <f t="shared" si="43"/>
        <v>50000</v>
      </c>
      <c r="S180" s="4">
        <f>+VLOOKUP(C180,Indicadores!B:Q,15,FALSE)</f>
        <v>0.33333333333333331</v>
      </c>
      <c r="T180" s="5" t="str">
        <f t="shared" si="44"/>
        <v>No Cumple</v>
      </c>
      <c r="U180" s="5">
        <f t="shared" si="45"/>
        <v>0</v>
      </c>
      <c r="V180" s="5">
        <f t="shared" si="46"/>
        <v>50000</v>
      </c>
      <c r="W180" s="4">
        <f>+VLOOKUP(C180,Indicadores!B:V,21,FALSE)</f>
        <v>1</v>
      </c>
      <c r="X180" s="35" t="str">
        <f t="shared" si="47"/>
        <v>Cumple</v>
      </c>
      <c r="Y180" s="2">
        <f t="shared" si="48"/>
        <v>50000</v>
      </c>
      <c r="Z180" s="5" t="str">
        <f t="shared" si="49"/>
        <v>NO</v>
      </c>
      <c r="AA180" s="5">
        <f t="shared" si="50"/>
        <v>0</v>
      </c>
      <c r="AB180" s="1"/>
    </row>
    <row r="181" spans="2:28" x14ac:dyDescent="0.25">
      <c r="B181" s="1" t="s">
        <v>233</v>
      </c>
      <c r="C181" s="1" t="s">
        <v>186</v>
      </c>
      <c r="D181" s="1" t="s">
        <v>242</v>
      </c>
      <c r="E181" s="1" t="s">
        <v>211</v>
      </c>
      <c r="F181" s="2">
        <f t="shared" si="35"/>
        <v>0</v>
      </c>
      <c r="G181" s="4">
        <f>+VLOOKUP(C181,Indicadores!B:C,2,FALSE)</f>
        <v>0.77272727272727271</v>
      </c>
      <c r="H181" s="1" t="str">
        <f t="shared" si="36"/>
        <v>Cumple</v>
      </c>
      <c r="I181" s="5">
        <f t="shared" si="37"/>
        <v>0</v>
      </c>
      <c r="J181" s="9">
        <f t="shared" si="38"/>
        <v>0</v>
      </c>
      <c r="K181" s="4">
        <f>+VLOOKUP(C181,Indicadores!B:F,5,FALSE)</f>
        <v>0.88235294117647056</v>
      </c>
      <c r="L181" s="1" t="str">
        <f t="shared" si="39"/>
        <v>Cumple</v>
      </c>
      <c r="M181" s="5">
        <f t="shared" si="40"/>
        <v>0</v>
      </c>
      <c r="N181" s="9">
        <f t="shared" si="34"/>
        <v>150000</v>
      </c>
      <c r="O181" s="4">
        <v>0.99</v>
      </c>
      <c r="P181" s="1" t="str">
        <f t="shared" si="41"/>
        <v>Cumple</v>
      </c>
      <c r="Q181" s="5">
        <f t="shared" si="42"/>
        <v>148500</v>
      </c>
      <c r="R181" s="5">
        <f t="shared" si="43"/>
        <v>50000</v>
      </c>
      <c r="S181" s="4">
        <f>+VLOOKUP(C181,Indicadores!B:Q,15,FALSE)</f>
        <v>0.46376666666666666</v>
      </c>
      <c r="T181" s="5" t="str">
        <f t="shared" si="44"/>
        <v>No Cumple</v>
      </c>
      <c r="U181" s="5">
        <f t="shared" si="45"/>
        <v>0</v>
      </c>
      <c r="V181" s="5">
        <f t="shared" si="46"/>
        <v>50000</v>
      </c>
      <c r="W181" s="4">
        <f>+VLOOKUP(C181,Indicadores!B:V,21,FALSE)</f>
        <v>0.5</v>
      </c>
      <c r="X181" s="35" t="str">
        <f t="shared" si="47"/>
        <v>No Cumple</v>
      </c>
      <c r="Y181" s="2">
        <f t="shared" si="48"/>
        <v>0</v>
      </c>
      <c r="Z181" s="5" t="str">
        <f t="shared" si="49"/>
        <v>SI</v>
      </c>
      <c r="AA181" s="5">
        <f t="shared" si="50"/>
        <v>148500</v>
      </c>
      <c r="AB181" s="1"/>
    </row>
    <row r="182" spans="2:28" x14ac:dyDescent="0.25">
      <c r="B182" s="1" t="s">
        <v>233</v>
      </c>
      <c r="C182" s="1" t="s">
        <v>187</v>
      </c>
      <c r="D182" s="1" t="s">
        <v>242</v>
      </c>
      <c r="E182" s="1" t="s">
        <v>211</v>
      </c>
      <c r="F182" s="2">
        <f t="shared" si="35"/>
        <v>0</v>
      </c>
      <c r="G182" s="4">
        <f>+VLOOKUP(C182,Indicadores!B:C,2,FALSE)</f>
        <v>0.78738181818181829</v>
      </c>
      <c r="H182" s="1" t="str">
        <f t="shared" si="36"/>
        <v>Cumple</v>
      </c>
      <c r="I182" s="5">
        <f t="shared" si="37"/>
        <v>0</v>
      </c>
      <c r="J182" s="9">
        <f t="shared" si="38"/>
        <v>0</v>
      </c>
      <c r="K182" s="4">
        <f>+VLOOKUP(C182,Indicadores!B:F,5,FALSE)</f>
        <v>0.68181818181818177</v>
      </c>
      <c r="L182" s="1" t="str">
        <f t="shared" si="39"/>
        <v>No Cumple</v>
      </c>
      <c r="M182" s="5">
        <f t="shared" si="40"/>
        <v>0</v>
      </c>
      <c r="N182" s="9">
        <f t="shared" si="34"/>
        <v>150000</v>
      </c>
      <c r="O182" s="4">
        <f>+VLOOKUP(C182,Indicadores!B:P,14,FALSE)</f>
        <v>1</v>
      </c>
      <c r="P182" s="1" t="str">
        <f t="shared" si="41"/>
        <v>Cumple</v>
      </c>
      <c r="Q182" s="5">
        <f t="shared" si="42"/>
        <v>150000</v>
      </c>
      <c r="R182" s="5">
        <f t="shared" si="43"/>
        <v>50000</v>
      </c>
      <c r="S182" s="4">
        <f>+VLOOKUP(C182,Indicadores!B:Q,15,FALSE)</f>
        <v>0.41799999999999998</v>
      </c>
      <c r="T182" s="5" t="str">
        <f t="shared" si="44"/>
        <v>No Cumple</v>
      </c>
      <c r="U182" s="5">
        <f t="shared" si="45"/>
        <v>0</v>
      </c>
      <c r="V182" s="5">
        <f t="shared" si="46"/>
        <v>50000</v>
      </c>
      <c r="W182" s="4">
        <f>+VLOOKUP(C182,Indicadores!B:V,21,FALSE)</f>
        <v>0.5</v>
      </c>
      <c r="X182" s="35" t="str">
        <f t="shared" si="47"/>
        <v>No Cumple</v>
      </c>
      <c r="Y182" s="2">
        <f t="shared" si="48"/>
        <v>0</v>
      </c>
      <c r="Z182" s="5" t="str">
        <f t="shared" si="49"/>
        <v>NO</v>
      </c>
      <c r="AA182" s="5">
        <f t="shared" si="50"/>
        <v>0</v>
      </c>
      <c r="AB182" s="1"/>
    </row>
    <row r="183" spans="2:28" x14ac:dyDescent="0.25">
      <c r="B183" s="1" t="s">
        <v>233</v>
      </c>
      <c r="C183" s="1" t="s">
        <v>188</v>
      </c>
      <c r="D183" s="1" t="s">
        <v>242</v>
      </c>
      <c r="E183" s="1" t="s">
        <v>211</v>
      </c>
      <c r="F183" s="2">
        <f t="shared" si="35"/>
        <v>0</v>
      </c>
      <c r="G183" s="4">
        <v>0.7</v>
      </c>
      <c r="H183" s="1" t="str">
        <f t="shared" si="36"/>
        <v>Cumple</v>
      </c>
      <c r="I183" s="5">
        <f t="shared" si="37"/>
        <v>0</v>
      </c>
      <c r="J183" s="9">
        <f t="shared" si="38"/>
        <v>0</v>
      </c>
      <c r="K183" s="4">
        <f>+VLOOKUP(C183,Indicadores!B:F,5,FALSE)</f>
        <v>1</v>
      </c>
      <c r="L183" s="1" t="str">
        <f t="shared" si="39"/>
        <v>Cumple</v>
      </c>
      <c r="M183" s="5">
        <f t="shared" si="40"/>
        <v>0</v>
      </c>
      <c r="N183" s="9">
        <f t="shared" si="34"/>
        <v>150000</v>
      </c>
      <c r="O183" s="4">
        <f>+VLOOKUP(C183,Indicadores!B:P,14,FALSE)</f>
        <v>1</v>
      </c>
      <c r="P183" s="1" t="str">
        <f t="shared" si="41"/>
        <v>Cumple</v>
      </c>
      <c r="Q183" s="5">
        <f t="shared" si="42"/>
        <v>150000</v>
      </c>
      <c r="R183" s="5">
        <f t="shared" si="43"/>
        <v>50000</v>
      </c>
      <c r="S183" s="4">
        <f>+VLOOKUP(C183,Indicadores!B:Q,15,FALSE)</f>
        <v>0.59046666666666658</v>
      </c>
      <c r="T183" s="5" t="str">
        <f t="shared" si="44"/>
        <v>No Cumple</v>
      </c>
      <c r="U183" s="5">
        <f t="shared" si="45"/>
        <v>0</v>
      </c>
      <c r="V183" s="5">
        <f t="shared" si="46"/>
        <v>50000</v>
      </c>
      <c r="W183" s="4">
        <f>+VLOOKUP(C183,Indicadores!B:V,21,FALSE)</f>
        <v>0.5</v>
      </c>
      <c r="X183" s="35" t="str">
        <f t="shared" si="47"/>
        <v>No Cumple</v>
      </c>
      <c r="Y183" s="2">
        <f t="shared" si="48"/>
        <v>0</v>
      </c>
      <c r="Z183" s="5" t="str">
        <f t="shared" si="49"/>
        <v>SI</v>
      </c>
      <c r="AA183" s="5">
        <f t="shared" si="50"/>
        <v>150000</v>
      </c>
      <c r="AB183" s="1"/>
    </row>
    <row r="184" spans="2:28" x14ac:dyDescent="0.25">
      <c r="B184" s="1" t="s">
        <v>233</v>
      </c>
      <c r="C184" s="1" t="s">
        <v>189</v>
      </c>
      <c r="D184" s="1" t="s">
        <v>242</v>
      </c>
      <c r="E184" s="1" t="s">
        <v>211</v>
      </c>
      <c r="F184" s="2">
        <f t="shared" si="35"/>
        <v>0</v>
      </c>
      <c r="G184" s="4">
        <f>+VLOOKUP(C184,Indicadores!B:C,2,FALSE)</f>
        <v>0.75151818181818186</v>
      </c>
      <c r="H184" s="1" t="str">
        <f t="shared" si="36"/>
        <v>Cumple</v>
      </c>
      <c r="I184" s="5">
        <f t="shared" si="37"/>
        <v>0</v>
      </c>
      <c r="J184" s="9">
        <f t="shared" si="38"/>
        <v>0</v>
      </c>
      <c r="K184" s="4">
        <f>+VLOOKUP(C184,Indicadores!B:F,5,FALSE)</f>
        <v>1</v>
      </c>
      <c r="L184" s="1" t="str">
        <f t="shared" si="39"/>
        <v>Cumple</v>
      </c>
      <c r="M184" s="5">
        <f t="shared" si="40"/>
        <v>0</v>
      </c>
      <c r="N184" s="9">
        <f t="shared" si="34"/>
        <v>150000</v>
      </c>
      <c r="O184" s="4">
        <v>0.98</v>
      </c>
      <c r="P184" s="1" t="str">
        <f t="shared" si="41"/>
        <v>Cumple</v>
      </c>
      <c r="Q184" s="5">
        <f t="shared" si="42"/>
        <v>147000</v>
      </c>
      <c r="R184" s="5">
        <f t="shared" si="43"/>
        <v>50000</v>
      </c>
      <c r="S184" s="4">
        <f>+VLOOKUP(C184,Indicadores!B:Q,15,FALSE)</f>
        <v>0.45833333333333331</v>
      </c>
      <c r="T184" s="5" t="str">
        <f t="shared" si="44"/>
        <v>No Cumple</v>
      </c>
      <c r="U184" s="5">
        <f t="shared" si="45"/>
        <v>0</v>
      </c>
      <c r="V184" s="5">
        <f t="shared" si="46"/>
        <v>50000</v>
      </c>
      <c r="W184" s="4">
        <f>+VLOOKUP(C184,Indicadores!B:V,21,FALSE)</f>
        <v>1</v>
      </c>
      <c r="X184" s="35" t="str">
        <f t="shared" si="47"/>
        <v>Cumple</v>
      </c>
      <c r="Y184" s="2">
        <f t="shared" si="48"/>
        <v>50000</v>
      </c>
      <c r="Z184" s="5" t="str">
        <f t="shared" si="49"/>
        <v>SI</v>
      </c>
      <c r="AA184" s="5">
        <f t="shared" si="50"/>
        <v>197000</v>
      </c>
      <c r="AB184" s="1"/>
    </row>
    <row r="185" spans="2:28" x14ac:dyDescent="0.25">
      <c r="B185" s="1" t="s">
        <v>233</v>
      </c>
      <c r="C185" s="1" t="s">
        <v>190</v>
      </c>
      <c r="D185" s="1" t="s">
        <v>242</v>
      </c>
      <c r="E185" s="1" t="s">
        <v>211</v>
      </c>
      <c r="F185" s="2">
        <f t="shared" si="35"/>
        <v>0</v>
      </c>
      <c r="G185" s="4">
        <f>+VLOOKUP(C185,Indicadores!B:C,2,FALSE)</f>
        <v>0.75196363636363628</v>
      </c>
      <c r="H185" s="1" t="str">
        <f t="shared" si="36"/>
        <v>Cumple</v>
      </c>
      <c r="I185" s="5">
        <f t="shared" si="37"/>
        <v>0</v>
      </c>
      <c r="J185" s="9">
        <f t="shared" si="38"/>
        <v>0</v>
      </c>
      <c r="K185" s="4">
        <f>+VLOOKUP(C185,Indicadores!B:F,5,FALSE)</f>
        <v>0.84615384615384615</v>
      </c>
      <c r="L185" s="1" t="str">
        <f t="shared" si="39"/>
        <v>Cumple</v>
      </c>
      <c r="M185" s="5">
        <f t="shared" si="40"/>
        <v>0</v>
      </c>
      <c r="N185" s="9">
        <f t="shared" si="34"/>
        <v>150000</v>
      </c>
      <c r="O185" s="4">
        <f>+VLOOKUP(C185,Indicadores!B:P,14,FALSE)</f>
        <v>1</v>
      </c>
      <c r="P185" s="1" t="str">
        <f t="shared" si="41"/>
        <v>Cumple</v>
      </c>
      <c r="Q185" s="5">
        <f t="shared" si="42"/>
        <v>150000</v>
      </c>
      <c r="R185" s="5">
        <f t="shared" si="43"/>
        <v>50000</v>
      </c>
      <c r="S185" s="4">
        <f>+VLOOKUP(C185,Indicadores!B:Q,15,FALSE)</f>
        <v>0.33743333333333331</v>
      </c>
      <c r="T185" s="5" t="str">
        <f t="shared" si="44"/>
        <v>No Cumple</v>
      </c>
      <c r="U185" s="5">
        <f t="shared" si="45"/>
        <v>0</v>
      </c>
      <c r="V185" s="5">
        <f t="shared" si="46"/>
        <v>50000</v>
      </c>
      <c r="W185" s="4">
        <f>+VLOOKUP(C185,Indicadores!B:V,21,FALSE)</f>
        <v>0.5</v>
      </c>
      <c r="X185" s="35" t="str">
        <f t="shared" si="47"/>
        <v>No Cumple</v>
      </c>
      <c r="Y185" s="2">
        <f t="shared" si="48"/>
        <v>0</v>
      </c>
      <c r="Z185" s="5" t="str">
        <f t="shared" si="49"/>
        <v>SI</v>
      </c>
      <c r="AA185" s="5">
        <f t="shared" si="50"/>
        <v>150000</v>
      </c>
      <c r="AB185" s="1"/>
    </row>
    <row r="186" spans="2:28" x14ac:dyDescent="0.25">
      <c r="B186" s="1" t="s">
        <v>233</v>
      </c>
      <c r="C186" s="1" t="s">
        <v>191</v>
      </c>
      <c r="D186" s="1" t="s">
        <v>242</v>
      </c>
      <c r="E186" s="1" t="s">
        <v>211</v>
      </c>
      <c r="F186" s="2">
        <f t="shared" si="35"/>
        <v>0</v>
      </c>
      <c r="G186" s="4">
        <f>+VLOOKUP(C186,Indicadores!B:C,2,FALSE)</f>
        <v>0.65192727272727269</v>
      </c>
      <c r="H186" s="1" t="str">
        <f t="shared" si="36"/>
        <v>No Cumple</v>
      </c>
      <c r="I186" s="5">
        <f t="shared" si="37"/>
        <v>0</v>
      </c>
      <c r="J186" s="9">
        <f t="shared" si="38"/>
        <v>0</v>
      </c>
      <c r="K186" s="4">
        <f>+VLOOKUP(C186,Indicadores!B:F,5,FALSE)</f>
        <v>0.75</v>
      </c>
      <c r="L186" s="1" t="str">
        <f t="shared" si="39"/>
        <v>Cumple</v>
      </c>
      <c r="M186" s="5">
        <f t="shared" si="40"/>
        <v>0</v>
      </c>
      <c r="N186" s="9">
        <f t="shared" si="34"/>
        <v>150000</v>
      </c>
      <c r="O186" s="4">
        <f>+VLOOKUP(C186,Indicadores!B:P,14,FALSE)</f>
        <v>0.85709999999999997</v>
      </c>
      <c r="P186" s="1" t="str">
        <f t="shared" si="41"/>
        <v>Cumple</v>
      </c>
      <c r="Q186" s="5">
        <f t="shared" si="42"/>
        <v>120000</v>
      </c>
      <c r="R186" s="5">
        <f t="shared" si="43"/>
        <v>50000</v>
      </c>
      <c r="S186" s="4">
        <f>+VLOOKUP(C186,Indicadores!B:Q,15,FALSE)</f>
        <v>0.32329999999999998</v>
      </c>
      <c r="T186" s="5" t="str">
        <f t="shared" si="44"/>
        <v>No Cumple</v>
      </c>
      <c r="U186" s="5">
        <f t="shared" si="45"/>
        <v>0</v>
      </c>
      <c r="V186" s="5">
        <f t="shared" si="46"/>
        <v>50000</v>
      </c>
      <c r="W186" s="4">
        <f>+VLOOKUP(C186,Indicadores!B:V,21,FALSE)</f>
        <v>0.88570000000000004</v>
      </c>
      <c r="X186" s="35" t="str">
        <f t="shared" si="47"/>
        <v>No Cumple</v>
      </c>
      <c r="Y186" s="2">
        <f t="shared" si="48"/>
        <v>0</v>
      </c>
      <c r="Z186" s="5" t="str">
        <f t="shared" si="49"/>
        <v>NO</v>
      </c>
      <c r="AA186" s="5">
        <f t="shared" si="50"/>
        <v>0</v>
      </c>
      <c r="AB186" s="1"/>
    </row>
    <row r="187" spans="2:28" x14ac:dyDescent="0.25">
      <c r="B187" s="1" t="s">
        <v>233</v>
      </c>
      <c r="C187" s="1" t="s">
        <v>192</v>
      </c>
      <c r="D187" s="1" t="s">
        <v>242</v>
      </c>
      <c r="E187" s="1" t="s">
        <v>211</v>
      </c>
      <c r="F187" s="2">
        <f t="shared" si="35"/>
        <v>0</v>
      </c>
      <c r="G187" s="4">
        <f>+VLOOKUP(C187,Indicadores!B:C,2,FALSE)</f>
        <v>0.89951818181818188</v>
      </c>
      <c r="H187" s="1" t="str">
        <f t="shared" si="36"/>
        <v>Cumple</v>
      </c>
      <c r="I187" s="5">
        <f t="shared" si="37"/>
        <v>0</v>
      </c>
      <c r="J187" s="9">
        <f t="shared" si="38"/>
        <v>0</v>
      </c>
      <c r="K187" s="4">
        <f>+VLOOKUP(C187,Indicadores!B:F,5,FALSE)</f>
        <v>1</v>
      </c>
      <c r="L187" s="1" t="str">
        <f t="shared" si="39"/>
        <v>Cumple</v>
      </c>
      <c r="M187" s="5">
        <f t="shared" si="40"/>
        <v>0</v>
      </c>
      <c r="N187" s="9">
        <f t="shared" si="34"/>
        <v>150000</v>
      </c>
      <c r="O187" s="4">
        <f>+VLOOKUP(C187,Indicadores!B:P,14,FALSE)</f>
        <v>1</v>
      </c>
      <c r="P187" s="1" t="str">
        <f t="shared" si="41"/>
        <v>Cumple</v>
      </c>
      <c r="Q187" s="5">
        <f t="shared" si="42"/>
        <v>150000</v>
      </c>
      <c r="R187" s="5">
        <f t="shared" si="43"/>
        <v>50000</v>
      </c>
      <c r="S187" s="4">
        <f>+VLOOKUP(C187,Indicadores!B:Q,15,FALSE)</f>
        <v>0.57893333333333341</v>
      </c>
      <c r="T187" s="5" t="str">
        <f t="shared" si="44"/>
        <v>No Cumple</v>
      </c>
      <c r="U187" s="5">
        <f t="shared" si="45"/>
        <v>0</v>
      </c>
      <c r="V187" s="5">
        <f t="shared" si="46"/>
        <v>50000</v>
      </c>
      <c r="W187" s="4">
        <f>+VLOOKUP(C187,Indicadores!B:V,21,FALSE)</f>
        <v>0.5</v>
      </c>
      <c r="X187" s="35" t="str">
        <f t="shared" si="47"/>
        <v>No Cumple</v>
      </c>
      <c r="Y187" s="2">
        <f t="shared" si="48"/>
        <v>0</v>
      </c>
      <c r="Z187" s="5" t="str">
        <f t="shared" si="49"/>
        <v>SI</v>
      </c>
      <c r="AA187" s="5">
        <f t="shared" si="50"/>
        <v>150000</v>
      </c>
      <c r="AB187" s="1"/>
    </row>
    <row r="188" spans="2:28" x14ac:dyDescent="0.25">
      <c r="B188" s="1" t="s">
        <v>233</v>
      </c>
      <c r="C188" s="1" t="s">
        <v>193</v>
      </c>
      <c r="D188" s="1" t="s">
        <v>242</v>
      </c>
      <c r="E188" s="1" t="s">
        <v>211</v>
      </c>
      <c r="F188" s="2">
        <f t="shared" si="35"/>
        <v>0</v>
      </c>
      <c r="G188" s="4">
        <f>+VLOOKUP(C188,Indicadores!B:C,2,FALSE)</f>
        <v>0.79231818181818181</v>
      </c>
      <c r="H188" s="1" t="str">
        <f t="shared" si="36"/>
        <v>Cumple</v>
      </c>
      <c r="I188" s="5">
        <f t="shared" si="37"/>
        <v>0</v>
      </c>
      <c r="J188" s="9">
        <f t="shared" si="38"/>
        <v>0</v>
      </c>
      <c r="K188" s="4">
        <f>+VLOOKUP(C188,Indicadores!B:F,5,FALSE)</f>
        <v>1</v>
      </c>
      <c r="L188" s="1" t="str">
        <f t="shared" si="39"/>
        <v>Cumple</v>
      </c>
      <c r="M188" s="5">
        <f t="shared" si="40"/>
        <v>0</v>
      </c>
      <c r="N188" s="9">
        <f t="shared" si="34"/>
        <v>150000</v>
      </c>
      <c r="O188" s="4">
        <f>+VLOOKUP(C188,Indicadores!B:P,14,FALSE)</f>
        <v>1</v>
      </c>
      <c r="P188" s="1" t="str">
        <f t="shared" si="41"/>
        <v>Cumple</v>
      </c>
      <c r="Q188" s="5">
        <f t="shared" si="42"/>
        <v>150000</v>
      </c>
      <c r="R188" s="5">
        <f t="shared" si="43"/>
        <v>50000</v>
      </c>
      <c r="S188" s="4">
        <f>+VLOOKUP(C188,Indicadores!B:Q,15,FALSE)</f>
        <v>0.45870000000000005</v>
      </c>
      <c r="T188" s="5" t="str">
        <f t="shared" si="44"/>
        <v>No Cumple</v>
      </c>
      <c r="U188" s="5">
        <f t="shared" si="45"/>
        <v>0</v>
      </c>
      <c r="V188" s="5">
        <f t="shared" si="46"/>
        <v>50000</v>
      </c>
      <c r="W188" s="4">
        <f>+VLOOKUP(C188,Indicadores!B:V,21,FALSE)</f>
        <v>0.5</v>
      </c>
      <c r="X188" s="35" t="str">
        <f t="shared" si="47"/>
        <v>No Cumple</v>
      </c>
      <c r="Y188" s="2">
        <f t="shared" si="48"/>
        <v>0</v>
      </c>
      <c r="Z188" s="5" t="str">
        <f t="shared" si="49"/>
        <v>SI</v>
      </c>
      <c r="AA188" s="5">
        <f t="shared" si="50"/>
        <v>150000</v>
      </c>
      <c r="AB188" s="1"/>
    </row>
    <row r="189" spans="2:28" x14ac:dyDescent="0.25">
      <c r="B189" s="1" t="s">
        <v>233</v>
      </c>
      <c r="C189" s="1" t="s">
        <v>194</v>
      </c>
      <c r="D189" s="1" t="s">
        <v>242</v>
      </c>
      <c r="E189" s="1" t="s">
        <v>211</v>
      </c>
      <c r="F189" s="2">
        <f t="shared" si="35"/>
        <v>0</v>
      </c>
      <c r="G189" s="4">
        <f>+VLOOKUP(C189,Indicadores!B:C,2,FALSE)</f>
        <v>0.74380000000000013</v>
      </c>
      <c r="H189" s="1" t="str">
        <f t="shared" si="36"/>
        <v>Cumple</v>
      </c>
      <c r="I189" s="5">
        <f t="shared" si="37"/>
        <v>0</v>
      </c>
      <c r="J189" s="9">
        <f t="shared" si="38"/>
        <v>0</v>
      </c>
      <c r="K189" s="4">
        <f>+VLOOKUP(C189,Indicadores!B:F,5,FALSE)</f>
        <v>0.76923076923076927</v>
      </c>
      <c r="L189" s="1" t="str">
        <f t="shared" si="39"/>
        <v>Cumple</v>
      </c>
      <c r="M189" s="5">
        <f t="shared" si="40"/>
        <v>0</v>
      </c>
      <c r="N189" s="9">
        <f t="shared" si="34"/>
        <v>150000</v>
      </c>
      <c r="O189" s="4">
        <f>+VLOOKUP(C189,Indicadores!B:P,14,FALSE)</f>
        <v>1</v>
      </c>
      <c r="P189" s="1" t="str">
        <f t="shared" si="41"/>
        <v>Cumple</v>
      </c>
      <c r="Q189" s="5">
        <f t="shared" si="42"/>
        <v>150000</v>
      </c>
      <c r="R189" s="5">
        <f t="shared" si="43"/>
        <v>50000</v>
      </c>
      <c r="S189" s="4">
        <f>+VLOOKUP(C189,Indicadores!B:Q,15,FALSE)</f>
        <v>0.33939999999999998</v>
      </c>
      <c r="T189" s="5" t="str">
        <f t="shared" si="44"/>
        <v>No Cumple</v>
      </c>
      <c r="U189" s="5">
        <f t="shared" si="45"/>
        <v>0</v>
      </c>
      <c r="V189" s="5">
        <f t="shared" si="46"/>
        <v>50000</v>
      </c>
      <c r="W189" s="4">
        <f>+VLOOKUP(C189,Indicadores!B:V,21,FALSE)</f>
        <v>0.5</v>
      </c>
      <c r="X189" s="35" t="str">
        <f t="shared" si="47"/>
        <v>No Cumple</v>
      </c>
      <c r="Y189" s="2">
        <f t="shared" si="48"/>
        <v>0</v>
      </c>
      <c r="Z189" s="5" t="str">
        <f t="shared" si="49"/>
        <v>SI</v>
      </c>
      <c r="AA189" s="5">
        <f t="shared" si="50"/>
        <v>150000</v>
      </c>
      <c r="AB189" s="1"/>
    </row>
    <row r="190" spans="2:28" x14ac:dyDescent="0.25">
      <c r="B190" s="1" t="s">
        <v>233</v>
      </c>
      <c r="C190" s="1" t="s">
        <v>195</v>
      </c>
      <c r="D190" s="1" t="s">
        <v>242</v>
      </c>
      <c r="E190" s="1" t="s">
        <v>211</v>
      </c>
      <c r="F190" s="2">
        <f t="shared" si="35"/>
        <v>0</v>
      </c>
      <c r="G190" s="4">
        <f>+VLOOKUP(C190,Indicadores!B:C,2,FALSE)</f>
        <v>0.61128181818181815</v>
      </c>
      <c r="H190" s="1" t="str">
        <f t="shared" si="36"/>
        <v>No Cumple</v>
      </c>
      <c r="I190" s="5">
        <f t="shared" si="37"/>
        <v>0</v>
      </c>
      <c r="J190" s="9">
        <f t="shared" si="38"/>
        <v>0</v>
      </c>
      <c r="K190" s="4">
        <f>+VLOOKUP(C190,Indicadores!B:F,5,FALSE)</f>
        <v>0.66666666666666663</v>
      </c>
      <c r="L190" s="1" t="str">
        <f t="shared" si="39"/>
        <v>No Cumple</v>
      </c>
      <c r="M190" s="5">
        <f t="shared" si="40"/>
        <v>0</v>
      </c>
      <c r="N190" s="9">
        <f t="shared" si="34"/>
        <v>150000</v>
      </c>
      <c r="O190" s="4">
        <f>+VLOOKUP(C190,Indicadores!B:P,14,FALSE)</f>
        <v>0.79310000000000003</v>
      </c>
      <c r="P190" s="1" t="str">
        <f t="shared" si="41"/>
        <v>No Cumple</v>
      </c>
      <c r="Q190" s="5">
        <f t="shared" si="42"/>
        <v>0</v>
      </c>
      <c r="R190" s="5">
        <f t="shared" si="43"/>
        <v>50000</v>
      </c>
      <c r="S190" s="4">
        <f>+VLOOKUP(C190,Indicadores!B:Q,15,FALSE)</f>
        <v>0.37586666666666663</v>
      </c>
      <c r="T190" s="5" t="str">
        <f t="shared" si="44"/>
        <v>No Cumple</v>
      </c>
      <c r="U190" s="5">
        <f t="shared" si="45"/>
        <v>0</v>
      </c>
      <c r="V190" s="5">
        <f t="shared" si="46"/>
        <v>50000</v>
      </c>
      <c r="W190" s="4">
        <f>+VLOOKUP(C190,Indicadores!B:V,21,FALSE)</f>
        <v>0.91379999999999995</v>
      </c>
      <c r="X190" s="35" t="str">
        <f t="shared" si="47"/>
        <v>No Cumple</v>
      </c>
      <c r="Y190" s="2">
        <f t="shared" si="48"/>
        <v>0</v>
      </c>
      <c r="Z190" s="5" t="str">
        <f t="shared" si="49"/>
        <v>NO</v>
      </c>
      <c r="AA190" s="5">
        <f t="shared" si="50"/>
        <v>0</v>
      </c>
      <c r="AB190" s="1"/>
    </row>
    <row r="191" spans="2:28" x14ac:dyDescent="0.25">
      <c r="B191" s="1" t="s">
        <v>233</v>
      </c>
      <c r="C191" s="1" t="s">
        <v>196</v>
      </c>
      <c r="D191" s="1" t="s">
        <v>242</v>
      </c>
      <c r="E191" s="1" t="s">
        <v>211</v>
      </c>
      <c r="F191" s="2">
        <f t="shared" si="35"/>
        <v>0</v>
      </c>
      <c r="G191" s="4">
        <f>+VLOOKUP(C191,Indicadores!B:C,2,FALSE)</f>
        <v>0.78591818181818196</v>
      </c>
      <c r="H191" s="1" t="str">
        <f t="shared" si="36"/>
        <v>Cumple</v>
      </c>
      <c r="I191" s="5">
        <f t="shared" si="37"/>
        <v>0</v>
      </c>
      <c r="J191" s="9">
        <f t="shared" si="38"/>
        <v>0</v>
      </c>
      <c r="K191" s="4">
        <f>+VLOOKUP(C191,Indicadores!B:F,5,FALSE)</f>
        <v>0.8</v>
      </c>
      <c r="L191" s="1" t="str">
        <f t="shared" si="39"/>
        <v>Cumple</v>
      </c>
      <c r="M191" s="5">
        <f t="shared" si="40"/>
        <v>0</v>
      </c>
      <c r="N191" s="9">
        <f t="shared" si="34"/>
        <v>150000</v>
      </c>
      <c r="O191" s="4">
        <f>+VLOOKUP(C191,Indicadores!B:P,14,FALSE)</f>
        <v>1</v>
      </c>
      <c r="P191" s="1" t="str">
        <f t="shared" si="41"/>
        <v>Cumple</v>
      </c>
      <c r="Q191" s="5">
        <f t="shared" si="42"/>
        <v>150000</v>
      </c>
      <c r="R191" s="5">
        <f t="shared" si="43"/>
        <v>50000</v>
      </c>
      <c r="S191" s="4">
        <f>+VLOOKUP(C191,Indicadores!B:Q,15,FALSE)</f>
        <v>0.58333333333333337</v>
      </c>
      <c r="T191" s="5" t="str">
        <f t="shared" si="44"/>
        <v>No Cumple</v>
      </c>
      <c r="U191" s="5">
        <f t="shared" si="45"/>
        <v>0</v>
      </c>
      <c r="V191" s="5">
        <f t="shared" si="46"/>
        <v>50000</v>
      </c>
      <c r="W191" s="4">
        <f>+VLOOKUP(C191,Indicadores!B:V,21,FALSE)</f>
        <v>1</v>
      </c>
      <c r="X191" s="35" t="str">
        <f t="shared" si="47"/>
        <v>Cumple</v>
      </c>
      <c r="Y191" s="2">
        <f t="shared" si="48"/>
        <v>50000</v>
      </c>
      <c r="Z191" s="5" t="str">
        <f t="shared" si="49"/>
        <v>SI</v>
      </c>
      <c r="AA191" s="5">
        <f t="shared" si="50"/>
        <v>200000</v>
      </c>
      <c r="AB191" s="1"/>
    </row>
    <row r="192" spans="2:28" x14ac:dyDescent="0.25">
      <c r="B192" s="1" t="s">
        <v>233</v>
      </c>
      <c r="C192" s="1" t="s">
        <v>197</v>
      </c>
      <c r="D192" s="1" t="s">
        <v>242</v>
      </c>
      <c r="E192" s="1" t="s">
        <v>211</v>
      </c>
      <c r="F192" s="2">
        <f t="shared" si="35"/>
        <v>0</v>
      </c>
      <c r="G192" s="4">
        <f>+VLOOKUP(C192,Indicadores!B:C,2,FALSE)</f>
        <v>0.69778181818181817</v>
      </c>
      <c r="H192" s="1" t="str">
        <f t="shared" si="36"/>
        <v>No Cumple</v>
      </c>
      <c r="I192" s="5">
        <f t="shared" si="37"/>
        <v>0</v>
      </c>
      <c r="J192" s="9">
        <f t="shared" si="38"/>
        <v>0</v>
      </c>
      <c r="K192" s="4">
        <f>+VLOOKUP(C192,Indicadores!B:F,5,FALSE)</f>
        <v>0.72727272727272729</v>
      </c>
      <c r="L192" s="1" t="str">
        <f t="shared" si="39"/>
        <v>Cumple</v>
      </c>
      <c r="M192" s="5">
        <f t="shared" si="40"/>
        <v>0</v>
      </c>
      <c r="N192" s="9">
        <f t="shared" si="34"/>
        <v>150000</v>
      </c>
      <c r="O192" s="4">
        <f>+VLOOKUP(C192,Indicadores!B:P,14,FALSE)</f>
        <v>0.91890000000000005</v>
      </c>
      <c r="P192" s="1" t="str">
        <f t="shared" si="41"/>
        <v>Cumple</v>
      </c>
      <c r="Q192" s="5">
        <f t="shared" si="42"/>
        <v>135000</v>
      </c>
      <c r="R192" s="5">
        <f t="shared" si="43"/>
        <v>50000</v>
      </c>
      <c r="S192" s="4">
        <f>+VLOOKUP(C192,Indicadores!B:Q,15,FALSE)</f>
        <v>0.43009999999999998</v>
      </c>
      <c r="T192" s="5" t="str">
        <f t="shared" si="44"/>
        <v>No Cumple</v>
      </c>
      <c r="U192" s="5">
        <f t="shared" si="45"/>
        <v>0</v>
      </c>
      <c r="V192" s="5">
        <f t="shared" si="46"/>
        <v>50000</v>
      </c>
      <c r="W192" s="4">
        <f>+VLOOKUP(C192,Indicadores!B:V,21,FALSE)</f>
        <v>0.45945000000000003</v>
      </c>
      <c r="X192" s="35" t="str">
        <f t="shared" si="47"/>
        <v>No Cumple</v>
      </c>
      <c r="Y192" s="2">
        <f t="shared" si="48"/>
        <v>0</v>
      </c>
      <c r="Z192" s="5" t="str">
        <f t="shared" si="49"/>
        <v>NO</v>
      </c>
      <c r="AA192" s="5">
        <f t="shared" si="50"/>
        <v>0</v>
      </c>
      <c r="AB192" s="1"/>
    </row>
    <row r="193" spans="2:28" x14ac:dyDescent="0.25">
      <c r="B193" s="1" t="s">
        <v>233</v>
      </c>
      <c r="C193" s="1" t="s">
        <v>198</v>
      </c>
      <c r="D193" s="1" t="s">
        <v>242</v>
      </c>
      <c r="E193" s="1" t="s">
        <v>211</v>
      </c>
      <c r="F193" s="2">
        <f t="shared" si="35"/>
        <v>0</v>
      </c>
      <c r="G193" s="4">
        <f>+VLOOKUP(C193,Indicadores!B:C,2,FALSE)</f>
        <v>0.78000000000000014</v>
      </c>
      <c r="H193" s="1" t="str">
        <f t="shared" si="36"/>
        <v>Cumple</v>
      </c>
      <c r="I193" s="5">
        <f t="shared" si="37"/>
        <v>0</v>
      </c>
      <c r="J193" s="9">
        <f t="shared" si="38"/>
        <v>0</v>
      </c>
      <c r="K193" s="4">
        <f>+VLOOKUP(C193,Indicadores!B:F,5,FALSE)</f>
        <v>1</v>
      </c>
      <c r="L193" s="1" t="str">
        <f t="shared" si="39"/>
        <v>Cumple</v>
      </c>
      <c r="M193" s="5">
        <f t="shared" si="40"/>
        <v>0</v>
      </c>
      <c r="N193" s="9">
        <f t="shared" si="34"/>
        <v>150000</v>
      </c>
      <c r="O193" s="4">
        <f>+VLOOKUP(C193,Indicadores!B:P,14,FALSE)</f>
        <v>0.98</v>
      </c>
      <c r="P193" s="1" t="str">
        <f t="shared" si="41"/>
        <v>Cumple</v>
      </c>
      <c r="Q193" s="5">
        <f t="shared" si="42"/>
        <v>147000</v>
      </c>
      <c r="R193" s="5">
        <f t="shared" si="43"/>
        <v>50000</v>
      </c>
      <c r="S193" s="4">
        <f>+VLOOKUP(C193,Indicadores!B:Q,15,FALSE)</f>
        <v>0.48666666666666664</v>
      </c>
      <c r="T193" s="5" t="str">
        <f t="shared" si="44"/>
        <v>No Cumple</v>
      </c>
      <c r="U193" s="5">
        <f t="shared" si="45"/>
        <v>0</v>
      </c>
      <c r="V193" s="5">
        <f t="shared" si="46"/>
        <v>50000</v>
      </c>
      <c r="W193" s="4">
        <f>+VLOOKUP(C193,Indicadores!B:V,21,FALSE)</f>
        <v>0.49</v>
      </c>
      <c r="X193" s="35" t="str">
        <f t="shared" si="47"/>
        <v>No Cumple</v>
      </c>
      <c r="Y193" s="2">
        <f t="shared" si="48"/>
        <v>0</v>
      </c>
      <c r="Z193" s="5" t="str">
        <f t="shared" si="49"/>
        <v>SI</v>
      </c>
      <c r="AA193" s="5">
        <f t="shared" si="50"/>
        <v>147000</v>
      </c>
      <c r="AB193" s="1"/>
    </row>
    <row r="194" spans="2:28" x14ac:dyDescent="0.25">
      <c r="G194" s="34"/>
      <c r="K194" s="34"/>
      <c r="O194" s="34"/>
    </row>
  </sheetData>
  <mergeCells count="5">
    <mergeCell ref="G4:I4"/>
    <mergeCell ref="J4:M4"/>
    <mergeCell ref="N4:Q4"/>
    <mergeCell ref="R4:U4"/>
    <mergeCell ref="V4:Y4"/>
  </mergeCells>
  <conditionalFormatting sqref="C5:C193">
    <cfRule type="duplicateValues" dxfId="11" priority="4"/>
  </conditionalFormatting>
  <conditionalFormatting sqref="H6:H193">
    <cfRule type="containsText" dxfId="10" priority="3" operator="containsText" text="No Cumple">
      <formula>NOT(ISERROR(SEARCH("No Cumple",H6)))</formula>
    </cfRule>
  </conditionalFormatting>
  <conditionalFormatting sqref="L6:L193">
    <cfRule type="containsText" dxfId="9" priority="2" operator="containsText" text="No Cumple">
      <formula>NOT(ISERROR(SEARCH("No Cumple",L6)))</formula>
    </cfRule>
  </conditionalFormatting>
  <conditionalFormatting sqref="P6:P193">
    <cfRule type="containsText" dxfId="8" priority="1" operator="containsText" text="No Cumple">
      <formula>NOT(ISERROR(SEARCH("No Cumple",P6)))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E4F6-E03E-4ECB-BBF2-34F949B7EEBC}">
  <dimension ref="B1:Y194"/>
  <sheetViews>
    <sheetView showGridLines="0" topLeftCell="G1" zoomScale="70" zoomScaleNormal="70" workbookViewId="0">
      <selection activeCell="T6" sqref="T6:T193"/>
    </sheetView>
  </sheetViews>
  <sheetFormatPr baseColWidth="10" defaultRowHeight="15" x14ac:dyDescent="0.25"/>
  <cols>
    <col min="1" max="1" width="1.28515625" customWidth="1"/>
    <col min="2" max="2" width="19.42578125" customWidth="1"/>
    <col min="3" max="3" width="6.7109375" customWidth="1"/>
    <col min="4" max="4" width="22.7109375" customWidth="1"/>
    <col min="5" max="5" width="26.28515625" customWidth="1"/>
    <col min="6" max="6" width="11.5703125" style="26" customWidth="1"/>
    <col min="7" max="7" width="12.42578125" style="26" customWidth="1"/>
    <col min="8" max="8" width="11.5703125" style="26" customWidth="1"/>
    <col min="9" max="9" width="15.85546875" style="26" customWidth="1"/>
    <col min="10" max="10" width="12.42578125" style="26" customWidth="1"/>
    <col min="11" max="11" width="14.5703125" style="26" customWidth="1"/>
    <col min="12" max="12" width="12.5703125" style="26" customWidth="1"/>
    <col min="13" max="13" width="12.5703125" style="26" bestFit="1" customWidth="1"/>
    <col min="14" max="15" width="13.5703125" style="26" customWidth="1"/>
    <col min="16" max="16" width="17.5703125" style="26" customWidth="1"/>
    <col min="17" max="17" width="13.85546875" style="26" customWidth="1"/>
    <col min="18" max="18" width="13.5703125" style="26" customWidth="1"/>
    <col min="19" max="19" width="16.42578125" style="26" customWidth="1"/>
    <col min="20" max="20" width="15.28515625" style="26" customWidth="1"/>
    <col min="21" max="21" width="13.85546875" style="26" customWidth="1"/>
    <col min="22" max="23" width="13.5703125" style="26" customWidth="1"/>
    <col min="24" max="24" width="19.140625" style="26" customWidth="1"/>
    <col min="25" max="25" width="20.7109375" style="26" customWidth="1"/>
  </cols>
  <sheetData>
    <row r="1" spans="2:25" x14ac:dyDescent="0.25">
      <c r="W1" s="27" t="s">
        <v>246</v>
      </c>
      <c r="X1" s="28">
        <f>+COUNTIF(W6:W193,W1)</f>
        <v>65</v>
      </c>
    </row>
    <row r="2" spans="2:25" ht="21" x14ac:dyDescent="0.35">
      <c r="B2" s="50" t="s">
        <v>299</v>
      </c>
      <c r="W2" s="32" t="s">
        <v>335</v>
      </c>
      <c r="X2" s="52">
        <f>+X1/188</f>
        <v>0.34574468085106386</v>
      </c>
    </row>
    <row r="3" spans="2:25" ht="15.75" x14ac:dyDescent="0.25">
      <c r="B3" s="49"/>
      <c r="G3" s="30" t="s">
        <v>251</v>
      </c>
      <c r="I3" s="30" t="s">
        <v>251</v>
      </c>
      <c r="K3" s="30">
        <v>0.6</v>
      </c>
      <c r="O3" s="30">
        <v>0.2</v>
      </c>
      <c r="S3" s="30">
        <v>0.2</v>
      </c>
      <c r="T3" s="30"/>
    </row>
    <row r="4" spans="2:25" x14ac:dyDescent="0.25">
      <c r="F4" s="32">
        <v>250000</v>
      </c>
      <c r="G4" s="76" t="s">
        <v>222</v>
      </c>
      <c r="H4" s="77"/>
      <c r="I4" s="75"/>
      <c r="J4" s="75"/>
      <c r="K4" s="78" t="s">
        <v>249</v>
      </c>
      <c r="L4" s="79"/>
      <c r="M4" s="79"/>
      <c r="N4" s="79"/>
      <c r="O4" s="82" t="s">
        <v>250</v>
      </c>
      <c r="P4" s="83"/>
      <c r="Q4" s="83"/>
      <c r="R4" s="83"/>
      <c r="S4" s="80" t="s">
        <v>247</v>
      </c>
      <c r="T4" s="81"/>
      <c r="U4" s="81"/>
      <c r="V4" s="81"/>
      <c r="W4" s="33"/>
      <c r="X4" s="33">
        <f>+SUBTOTAL(9,X6:X193)</f>
        <v>5872500</v>
      </c>
    </row>
    <row r="5" spans="2:25" s="43" customFormat="1" ht="45" x14ac:dyDescent="0.25">
      <c r="B5" s="36" t="s">
        <v>0</v>
      </c>
      <c r="C5" s="36" t="s">
        <v>6</v>
      </c>
      <c r="D5" s="36" t="s">
        <v>213</v>
      </c>
      <c r="E5" s="36" t="s">
        <v>212</v>
      </c>
      <c r="F5" s="37" t="s">
        <v>7</v>
      </c>
      <c r="G5" s="38" t="s">
        <v>223</v>
      </c>
      <c r="H5" s="38" t="s">
        <v>287</v>
      </c>
      <c r="I5" s="37" t="s">
        <v>224</v>
      </c>
      <c r="J5" s="37" t="s">
        <v>287</v>
      </c>
      <c r="K5" s="51" t="s">
        <v>265</v>
      </c>
      <c r="L5" s="51" t="s">
        <v>268</v>
      </c>
      <c r="M5" s="51" t="s">
        <v>266</v>
      </c>
      <c r="N5" s="51" t="s">
        <v>3</v>
      </c>
      <c r="O5" s="40" t="s">
        <v>269</v>
      </c>
      <c r="P5" s="40" t="s">
        <v>270</v>
      </c>
      <c r="Q5" s="40" t="s">
        <v>2</v>
      </c>
      <c r="R5" s="40" t="s">
        <v>3</v>
      </c>
      <c r="S5" s="41" t="s">
        <v>276</v>
      </c>
      <c r="T5" s="41" t="s">
        <v>280</v>
      </c>
      <c r="U5" s="41" t="s">
        <v>2</v>
      </c>
      <c r="V5" s="41" t="s">
        <v>3</v>
      </c>
      <c r="W5" s="42" t="s">
        <v>244</v>
      </c>
      <c r="X5" s="42" t="s">
        <v>226</v>
      </c>
      <c r="Y5" s="37" t="s">
        <v>4</v>
      </c>
    </row>
    <row r="6" spans="2:25" x14ac:dyDescent="0.25">
      <c r="B6" s="1" t="s">
        <v>233</v>
      </c>
      <c r="C6" s="1" t="s">
        <v>11</v>
      </c>
      <c r="D6" s="1" t="s">
        <v>241</v>
      </c>
      <c r="E6" s="1" t="s">
        <v>336</v>
      </c>
      <c r="F6" s="2">
        <f>+$F$4</f>
        <v>250000</v>
      </c>
      <c r="G6" s="4">
        <f>+VLOOKUP(C6,Indicadores!B:C,2,FALSE)</f>
        <v>0.8841</v>
      </c>
      <c r="H6" s="1" t="str">
        <f>IF(G6&gt;=80%,"Cumple","No Cumple")</f>
        <v>Cumple</v>
      </c>
      <c r="I6" s="4">
        <f>+VLOOKUP(C6,Indicadores!B:F,5,FALSE)</f>
        <v>1</v>
      </c>
      <c r="J6" s="1" t="str">
        <f>IF(I6&gt;=80%,"Cumple","No Cumple")</f>
        <v>Cumple</v>
      </c>
      <c r="K6" s="9">
        <f t="shared" ref="K6:K37" si="0">+$F$4*$K$3</f>
        <v>150000</v>
      </c>
      <c r="L6" s="4">
        <f>+VLOOKUP(C6,Indicadores!B:P,15,FALSE)</f>
        <v>0.86933333333333318</v>
      </c>
      <c r="M6" s="1" t="str">
        <f>IF(L6&gt;=80%,"Cumple","No Cumple")</f>
        <v>Cumple</v>
      </c>
      <c r="N6" s="5">
        <f>IF(L6=80%,K6*70%,IF(AND(L6&gt;=81%,L6&lt;=90%),K6*80%,IF(AND(L6&gt;=91%,L6&lt;=95%),K6*90%,IF(L6=96%,K6*96%,IF(L6=97%,K6*97%,IF(L6=98%,K6*98%,IF(L6=99%,K6*99%,IF(L6=100%,K6,0))))))))</f>
        <v>120000</v>
      </c>
      <c r="O6" s="5">
        <f t="shared" ref="O6:O37" si="1">+$F$4*$O$3</f>
        <v>50000</v>
      </c>
      <c r="P6" s="4">
        <v>0.95</v>
      </c>
      <c r="Q6" s="5" t="str">
        <f>IF(P6&gt;=80%,"Cumple","No Cumple")</f>
        <v>Cumple</v>
      </c>
      <c r="R6" s="5">
        <f>+O6*95%</f>
        <v>47500</v>
      </c>
      <c r="S6" s="5">
        <f t="shared" ref="S6:S37" si="2">+$F$4*$S$3</f>
        <v>50000</v>
      </c>
      <c r="T6" s="4">
        <f>+VLOOKUP(C6,Indicadores!B:V,21,FALSE)</f>
        <v>0.48899999999999999</v>
      </c>
      <c r="U6" s="35" t="str">
        <f>IF(T6&gt;=100%,"Cumple","No Cumple")</f>
        <v>No Cumple</v>
      </c>
      <c r="V6" s="2">
        <f>IF(T6=100%,S6,0)</f>
        <v>0</v>
      </c>
      <c r="W6" s="5" t="str">
        <f>IF(AND(G6&gt;=80%,I6&gt;=80%),"SI","NO")</f>
        <v>SI</v>
      </c>
      <c r="X6" s="5">
        <f>+IF(W6="SI",N6+R6+V6,0)</f>
        <v>167500</v>
      </c>
      <c r="Y6" s="1"/>
    </row>
    <row r="7" spans="2:25" x14ac:dyDescent="0.25">
      <c r="B7" s="1" t="s">
        <v>233</v>
      </c>
      <c r="C7" s="1" t="s">
        <v>12</v>
      </c>
      <c r="D7" s="1" t="s">
        <v>241</v>
      </c>
      <c r="E7" s="1" t="s">
        <v>336</v>
      </c>
      <c r="F7" s="2">
        <f t="shared" ref="F7:F70" si="3">+$F$4</f>
        <v>250000</v>
      </c>
      <c r="G7" s="4">
        <f>+VLOOKUP(C7,Indicadores!B:C,2,FALSE)</f>
        <v>0.75190000000000012</v>
      </c>
      <c r="H7" s="1" t="str">
        <f t="shared" ref="H7:H70" si="4">IF(G7&gt;=80%,"Cumple","No Cumple")</f>
        <v>No Cumple</v>
      </c>
      <c r="I7" s="4">
        <f>+VLOOKUP(C7,Indicadores!B:F,5,FALSE)</f>
        <v>1</v>
      </c>
      <c r="J7" s="1" t="str">
        <f t="shared" ref="J7:J70" si="5">IF(I7&gt;=80%,"Cumple","No Cumple")</f>
        <v>Cumple</v>
      </c>
      <c r="K7" s="9">
        <f t="shared" si="0"/>
        <v>150000</v>
      </c>
      <c r="L7" s="4">
        <f>+VLOOKUP(C7,Indicadores!B:P,15,FALSE)</f>
        <v>0.40476666666666666</v>
      </c>
      <c r="M7" s="1" t="str">
        <f t="shared" ref="M7:M70" si="6">IF(L7&gt;=80%,"Cumple","No Cumple")</f>
        <v>No Cumple</v>
      </c>
      <c r="N7" s="5">
        <f t="shared" ref="N7:N70" si="7">IF(L7=80%,K7*70%,IF(AND(L7&gt;=81%,L7&lt;=90%),K7*80%,IF(AND(L7&gt;=91%,L7&lt;=95%),K7*90%,IF(L7=96%,K7*96%,IF(L7=97%,K7*97%,IF(L7=98%,K7*98%,IF(L7=99%,K7*99%,IF(L7=100%,K7,0))))))))</f>
        <v>0</v>
      </c>
      <c r="O7" s="5">
        <f t="shared" si="1"/>
        <v>50000</v>
      </c>
      <c r="P7" s="4">
        <v>0.95</v>
      </c>
      <c r="Q7" s="5" t="str">
        <f t="shared" ref="Q7:Q70" si="8">IF(P7&gt;=80%,"Cumple","No Cumple")</f>
        <v>Cumple</v>
      </c>
      <c r="R7" s="5">
        <f t="shared" ref="R7:R70" si="9">+O7*95%</f>
        <v>47500</v>
      </c>
      <c r="S7" s="5">
        <f t="shared" si="2"/>
        <v>50000</v>
      </c>
      <c r="T7" s="4">
        <f>+VLOOKUP(C7,Indicadores!B:V,21,FALSE)</f>
        <v>1</v>
      </c>
      <c r="U7" s="35" t="str">
        <f t="shared" ref="U7:U70" si="10">IF(T7&gt;=100%,"Cumple","No Cumple")</f>
        <v>Cumple</v>
      </c>
      <c r="V7" s="2">
        <f t="shared" ref="V7:V70" si="11">IF(T7=100%,S7,0)</f>
        <v>50000</v>
      </c>
      <c r="W7" s="5" t="str">
        <f t="shared" ref="W7:W70" si="12">IF(AND(G7&gt;=80%,I7&gt;=80%),"SI","NO")</f>
        <v>NO</v>
      </c>
      <c r="X7" s="5">
        <f t="shared" ref="X7:X70" si="13">+IF(W7="SI",N7+R7+V7,0)</f>
        <v>0</v>
      </c>
      <c r="Y7" s="1"/>
    </row>
    <row r="8" spans="2:25" x14ac:dyDescent="0.25">
      <c r="B8" s="1" t="s">
        <v>233</v>
      </c>
      <c r="C8" s="1" t="s">
        <v>13</v>
      </c>
      <c r="D8" s="1" t="s">
        <v>241</v>
      </c>
      <c r="E8" s="1" t="s">
        <v>336</v>
      </c>
      <c r="F8" s="2">
        <f t="shared" si="3"/>
        <v>250000</v>
      </c>
      <c r="G8" s="4">
        <f>+VLOOKUP(C8,Indicadores!B:C,2,FALSE)</f>
        <v>0.7582181818181819</v>
      </c>
      <c r="H8" s="1" t="str">
        <f t="shared" si="4"/>
        <v>No Cumple</v>
      </c>
      <c r="I8" s="4">
        <f>+VLOOKUP(C8,Indicadores!B:F,5,FALSE)</f>
        <v>0.44444444444444442</v>
      </c>
      <c r="J8" s="1" t="str">
        <f t="shared" si="5"/>
        <v>No Cumple</v>
      </c>
      <c r="K8" s="9">
        <f t="shared" si="0"/>
        <v>150000</v>
      </c>
      <c r="L8" s="4">
        <f>+VLOOKUP(C8,Indicadores!B:P,15,FALSE)</f>
        <v>0.39656666666666668</v>
      </c>
      <c r="M8" s="1" t="str">
        <f t="shared" si="6"/>
        <v>No Cumple</v>
      </c>
      <c r="N8" s="5">
        <f t="shared" si="7"/>
        <v>0</v>
      </c>
      <c r="O8" s="5">
        <f t="shared" si="1"/>
        <v>50000</v>
      </c>
      <c r="P8" s="4">
        <v>0.95</v>
      </c>
      <c r="Q8" s="5" t="str">
        <f t="shared" si="8"/>
        <v>Cumple</v>
      </c>
      <c r="R8" s="5">
        <f t="shared" si="9"/>
        <v>47500</v>
      </c>
      <c r="S8" s="5">
        <f t="shared" si="2"/>
        <v>50000</v>
      </c>
      <c r="T8" s="4">
        <f>+VLOOKUP(C8,Indicadores!B:V,21,FALSE)</f>
        <v>0.48935000000000001</v>
      </c>
      <c r="U8" s="35" t="str">
        <f t="shared" si="10"/>
        <v>No Cumple</v>
      </c>
      <c r="V8" s="2">
        <f t="shared" si="11"/>
        <v>0</v>
      </c>
      <c r="W8" s="5" t="str">
        <f t="shared" si="12"/>
        <v>NO</v>
      </c>
      <c r="X8" s="5">
        <f t="shared" si="13"/>
        <v>0</v>
      </c>
      <c r="Y8" s="1"/>
    </row>
    <row r="9" spans="2:25" x14ac:dyDescent="0.25">
      <c r="B9" s="1" t="s">
        <v>233</v>
      </c>
      <c r="C9" s="1" t="s">
        <v>14</v>
      </c>
      <c r="D9" s="1" t="s">
        <v>241</v>
      </c>
      <c r="E9" s="1" t="s">
        <v>336</v>
      </c>
      <c r="F9" s="2">
        <f t="shared" si="3"/>
        <v>250000</v>
      </c>
      <c r="G9" s="4">
        <f>+VLOOKUP(C9,Indicadores!B:C,2,FALSE)</f>
        <v>0.70937272727272738</v>
      </c>
      <c r="H9" s="1" t="str">
        <f t="shared" si="4"/>
        <v>No Cumple</v>
      </c>
      <c r="I9" s="4">
        <f>+VLOOKUP(C9,Indicadores!B:F,5,FALSE)</f>
        <v>0.82608695652173914</v>
      </c>
      <c r="J9" s="1" t="str">
        <f t="shared" si="5"/>
        <v>Cumple</v>
      </c>
      <c r="K9" s="9">
        <f t="shared" si="0"/>
        <v>150000</v>
      </c>
      <c r="L9" s="4">
        <f>+VLOOKUP(C9,Indicadores!B:P,15,FALSE)</f>
        <v>0.35353333333333331</v>
      </c>
      <c r="M9" s="1" t="str">
        <f t="shared" si="6"/>
        <v>No Cumple</v>
      </c>
      <c r="N9" s="5">
        <f t="shared" si="7"/>
        <v>0</v>
      </c>
      <c r="O9" s="5">
        <f t="shared" si="1"/>
        <v>50000</v>
      </c>
      <c r="P9" s="4">
        <v>0.95</v>
      </c>
      <c r="Q9" s="5" t="str">
        <f t="shared" si="8"/>
        <v>Cumple</v>
      </c>
      <c r="R9" s="5">
        <f t="shared" si="9"/>
        <v>47500</v>
      </c>
      <c r="S9" s="5">
        <f t="shared" si="2"/>
        <v>50000</v>
      </c>
      <c r="T9" s="4">
        <f>+VLOOKUP(C9,Indicadores!B:V,21,FALSE)</f>
        <v>0.46970000000000001</v>
      </c>
      <c r="U9" s="35" t="str">
        <f t="shared" si="10"/>
        <v>No Cumple</v>
      </c>
      <c r="V9" s="2">
        <f t="shared" si="11"/>
        <v>0</v>
      </c>
      <c r="W9" s="5" t="str">
        <f t="shared" si="12"/>
        <v>NO</v>
      </c>
      <c r="X9" s="5">
        <f t="shared" si="13"/>
        <v>0</v>
      </c>
      <c r="Y9" s="1"/>
    </row>
    <row r="10" spans="2:25" x14ac:dyDescent="0.25">
      <c r="B10" s="1" t="s">
        <v>233</v>
      </c>
      <c r="C10" s="1" t="s">
        <v>15</v>
      </c>
      <c r="D10" s="1" t="s">
        <v>241</v>
      </c>
      <c r="E10" s="1" t="s">
        <v>336</v>
      </c>
      <c r="F10" s="2">
        <f t="shared" si="3"/>
        <v>250000</v>
      </c>
      <c r="G10" s="4">
        <f>+VLOOKUP(C10,Indicadores!B:C,2,FALSE)</f>
        <v>0.75084545454545448</v>
      </c>
      <c r="H10" s="1" t="str">
        <f t="shared" si="4"/>
        <v>No Cumple</v>
      </c>
      <c r="I10" s="4">
        <f>+VLOOKUP(C10,Indicadores!B:F,5,FALSE)</f>
        <v>1</v>
      </c>
      <c r="J10" s="1" t="str">
        <f t="shared" si="5"/>
        <v>Cumple</v>
      </c>
      <c r="K10" s="9">
        <f t="shared" si="0"/>
        <v>150000</v>
      </c>
      <c r="L10" s="4">
        <f>+VLOOKUP(C10,Indicadores!B:P,15,FALSE)</f>
        <v>0.53333333333333333</v>
      </c>
      <c r="M10" s="1" t="str">
        <f t="shared" si="6"/>
        <v>No Cumple</v>
      </c>
      <c r="N10" s="5">
        <f t="shared" si="7"/>
        <v>0</v>
      </c>
      <c r="O10" s="5">
        <f t="shared" si="1"/>
        <v>50000</v>
      </c>
      <c r="P10" s="4">
        <v>0.95</v>
      </c>
      <c r="Q10" s="5" t="str">
        <f t="shared" si="8"/>
        <v>Cumple</v>
      </c>
      <c r="R10" s="5">
        <f t="shared" si="9"/>
        <v>47500</v>
      </c>
      <c r="S10" s="5">
        <f t="shared" si="2"/>
        <v>50000</v>
      </c>
      <c r="T10" s="4">
        <f>+VLOOKUP(C10,Indicadores!B:V,21,FALSE)</f>
        <v>1</v>
      </c>
      <c r="U10" s="35" t="str">
        <f t="shared" si="10"/>
        <v>Cumple</v>
      </c>
      <c r="V10" s="2">
        <f t="shared" si="11"/>
        <v>50000</v>
      </c>
      <c r="W10" s="5" t="str">
        <f t="shared" si="12"/>
        <v>NO</v>
      </c>
      <c r="X10" s="5">
        <f t="shared" si="13"/>
        <v>0</v>
      </c>
      <c r="Y10" s="1"/>
    </row>
    <row r="11" spans="2:25" x14ac:dyDescent="0.25">
      <c r="B11" s="1" t="s">
        <v>233</v>
      </c>
      <c r="C11" s="1" t="s">
        <v>16</v>
      </c>
      <c r="D11" s="1" t="s">
        <v>241</v>
      </c>
      <c r="E11" s="1" t="s">
        <v>336</v>
      </c>
      <c r="F11" s="2">
        <f t="shared" si="3"/>
        <v>250000</v>
      </c>
      <c r="G11" s="4">
        <f>+VLOOKUP(C11,Indicadores!B:C,2,FALSE)</f>
        <v>0.4869</v>
      </c>
      <c r="H11" s="1" t="str">
        <f t="shared" si="4"/>
        <v>No Cumple</v>
      </c>
      <c r="I11" s="4">
        <f>+VLOOKUP(C11,Indicadores!B:F,5,FALSE)</f>
        <v>1</v>
      </c>
      <c r="J11" s="1" t="str">
        <f t="shared" si="5"/>
        <v>Cumple</v>
      </c>
      <c r="K11" s="9">
        <f t="shared" si="0"/>
        <v>150000</v>
      </c>
      <c r="L11" s="4">
        <f>+VLOOKUP(C11,Indicadores!B:P,15,FALSE)</f>
        <v>0.30066666666666669</v>
      </c>
      <c r="M11" s="1" t="str">
        <f t="shared" si="6"/>
        <v>No Cumple</v>
      </c>
      <c r="N11" s="5">
        <f t="shared" si="7"/>
        <v>0</v>
      </c>
      <c r="O11" s="5">
        <f t="shared" si="1"/>
        <v>50000</v>
      </c>
      <c r="P11" s="4">
        <v>0.95</v>
      </c>
      <c r="Q11" s="5" t="str">
        <f t="shared" si="8"/>
        <v>Cumple</v>
      </c>
      <c r="R11" s="5">
        <f t="shared" si="9"/>
        <v>47500</v>
      </c>
      <c r="S11" s="5">
        <f t="shared" si="2"/>
        <v>50000</v>
      </c>
      <c r="T11" s="4">
        <f>+VLOOKUP(C11,Indicadores!B:V,21,FALSE)</f>
        <v>0.38984999999999997</v>
      </c>
      <c r="U11" s="35" t="str">
        <f t="shared" si="10"/>
        <v>No Cumple</v>
      </c>
      <c r="V11" s="2">
        <f t="shared" si="11"/>
        <v>0</v>
      </c>
      <c r="W11" s="5" t="str">
        <f t="shared" si="12"/>
        <v>NO</v>
      </c>
      <c r="X11" s="5">
        <f t="shared" si="13"/>
        <v>0</v>
      </c>
      <c r="Y11" s="1"/>
    </row>
    <row r="12" spans="2:25" x14ac:dyDescent="0.25">
      <c r="B12" s="1" t="s">
        <v>233</v>
      </c>
      <c r="C12" s="1" t="s">
        <v>17</v>
      </c>
      <c r="D12" s="1" t="s">
        <v>241</v>
      </c>
      <c r="E12" s="1" t="s">
        <v>336</v>
      </c>
      <c r="F12" s="2">
        <f t="shared" si="3"/>
        <v>250000</v>
      </c>
      <c r="G12" s="4">
        <f>+VLOOKUP(C12,Indicadores!B:C,2,FALSE)</f>
        <v>0.78221818181818181</v>
      </c>
      <c r="H12" s="1" t="str">
        <f t="shared" si="4"/>
        <v>No Cumple</v>
      </c>
      <c r="I12" s="4">
        <f>+VLOOKUP(C12,Indicadores!B:F,5,FALSE)</f>
        <v>1</v>
      </c>
      <c r="J12" s="1" t="str">
        <f t="shared" si="5"/>
        <v>Cumple</v>
      </c>
      <c r="K12" s="9">
        <f t="shared" si="0"/>
        <v>150000</v>
      </c>
      <c r="L12" s="4">
        <f>+VLOOKUP(C12,Indicadores!B:P,15,FALSE)</f>
        <v>0.56656666666666666</v>
      </c>
      <c r="M12" s="1" t="str">
        <f t="shared" si="6"/>
        <v>No Cumple</v>
      </c>
      <c r="N12" s="5">
        <f t="shared" si="7"/>
        <v>0</v>
      </c>
      <c r="O12" s="5">
        <f t="shared" si="1"/>
        <v>50000</v>
      </c>
      <c r="P12" s="4">
        <v>0.95</v>
      </c>
      <c r="Q12" s="5" t="str">
        <f t="shared" si="8"/>
        <v>Cumple</v>
      </c>
      <c r="R12" s="5">
        <f t="shared" si="9"/>
        <v>47500</v>
      </c>
      <c r="S12" s="5">
        <f t="shared" si="2"/>
        <v>50000</v>
      </c>
      <c r="T12" s="4">
        <f>+VLOOKUP(C12,Indicadores!B:V,21,FALSE)</f>
        <v>0.4945</v>
      </c>
      <c r="U12" s="35" t="str">
        <f t="shared" si="10"/>
        <v>No Cumple</v>
      </c>
      <c r="V12" s="2">
        <f t="shared" si="11"/>
        <v>0</v>
      </c>
      <c r="W12" s="5" t="str">
        <f t="shared" si="12"/>
        <v>NO</v>
      </c>
      <c r="X12" s="5">
        <f t="shared" si="13"/>
        <v>0</v>
      </c>
      <c r="Y12" s="1"/>
    </row>
    <row r="13" spans="2:25" x14ac:dyDescent="0.25">
      <c r="B13" s="1" t="s">
        <v>233</v>
      </c>
      <c r="C13" s="1" t="s">
        <v>18</v>
      </c>
      <c r="D13" s="1" t="s">
        <v>241</v>
      </c>
      <c r="E13" s="1" t="s">
        <v>336</v>
      </c>
      <c r="F13" s="2">
        <f t="shared" si="3"/>
        <v>250000</v>
      </c>
      <c r="G13" s="4">
        <f>+VLOOKUP(C13,Indicadores!B:C,2,FALSE)</f>
        <v>0.75439999999999996</v>
      </c>
      <c r="H13" s="1" t="str">
        <f t="shared" si="4"/>
        <v>No Cumple</v>
      </c>
      <c r="I13" s="4">
        <f>+VLOOKUP(C13,Indicadores!B:F,5,FALSE)</f>
        <v>0.9285714285714286</v>
      </c>
      <c r="J13" s="1" t="str">
        <f t="shared" si="5"/>
        <v>Cumple</v>
      </c>
      <c r="K13" s="9">
        <f t="shared" si="0"/>
        <v>150000</v>
      </c>
      <c r="L13" s="4">
        <f>+VLOOKUP(C13,Indicadores!B:P,15,FALSE)</f>
        <v>0.36899999999999999</v>
      </c>
      <c r="M13" s="1" t="str">
        <f t="shared" si="6"/>
        <v>No Cumple</v>
      </c>
      <c r="N13" s="5">
        <f t="shared" si="7"/>
        <v>0</v>
      </c>
      <c r="O13" s="5">
        <f t="shared" si="1"/>
        <v>50000</v>
      </c>
      <c r="P13" s="4">
        <v>0.95</v>
      </c>
      <c r="Q13" s="5" t="str">
        <f t="shared" si="8"/>
        <v>Cumple</v>
      </c>
      <c r="R13" s="5">
        <f t="shared" si="9"/>
        <v>47500</v>
      </c>
      <c r="S13" s="5">
        <f t="shared" si="2"/>
        <v>50000</v>
      </c>
      <c r="T13" s="4">
        <f>+VLOOKUP(C13,Indicadores!B:V,21,FALSE)</f>
        <v>0.94030000000000002</v>
      </c>
      <c r="U13" s="35" t="str">
        <f t="shared" si="10"/>
        <v>No Cumple</v>
      </c>
      <c r="V13" s="2">
        <f t="shared" si="11"/>
        <v>0</v>
      </c>
      <c r="W13" s="5" t="str">
        <f t="shared" si="12"/>
        <v>NO</v>
      </c>
      <c r="X13" s="5">
        <f t="shared" si="13"/>
        <v>0</v>
      </c>
      <c r="Y13" s="1"/>
    </row>
    <row r="14" spans="2:25" x14ac:dyDescent="0.25">
      <c r="B14" s="1" t="s">
        <v>233</v>
      </c>
      <c r="C14" s="1" t="s">
        <v>19</v>
      </c>
      <c r="D14" s="1" t="s">
        <v>242</v>
      </c>
      <c r="E14" s="1" t="s">
        <v>302</v>
      </c>
      <c r="F14" s="2">
        <f t="shared" si="3"/>
        <v>250000</v>
      </c>
      <c r="G14" s="4">
        <f>+VLOOKUP(C14,Indicadores!B:C,2,FALSE)</f>
        <v>0.73967272727272726</v>
      </c>
      <c r="H14" s="1" t="str">
        <f t="shared" si="4"/>
        <v>No Cumple</v>
      </c>
      <c r="I14" s="4">
        <f>+VLOOKUP(C14,Indicadores!B:F,5,FALSE)</f>
        <v>0.5</v>
      </c>
      <c r="J14" s="1" t="str">
        <f t="shared" si="5"/>
        <v>No Cumple</v>
      </c>
      <c r="K14" s="9">
        <f t="shared" si="0"/>
        <v>150000</v>
      </c>
      <c r="L14" s="4">
        <f>+VLOOKUP(C14,Indicadores!B:P,15,FALSE)</f>
        <v>0.66163333333333341</v>
      </c>
      <c r="M14" s="1" t="str">
        <f t="shared" si="6"/>
        <v>No Cumple</v>
      </c>
      <c r="N14" s="5">
        <f t="shared" si="7"/>
        <v>0</v>
      </c>
      <c r="O14" s="5">
        <f t="shared" si="1"/>
        <v>50000</v>
      </c>
      <c r="P14" s="4">
        <v>0.95</v>
      </c>
      <c r="Q14" s="5" t="str">
        <f t="shared" si="8"/>
        <v>Cumple</v>
      </c>
      <c r="R14" s="5">
        <f t="shared" si="9"/>
        <v>47500</v>
      </c>
      <c r="S14" s="5">
        <f t="shared" si="2"/>
        <v>50000</v>
      </c>
      <c r="T14" s="4">
        <f>+VLOOKUP(C14,Indicadores!B:V,21,FALSE)</f>
        <v>0.40910000000000002</v>
      </c>
      <c r="U14" s="35" t="str">
        <f t="shared" si="10"/>
        <v>No Cumple</v>
      </c>
      <c r="V14" s="2">
        <f t="shared" si="11"/>
        <v>0</v>
      </c>
      <c r="W14" s="5" t="str">
        <f t="shared" si="12"/>
        <v>NO</v>
      </c>
      <c r="X14" s="5">
        <f t="shared" si="13"/>
        <v>0</v>
      </c>
      <c r="Y14" s="1"/>
    </row>
    <row r="15" spans="2:25" x14ac:dyDescent="0.25">
      <c r="B15" s="1" t="s">
        <v>233</v>
      </c>
      <c r="C15" s="1" t="s">
        <v>20</v>
      </c>
      <c r="D15" s="1" t="s">
        <v>242</v>
      </c>
      <c r="E15" s="1" t="s">
        <v>302</v>
      </c>
      <c r="F15" s="2">
        <f t="shared" si="3"/>
        <v>250000</v>
      </c>
      <c r="G15" s="4">
        <f>+VLOOKUP(C15,Indicadores!B:C,2,FALSE)</f>
        <v>0.27650909090909087</v>
      </c>
      <c r="H15" s="1" t="str">
        <f t="shared" si="4"/>
        <v>No Cumple</v>
      </c>
      <c r="I15" s="4">
        <f>+VLOOKUP(C15,Indicadores!B:F,5,FALSE)</f>
        <v>1</v>
      </c>
      <c r="J15" s="1" t="str">
        <f t="shared" si="5"/>
        <v>Cumple</v>
      </c>
      <c r="K15" s="9">
        <f t="shared" si="0"/>
        <v>150000</v>
      </c>
      <c r="L15" s="4">
        <f>+VLOOKUP(C15,Indicadores!B:P,15,FALSE)</f>
        <v>0.11109999999999999</v>
      </c>
      <c r="M15" s="1" t="str">
        <f t="shared" si="6"/>
        <v>No Cumple</v>
      </c>
      <c r="N15" s="5">
        <f t="shared" si="7"/>
        <v>0</v>
      </c>
      <c r="O15" s="5">
        <f t="shared" si="1"/>
        <v>50000</v>
      </c>
      <c r="P15" s="4">
        <v>0.95</v>
      </c>
      <c r="Q15" s="5" t="str">
        <f t="shared" si="8"/>
        <v>Cumple</v>
      </c>
      <c r="R15" s="5">
        <f t="shared" si="9"/>
        <v>47500</v>
      </c>
      <c r="S15" s="5">
        <f t="shared" si="2"/>
        <v>50000</v>
      </c>
      <c r="T15" s="4">
        <f>+VLOOKUP(C15,Indicadores!B:V,21,FALSE)</f>
        <v>0.375</v>
      </c>
      <c r="U15" s="35" t="str">
        <f t="shared" si="10"/>
        <v>No Cumple</v>
      </c>
      <c r="V15" s="2">
        <f t="shared" si="11"/>
        <v>0</v>
      </c>
      <c r="W15" s="5" t="str">
        <f t="shared" si="12"/>
        <v>NO</v>
      </c>
      <c r="X15" s="5">
        <f t="shared" si="13"/>
        <v>0</v>
      </c>
      <c r="Y15" s="1"/>
    </row>
    <row r="16" spans="2:25" x14ac:dyDescent="0.25">
      <c r="B16" s="1" t="s">
        <v>233</v>
      </c>
      <c r="C16" s="1" t="s">
        <v>21</v>
      </c>
      <c r="D16" s="1" t="s">
        <v>241</v>
      </c>
      <c r="E16" s="1" t="s">
        <v>336</v>
      </c>
      <c r="F16" s="2">
        <f t="shared" si="3"/>
        <v>250000</v>
      </c>
      <c r="G16" s="4">
        <f>+VLOOKUP(C16,Indicadores!B:C,2,FALSE)</f>
        <v>0.76430909090909083</v>
      </c>
      <c r="H16" s="1" t="str">
        <f t="shared" si="4"/>
        <v>No Cumple</v>
      </c>
      <c r="I16" s="4">
        <f>+VLOOKUP(C16,Indicadores!B:F,5,FALSE)</f>
        <v>1</v>
      </c>
      <c r="J16" s="1" t="str">
        <f t="shared" si="5"/>
        <v>Cumple</v>
      </c>
      <c r="K16" s="9">
        <f t="shared" si="0"/>
        <v>150000</v>
      </c>
      <c r="L16" s="4">
        <f>+VLOOKUP(C16,Indicadores!B:P,15,FALSE)</f>
        <v>0.66666666666666663</v>
      </c>
      <c r="M16" s="1" t="str">
        <f t="shared" si="6"/>
        <v>No Cumple</v>
      </c>
      <c r="N16" s="5">
        <f t="shared" si="7"/>
        <v>0</v>
      </c>
      <c r="O16" s="5">
        <f t="shared" si="1"/>
        <v>50000</v>
      </c>
      <c r="P16" s="4">
        <v>0.95</v>
      </c>
      <c r="Q16" s="5" t="str">
        <f t="shared" si="8"/>
        <v>Cumple</v>
      </c>
      <c r="R16" s="5">
        <f t="shared" si="9"/>
        <v>47500</v>
      </c>
      <c r="S16" s="5">
        <f t="shared" si="2"/>
        <v>50000</v>
      </c>
      <c r="T16" s="4">
        <f>+VLOOKUP(C16,Indicadores!B:V,21,FALSE)</f>
        <v>1</v>
      </c>
      <c r="U16" s="35" t="str">
        <f t="shared" si="10"/>
        <v>Cumple</v>
      </c>
      <c r="V16" s="2">
        <f t="shared" si="11"/>
        <v>50000</v>
      </c>
      <c r="W16" s="5" t="str">
        <f t="shared" si="12"/>
        <v>NO</v>
      </c>
      <c r="X16" s="5">
        <f t="shared" si="13"/>
        <v>0</v>
      </c>
      <c r="Y16" s="1"/>
    </row>
    <row r="17" spans="2:25" x14ac:dyDescent="0.25">
      <c r="B17" s="1" t="s">
        <v>233</v>
      </c>
      <c r="C17" s="1" t="s">
        <v>22</v>
      </c>
      <c r="D17" s="1" t="s">
        <v>241</v>
      </c>
      <c r="E17" s="1" t="s">
        <v>336</v>
      </c>
      <c r="F17" s="2">
        <f t="shared" si="3"/>
        <v>250000</v>
      </c>
      <c r="G17" s="4">
        <f>+VLOOKUP(C17,Indicadores!B:C,2,FALSE)</f>
        <v>0.73865454545454545</v>
      </c>
      <c r="H17" s="1" t="str">
        <f t="shared" si="4"/>
        <v>No Cumple</v>
      </c>
      <c r="I17" s="4">
        <f>+VLOOKUP(C17,Indicadores!B:F,5,FALSE)</f>
        <v>1</v>
      </c>
      <c r="J17" s="1" t="str">
        <f t="shared" si="5"/>
        <v>Cumple</v>
      </c>
      <c r="K17" s="9">
        <f t="shared" si="0"/>
        <v>150000</v>
      </c>
      <c r="L17" s="4">
        <f>+VLOOKUP(C17,Indicadores!B:P,15,FALSE)</f>
        <v>0.30556666666666665</v>
      </c>
      <c r="M17" s="1" t="str">
        <f t="shared" si="6"/>
        <v>No Cumple</v>
      </c>
      <c r="N17" s="5">
        <f t="shared" si="7"/>
        <v>0</v>
      </c>
      <c r="O17" s="5">
        <f t="shared" si="1"/>
        <v>50000</v>
      </c>
      <c r="P17" s="4">
        <v>0.95</v>
      </c>
      <c r="Q17" s="5" t="str">
        <f t="shared" si="8"/>
        <v>Cumple</v>
      </c>
      <c r="R17" s="5">
        <f t="shared" si="9"/>
        <v>47500</v>
      </c>
      <c r="S17" s="5">
        <f t="shared" si="2"/>
        <v>50000</v>
      </c>
      <c r="T17" s="4">
        <f>+VLOOKUP(C17,Indicadores!B:V,21,FALSE)</f>
        <v>0.91669999999999996</v>
      </c>
      <c r="U17" s="35" t="str">
        <f t="shared" si="10"/>
        <v>No Cumple</v>
      </c>
      <c r="V17" s="2">
        <f t="shared" si="11"/>
        <v>0</v>
      </c>
      <c r="W17" s="5" t="str">
        <f t="shared" si="12"/>
        <v>NO</v>
      </c>
      <c r="X17" s="5">
        <f t="shared" si="13"/>
        <v>0</v>
      </c>
      <c r="Y17" s="1"/>
    </row>
    <row r="18" spans="2:25" x14ac:dyDescent="0.25">
      <c r="B18" s="1" t="s">
        <v>233</v>
      </c>
      <c r="C18" s="1" t="s">
        <v>23</v>
      </c>
      <c r="D18" s="1" t="s">
        <v>241</v>
      </c>
      <c r="E18" s="1" t="s">
        <v>336</v>
      </c>
      <c r="F18" s="2">
        <f t="shared" si="3"/>
        <v>250000</v>
      </c>
      <c r="G18" s="4">
        <f>+VLOOKUP(C18,Indicadores!B:C,2,FALSE)</f>
        <v>0.76424545454545456</v>
      </c>
      <c r="H18" s="1" t="str">
        <f t="shared" si="4"/>
        <v>No Cumple</v>
      </c>
      <c r="I18" s="4">
        <f>+VLOOKUP(C18,Indicadores!B:F,5,FALSE)</f>
        <v>1</v>
      </c>
      <c r="J18" s="1" t="str">
        <f t="shared" si="5"/>
        <v>Cumple</v>
      </c>
      <c r="K18" s="9">
        <f t="shared" si="0"/>
        <v>150000</v>
      </c>
      <c r="L18" s="4">
        <f>+VLOOKUP(C18,Indicadores!B:P,15,FALSE)</f>
        <v>0.43973333333333336</v>
      </c>
      <c r="M18" s="1" t="str">
        <f t="shared" si="6"/>
        <v>No Cumple</v>
      </c>
      <c r="N18" s="5">
        <f t="shared" si="7"/>
        <v>0</v>
      </c>
      <c r="O18" s="5">
        <f t="shared" si="1"/>
        <v>50000</v>
      </c>
      <c r="P18" s="4">
        <v>0.95</v>
      </c>
      <c r="Q18" s="5" t="str">
        <f t="shared" si="8"/>
        <v>Cumple</v>
      </c>
      <c r="R18" s="5">
        <f t="shared" si="9"/>
        <v>47500</v>
      </c>
      <c r="S18" s="5">
        <f t="shared" si="2"/>
        <v>50000</v>
      </c>
      <c r="T18" s="4">
        <f>+VLOOKUP(C18,Indicadores!B:V,21,FALSE)</f>
        <v>0.5</v>
      </c>
      <c r="U18" s="35" t="str">
        <f t="shared" si="10"/>
        <v>No Cumple</v>
      </c>
      <c r="V18" s="2">
        <f t="shared" si="11"/>
        <v>0</v>
      </c>
      <c r="W18" s="5" t="str">
        <f t="shared" si="12"/>
        <v>NO</v>
      </c>
      <c r="X18" s="5">
        <f t="shared" si="13"/>
        <v>0</v>
      </c>
      <c r="Y18" s="1"/>
    </row>
    <row r="19" spans="2:25" x14ac:dyDescent="0.25">
      <c r="B19" s="1" t="s">
        <v>233</v>
      </c>
      <c r="C19" s="1" t="s">
        <v>24</v>
      </c>
      <c r="D19" s="1" t="s">
        <v>241</v>
      </c>
      <c r="E19" s="1" t="s">
        <v>336</v>
      </c>
      <c r="F19" s="2">
        <f t="shared" si="3"/>
        <v>250000</v>
      </c>
      <c r="G19" s="4">
        <f>+VLOOKUP(C19,Indicadores!B:C,2,FALSE)</f>
        <v>0.77872727272727282</v>
      </c>
      <c r="H19" s="1" t="str">
        <f t="shared" si="4"/>
        <v>No Cumple</v>
      </c>
      <c r="I19" s="4">
        <f>+VLOOKUP(C19,Indicadores!B:F,5,FALSE)</f>
        <v>0.66666666666666663</v>
      </c>
      <c r="J19" s="1" t="str">
        <f t="shared" si="5"/>
        <v>No Cumple</v>
      </c>
      <c r="K19" s="9">
        <f t="shared" si="0"/>
        <v>150000</v>
      </c>
      <c r="L19" s="4">
        <f>+VLOOKUP(C19,Indicadores!B:P,15,FALSE)</f>
        <v>0.66510000000000002</v>
      </c>
      <c r="M19" s="1" t="str">
        <f t="shared" si="6"/>
        <v>No Cumple</v>
      </c>
      <c r="N19" s="5">
        <f t="shared" si="7"/>
        <v>0</v>
      </c>
      <c r="O19" s="5">
        <f t="shared" si="1"/>
        <v>50000</v>
      </c>
      <c r="P19" s="4">
        <v>0.95</v>
      </c>
      <c r="Q19" s="5" t="str">
        <f t="shared" si="8"/>
        <v>Cumple</v>
      </c>
      <c r="R19" s="5">
        <f t="shared" si="9"/>
        <v>47500</v>
      </c>
      <c r="S19" s="5">
        <f t="shared" si="2"/>
        <v>50000</v>
      </c>
      <c r="T19" s="4">
        <f>+VLOOKUP(C19,Indicadores!B:V,21,FALSE)</f>
        <v>0.5</v>
      </c>
      <c r="U19" s="35" t="str">
        <f t="shared" si="10"/>
        <v>No Cumple</v>
      </c>
      <c r="V19" s="2">
        <f t="shared" si="11"/>
        <v>0</v>
      </c>
      <c r="W19" s="5" t="str">
        <f t="shared" si="12"/>
        <v>NO</v>
      </c>
      <c r="X19" s="5">
        <f t="shared" si="13"/>
        <v>0</v>
      </c>
      <c r="Y19" s="1"/>
    </row>
    <row r="20" spans="2:25" x14ac:dyDescent="0.25">
      <c r="B20" s="1" t="s">
        <v>233</v>
      </c>
      <c r="C20" s="1" t="s">
        <v>25</v>
      </c>
      <c r="D20" s="1" t="s">
        <v>241</v>
      </c>
      <c r="E20" s="1" t="s">
        <v>336</v>
      </c>
      <c r="F20" s="2">
        <f t="shared" si="3"/>
        <v>250000</v>
      </c>
      <c r="G20" s="4">
        <f>+VLOOKUP(C20,Indicadores!B:C,2,FALSE)</f>
        <v>0.74007272727272733</v>
      </c>
      <c r="H20" s="1" t="str">
        <f t="shared" si="4"/>
        <v>No Cumple</v>
      </c>
      <c r="I20" s="4">
        <f>+VLOOKUP(C20,Indicadores!B:F,5,FALSE)</f>
        <v>0.83333333333333337</v>
      </c>
      <c r="J20" s="1" t="str">
        <f t="shared" si="5"/>
        <v>Cumple</v>
      </c>
      <c r="K20" s="9">
        <f t="shared" si="0"/>
        <v>150000</v>
      </c>
      <c r="L20" s="4">
        <f>+VLOOKUP(C20,Indicadores!B:P,15,FALSE)</f>
        <v>0.33333333333333331</v>
      </c>
      <c r="M20" s="1" t="str">
        <f t="shared" si="6"/>
        <v>No Cumple</v>
      </c>
      <c r="N20" s="5">
        <f t="shared" si="7"/>
        <v>0</v>
      </c>
      <c r="O20" s="5">
        <f t="shared" si="1"/>
        <v>50000</v>
      </c>
      <c r="P20" s="4">
        <v>0.95</v>
      </c>
      <c r="Q20" s="5" t="str">
        <f t="shared" si="8"/>
        <v>Cumple</v>
      </c>
      <c r="R20" s="5">
        <f t="shared" si="9"/>
        <v>47500</v>
      </c>
      <c r="S20" s="5">
        <f t="shared" si="2"/>
        <v>50000</v>
      </c>
      <c r="T20" s="4">
        <f>+VLOOKUP(C20,Indicadores!B:V,21,FALSE)</f>
        <v>0.49220000000000003</v>
      </c>
      <c r="U20" s="35" t="str">
        <f t="shared" si="10"/>
        <v>No Cumple</v>
      </c>
      <c r="V20" s="2">
        <f t="shared" si="11"/>
        <v>0</v>
      </c>
      <c r="W20" s="5" t="str">
        <f t="shared" si="12"/>
        <v>NO</v>
      </c>
      <c r="X20" s="5">
        <f t="shared" si="13"/>
        <v>0</v>
      </c>
      <c r="Y20" s="1"/>
    </row>
    <row r="21" spans="2:25" x14ac:dyDescent="0.25">
      <c r="B21" s="1" t="s">
        <v>233</v>
      </c>
      <c r="C21" s="1" t="s">
        <v>26</v>
      </c>
      <c r="D21" s="1" t="s">
        <v>241</v>
      </c>
      <c r="E21" s="1" t="s">
        <v>336</v>
      </c>
      <c r="F21" s="2">
        <f t="shared" si="3"/>
        <v>250000</v>
      </c>
      <c r="G21" s="4">
        <f>+VLOOKUP(C21,Indicadores!B:C,2,FALSE)</f>
        <v>0.75609090909090915</v>
      </c>
      <c r="H21" s="1" t="str">
        <f t="shared" si="4"/>
        <v>No Cumple</v>
      </c>
      <c r="I21" s="4">
        <f>+VLOOKUP(C21,Indicadores!B:F,5,FALSE)</f>
        <v>1</v>
      </c>
      <c r="J21" s="1" t="str">
        <f t="shared" si="5"/>
        <v>Cumple</v>
      </c>
      <c r="K21" s="9">
        <f t="shared" si="0"/>
        <v>150000</v>
      </c>
      <c r="L21" s="4">
        <f>+VLOOKUP(C21,Indicadores!B:P,15,FALSE)</f>
        <v>0.38210000000000005</v>
      </c>
      <c r="M21" s="1" t="str">
        <f t="shared" si="6"/>
        <v>No Cumple</v>
      </c>
      <c r="N21" s="5">
        <f t="shared" si="7"/>
        <v>0</v>
      </c>
      <c r="O21" s="5">
        <f t="shared" si="1"/>
        <v>50000</v>
      </c>
      <c r="P21" s="4">
        <v>0.95</v>
      </c>
      <c r="Q21" s="5" t="str">
        <f t="shared" si="8"/>
        <v>Cumple</v>
      </c>
      <c r="R21" s="5">
        <f t="shared" si="9"/>
        <v>47500</v>
      </c>
      <c r="S21" s="5">
        <f t="shared" si="2"/>
        <v>50000</v>
      </c>
      <c r="T21" s="4">
        <f>+VLOOKUP(C21,Indicadores!B:V,21,FALSE)</f>
        <v>0.48780000000000001</v>
      </c>
      <c r="U21" s="35" t="str">
        <f t="shared" si="10"/>
        <v>No Cumple</v>
      </c>
      <c r="V21" s="2">
        <f t="shared" si="11"/>
        <v>0</v>
      </c>
      <c r="W21" s="5" t="str">
        <f t="shared" si="12"/>
        <v>NO</v>
      </c>
      <c r="X21" s="5">
        <f t="shared" si="13"/>
        <v>0</v>
      </c>
      <c r="Y21" s="1"/>
    </row>
    <row r="22" spans="2:25" x14ac:dyDescent="0.25">
      <c r="B22" s="1" t="s">
        <v>233</v>
      </c>
      <c r="C22" s="1" t="s">
        <v>27</v>
      </c>
      <c r="D22" s="1" t="s">
        <v>241</v>
      </c>
      <c r="E22" s="1" t="s">
        <v>337</v>
      </c>
      <c r="F22" s="2">
        <f t="shared" si="3"/>
        <v>250000</v>
      </c>
      <c r="G22" s="4">
        <f>+VLOOKUP(C22,Indicadores!B:C,2,FALSE)</f>
        <v>0.8050272727272727</v>
      </c>
      <c r="H22" s="1" t="str">
        <f t="shared" si="4"/>
        <v>Cumple</v>
      </c>
      <c r="I22" s="4">
        <f>+VLOOKUP(C22,Indicadores!B:F,5,FALSE)</f>
        <v>1</v>
      </c>
      <c r="J22" s="1" t="str">
        <f t="shared" si="5"/>
        <v>Cumple</v>
      </c>
      <c r="K22" s="9">
        <f t="shared" si="0"/>
        <v>150000</v>
      </c>
      <c r="L22" s="4">
        <f>+VLOOKUP(C22,Indicadores!B:P,15,FALSE)</f>
        <v>0.61946666666666672</v>
      </c>
      <c r="M22" s="1" t="str">
        <f t="shared" si="6"/>
        <v>No Cumple</v>
      </c>
      <c r="N22" s="5">
        <f t="shared" si="7"/>
        <v>0</v>
      </c>
      <c r="O22" s="5">
        <f t="shared" si="1"/>
        <v>50000</v>
      </c>
      <c r="P22" s="4">
        <v>0.95</v>
      </c>
      <c r="Q22" s="5" t="str">
        <f t="shared" si="8"/>
        <v>Cumple</v>
      </c>
      <c r="R22" s="5">
        <f t="shared" si="9"/>
        <v>47500</v>
      </c>
      <c r="S22" s="5">
        <f t="shared" si="2"/>
        <v>50000</v>
      </c>
      <c r="T22" s="4">
        <f>+VLOOKUP(C22,Indicadores!B:V,21,FALSE)</f>
        <v>1</v>
      </c>
      <c r="U22" s="35" t="str">
        <f t="shared" si="10"/>
        <v>Cumple</v>
      </c>
      <c r="V22" s="2">
        <f t="shared" si="11"/>
        <v>50000</v>
      </c>
      <c r="W22" s="5" t="str">
        <f t="shared" si="12"/>
        <v>SI</v>
      </c>
      <c r="X22" s="5">
        <f t="shared" si="13"/>
        <v>97500</v>
      </c>
      <c r="Y22" s="1"/>
    </row>
    <row r="23" spans="2:25" x14ac:dyDescent="0.25">
      <c r="B23" s="1" t="s">
        <v>233</v>
      </c>
      <c r="C23" s="1" t="s">
        <v>28</v>
      </c>
      <c r="D23" s="1" t="s">
        <v>241</v>
      </c>
      <c r="E23" s="1" t="s">
        <v>337</v>
      </c>
      <c r="F23" s="2">
        <f t="shared" si="3"/>
        <v>250000</v>
      </c>
      <c r="G23" s="4">
        <f>+VLOOKUP(C23,Indicadores!B:C,2,FALSE)</f>
        <v>0.76277272727272727</v>
      </c>
      <c r="H23" s="1" t="str">
        <f t="shared" si="4"/>
        <v>No Cumple</v>
      </c>
      <c r="I23" s="4">
        <f>+VLOOKUP(C23,Indicadores!B:F,5,FALSE)</f>
        <v>1</v>
      </c>
      <c r="J23" s="1" t="str">
        <f t="shared" si="5"/>
        <v>Cumple</v>
      </c>
      <c r="K23" s="9">
        <f t="shared" si="0"/>
        <v>150000</v>
      </c>
      <c r="L23" s="4">
        <f>+VLOOKUP(C23,Indicadores!B:P,15,FALSE)</f>
        <v>0.48530000000000001</v>
      </c>
      <c r="M23" s="1" t="str">
        <f t="shared" si="6"/>
        <v>No Cumple</v>
      </c>
      <c r="N23" s="5">
        <f t="shared" si="7"/>
        <v>0</v>
      </c>
      <c r="O23" s="5">
        <f t="shared" si="1"/>
        <v>50000</v>
      </c>
      <c r="P23" s="4">
        <v>0.95</v>
      </c>
      <c r="Q23" s="5" t="str">
        <f t="shared" si="8"/>
        <v>Cumple</v>
      </c>
      <c r="R23" s="5">
        <f t="shared" si="9"/>
        <v>47500</v>
      </c>
      <c r="S23" s="5">
        <f t="shared" si="2"/>
        <v>50000</v>
      </c>
      <c r="T23" s="4">
        <f>+VLOOKUP(C23,Indicadores!B:V,21,FALSE)</f>
        <v>1</v>
      </c>
      <c r="U23" s="35" t="str">
        <f t="shared" si="10"/>
        <v>Cumple</v>
      </c>
      <c r="V23" s="2">
        <f t="shared" si="11"/>
        <v>50000</v>
      </c>
      <c r="W23" s="5" t="str">
        <f t="shared" si="12"/>
        <v>NO</v>
      </c>
      <c r="X23" s="5">
        <f t="shared" si="13"/>
        <v>0</v>
      </c>
      <c r="Y23" s="1"/>
    </row>
    <row r="24" spans="2:25" x14ac:dyDescent="0.25">
      <c r="B24" s="1" t="s">
        <v>233</v>
      </c>
      <c r="C24" s="1" t="s">
        <v>29</v>
      </c>
      <c r="D24" s="1" t="s">
        <v>241</v>
      </c>
      <c r="E24" s="1" t="s">
        <v>337</v>
      </c>
      <c r="F24" s="2">
        <f t="shared" si="3"/>
        <v>250000</v>
      </c>
      <c r="G24" s="4">
        <f>+VLOOKUP(C24,Indicadores!B:C,2,FALSE)</f>
        <v>0.83382727272727275</v>
      </c>
      <c r="H24" s="1" t="str">
        <f t="shared" si="4"/>
        <v>Cumple</v>
      </c>
      <c r="I24" s="4">
        <f>+VLOOKUP(C24,Indicadores!B:F,5,FALSE)</f>
        <v>1</v>
      </c>
      <c r="J24" s="1" t="str">
        <f t="shared" si="5"/>
        <v>Cumple</v>
      </c>
      <c r="K24" s="9">
        <f t="shared" si="0"/>
        <v>150000</v>
      </c>
      <c r="L24" s="4">
        <f>+VLOOKUP(C24,Indicadores!B:P,15,FALSE)</f>
        <v>0.4371666666666667</v>
      </c>
      <c r="M24" s="1" t="str">
        <f t="shared" si="6"/>
        <v>No Cumple</v>
      </c>
      <c r="N24" s="5">
        <f t="shared" si="7"/>
        <v>0</v>
      </c>
      <c r="O24" s="5">
        <f t="shared" si="1"/>
        <v>50000</v>
      </c>
      <c r="P24" s="4">
        <v>0.95</v>
      </c>
      <c r="Q24" s="5" t="str">
        <f t="shared" si="8"/>
        <v>Cumple</v>
      </c>
      <c r="R24" s="5">
        <f t="shared" si="9"/>
        <v>47500</v>
      </c>
      <c r="S24" s="5">
        <f t="shared" si="2"/>
        <v>50000</v>
      </c>
      <c r="T24" s="4">
        <f>+VLOOKUP(C24,Indicadores!B:V,21,FALSE)</f>
        <v>1</v>
      </c>
      <c r="U24" s="35" t="str">
        <f t="shared" si="10"/>
        <v>Cumple</v>
      </c>
      <c r="V24" s="2">
        <f t="shared" si="11"/>
        <v>50000</v>
      </c>
      <c r="W24" s="5" t="str">
        <f t="shared" si="12"/>
        <v>SI</v>
      </c>
      <c r="X24" s="5">
        <f t="shared" si="13"/>
        <v>97500</v>
      </c>
      <c r="Y24" s="1"/>
    </row>
    <row r="25" spans="2:25" x14ac:dyDescent="0.25">
      <c r="B25" s="1" t="s">
        <v>233</v>
      </c>
      <c r="C25" s="1" t="s">
        <v>30</v>
      </c>
      <c r="D25" s="1" t="s">
        <v>241</v>
      </c>
      <c r="E25" s="1" t="s">
        <v>337</v>
      </c>
      <c r="F25" s="2">
        <f t="shared" si="3"/>
        <v>250000</v>
      </c>
      <c r="G25" s="4">
        <f>+VLOOKUP(C25,Indicadores!B:C,2,FALSE)</f>
        <v>0.84884545454545457</v>
      </c>
      <c r="H25" s="1" t="str">
        <f t="shared" si="4"/>
        <v>Cumple</v>
      </c>
      <c r="I25" s="4">
        <f>+VLOOKUP(C25,Indicadores!B:F,5,FALSE)</f>
        <v>1</v>
      </c>
      <c r="J25" s="1" t="str">
        <f t="shared" si="5"/>
        <v>Cumple</v>
      </c>
      <c r="K25" s="9">
        <f t="shared" si="0"/>
        <v>150000</v>
      </c>
      <c r="L25" s="4">
        <f>+VLOOKUP(C25,Indicadores!B:P,15,FALSE)</f>
        <v>0.84649999999999992</v>
      </c>
      <c r="M25" s="1" t="str">
        <f t="shared" si="6"/>
        <v>Cumple</v>
      </c>
      <c r="N25" s="5">
        <f t="shared" si="7"/>
        <v>120000</v>
      </c>
      <c r="O25" s="5">
        <f t="shared" si="1"/>
        <v>50000</v>
      </c>
      <c r="P25" s="4">
        <v>0.95</v>
      </c>
      <c r="Q25" s="5" t="str">
        <f t="shared" si="8"/>
        <v>Cumple</v>
      </c>
      <c r="R25" s="5">
        <f t="shared" si="9"/>
        <v>47500</v>
      </c>
      <c r="S25" s="5">
        <f t="shared" si="2"/>
        <v>50000</v>
      </c>
      <c r="T25" s="4">
        <f>+VLOOKUP(C25,Indicadores!B:V,21,FALSE)</f>
        <v>0.5</v>
      </c>
      <c r="U25" s="35" t="str">
        <f t="shared" si="10"/>
        <v>No Cumple</v>
      </c>
      <c r="V25" s="2">
        <f t="shared" si="11"/>
        <v>0</v>
      </c>
      <c r="W25" s="5" t="str">
        <f t="shared" si="12"/>
        <v>SI</v>
      </c>
      <c r="X25" s="5">
        <f t="shared" si="13"/>
        <v>167500</v>
      </c>
      <c r="Y25" s="1"/>
    </row>
    <row r="26" spans="2:25" x14ac:dyDescent="0.25">
      <c r="B26" s="1" t="s">
        <v>233</v>
      </c>
      <c r="C26" s="1" t="s">
        <v>31</v>
      </c>
      <c r="D26" s="1" t="s">
        <v>241</v>
      </c>
      <c r="E26" s="1" t="s">
        <v>337</v>
      </c>
      <c r="F26" s="2">
        <f t="shared" si="3"/>
        <v>250000</v>
      </c>
      <c r="G26" s="4">
        <f>+VLOOKUP(C26,Indicadores!B:C,2,FALSE)</f>
        <v>0.7612363636363636</v>
      </c>
      <c r="H26" s="1" t="str">
        <f t="shared" si="4"/>
        <v>No Cumple</v>
      </c>
      <c r="I26" s="4">
        <f>+VLOOKUP(C26,Indicadores!B:F,5,FALSE)</f>
        <v>1</v>
      </c>
      <c r="J26" s="1" t="str">
        <f t="shared" si="5"/>
        <v>Cumple</v>
      </c>
      <c r="K26" s="9">
        <f t="shared" si="0"/>
        <v>150000</v>
      </c>
      <c r="L26" s="4">
        <f>+VLOOKUP(C26,Indicadores!B:P,15,FALSE)</f>
        <v>0.63419999999999999</v>
      </c>
      <c r="M26" s="1" t="str">
        <f t="shared" si="6"/>
        <v>No Cumple</v>
      </c>
      <c r="N26" s="5">
        <f t="shared" si="7"/>
        <v>0</v>
      </c>
      <c r="O26" s="5">
        <f t="shared" si="1"/>
        <v>50000</v>
      </c>
      <c r="P26" s="4">
        <v>0.95</v>
      </c>
      <c r="Q26" s="5" t="str">
        <f t="shared" si="8"/>
        <v>Cumple</v>
      </c>
      <c r="R26" s="5">
        <f t="shared" si="9"/>
        <v>47500</v>
      </c>
      <c r="S26" s="5">
        <f t="shared" si="2"/>
        <v>50000</v>
      </c>
      <c r="T26" s="4">
        <f>+VLOOKUP(C26,Indicadores!B:V,21,FALSE)</f>
        <v>1</v>
      </c>
      <c r="U26" s="35" t="str">
        <f t="shared" si="10"/>
        <v>Cumple</v>
      </c>
      <c r="V26" s="2">
        <f t="shared" si="11"/>
        <v>50000</v>
      </c>
      <c r="W26" s="5" t="str">
        <f t="shared" si="12"/>
        <v>NO</v>
      </c>
      <c r="X26" s="5">
        <f t="shared" si="13"/>
        <v>0</v>
      </c>
      <c r="Y26" s="1"/>
    </row>
    <row r="27" spans="2:25" x14ac:dyDescent="0.25">
      <c r="B27" s="1" t="s">
        <v>233</v>
      </c>
      <c r="C27" s="1" t="s">
        <v>32</v>
      </c>
      <c r="D27" s="1" t="s">
        <v>241</v>
      </c>
      <c r="E27" s="1" t="s">
        <v>337</v>
      </c>
      <c r="F27" s="2">
        <f t="shared" si="3"/>
        <v>250000</v>
      </c>
      <c r="G27" s="4">
        <f>+VLOOKUP(C27,Indicadores!B:C,2,FALSE)</f>
        <v>0.75548181818181814</v>
      </c>
      <c r="H27" s="1" t="str">
        <f t="shared" si="4"/>
        <v>No Cumple</v>
      </c>
      <c r="I27" s="4">
        <f>+VLOOKUP(C27,Indicadores!B:F,5,FALSE)</f>
        <v>1</v>
      </c>
      <c r="J27" s="1" t="str">
        <f t="shared" si="5"/>
        <v>Cumple</v>
      </c>
      <c r="K27" s="9">
        <f t="shared" si="0"/>
        <v>150000</v>
      </c>
      <c r="L27" s="4">
        <f>+VLOOKUP(C27,Indicadores!B:P,15,FALSE)</f>
        <v>0.55913333333333337</v>
      </c>
      <c r="M27" s="1" t="str">
        <f t="shared" si="6"/>
        <v>No Cumple</v>
      </c>
      <c r="N27" s="5">
        <f t="shared" si="7"/>
        <v>0</v>
      </c>
      <c r="O27" s="5">
        <f t="shared" si="1"/>
        <v>50000</v>
      </c>
      <c r="P27" s="4">
        <v>0.95</v>
      </c>
      <c r="Q27" s="5" t="str">
        <f t="shared" si="8"/>
        <v>Cumple</v>
      </c>
      <c r="R27" s="5">
        <f t="shared" si="9"/>
        <v>47500</v>
      </c>
      <c r="S27" s="5">
        <f t="shared" si="2"/>
        <v>50000</v>
      </c>
      <c r="T27" s="4">
        <f>+VLOOKUP(C27,Indicadores!B:V,21,FALSE)</f>
        <v>1</v>
      </c>
      <c r="U27" s="35" t="str">
        <f t="shared" si="10"/>
        <v>Cumple</v>
      </c>
      <c r="V27" s="2">
        <f t="shared" si="11"/>
        <v>50000</v>
      </c>
      <c r="W27" s="5" t="str">
        <f t="shared" si="12"/>
        <v>NO</v>
      </c>
      <c r="X27" s="5">
        <f t="shared" si="13"/>
        <v>0</v>
      </c>
      <c r="Y27" s="1"/>
    </row>
    <row r="28" spans="2:25" x14ac:dyDescent="0.25">
      <c r="B28" s="1" t="s">
        <v>233</v>
      </c>
      <c r="C28" s="1" t="s">
        <v>33</v>
      </c>
      <c r="D28" s="1" t="s">
        <v>241</v>
      </c>
      <c r="E28" s="1" t="s">
        <v>337</v>
      </c>
      <c r="F28" s="2">
        <f t="shared" si="3"/>
        <v>250000</v>
      </c>
      <c r="G28" s="4">
        <f>+VLOOKUP(C28,Indicadores!B:C,2,FALSE)</f>
        <v>0.85924545454545442</v>
      </c>
      <c r="H28" s="1" t="str">
        <f t="shared" si="4"/>
        <v>Cumple</v>
      </c>
      <c r="I28" s="4">
        <f>+VLOOKUP(C28,Indicadores!B:F,5,FALSE)</f>
        <v>1</v>
      </c>
      <c r="J28" s="1" t="str">
        <f t="shared" si="5"/>
        <v>Cumple</v>
      </c>
      <c r="K28" s="9">
        <f t="shared" si="0"/>
        <v>150000</v>
      </c>
      <c r="L28" s="4">
        <f>+VLOOKUP(C28,Indicadores!B:P,15,FALSE)</f>
        <v>0.72873333333333334</v>
      </c>
      <c r="M28" s="1" t="str">
        <f t="shared" si="6"/>
        <v>No Cumple</v>
      </c>
      <c r="N28" s="5">
        <f t="shared" si="7"/>
        <v>0</v>
      </c>
      <c r="O28" s="5">
        <f t="shared" si="1"/>
        <v>50000</v>
      </c>
      <c r="P28" s="4">
        <v>0.95</v>
      </c>
      <c r="Q28" s="5" t="str">
        <f t="shared" si="8"/>
        <v>Cumple</v>
      </c>
      <c r="R28" s="5">
        <f t="shared" si="9"/>
        <v>47500</v>
      </c>
      <c r="S28" s="5">
        <f t="shared" si="2"/>
        <v>50000</v>
      </c>
      <c r="T28" s="4">
        <f>+VLOOKUP(C28,Indicadores!B:V,21,FALSE)</f>
        <v>0.99560000000000004</v>
      </c>
      <c r="U28" s="35" t="str">
        <f t="shared" si="10"/>
        <v>No Cumple</v>
      </c>
      <c r="V28" s="2">
        <f t="shared" si="11"/>
        <v>0</v>
      </c>
      <c r="W28" s="5" t="str">
        <f t="shared" si="12"/>
        <v>SI</v>
      </c>
      <c r="X28" s="5">
        <f t="shared" si="13"/>
        <v>47500</v>
      </c>
      <c r="Y28" s="1"/>
    </row>
    <row r="29" spans="2:25" x14ac:dyDescent="0.25">
      <c r="B29" s="1" t="s">
        <v>233</v>
      </c>
      <c r="C29" s="1" t="s">
        <v>34</v>
      </c>
      <c r="D29" s="1" t="s">
        <v>241</v>
      </c>
      <c r="E29" s="1" t="s">
        <v>337</v>
      </c>
      <c r="F29" s="2">
        <f t="shared" si="3"/>
        <v>250000</v>
      </c>
      <c r="G29" s="4">
        <f>+VLOOKUP(C29,Indicadores!B:C,2,FALSE)</f>
        <v>0.8066363636363636</v>
      </c>
      <c r="H29" s="1" t="str">
        <f t="shared" si="4"/>
        <v>Cumple</v>
      </c>
      <c r="I29" s="4">
        <f>+VLOOKUP(C29,Indicadores!B:F,5,FALSE)</f>
        <v>1</v>
      </c>
      <c r="J29" s="1" t="str">
        <f t="shared" si="5"/>
        <v>Cumple</v>
      </c>
      <c r="K29" s="9">
        <f t="shared" si="0"/>
        <v>150000</v>
      </c>
      <c r="L29" s="4">
        <f>+VLOOKUP(C29,Indicadores!B:P,15,FALSE)</f>
        <v>0.69840000000000002</v>
      </c>
      <c r="M29" s="1" t="str">
        <f t="shared" si="6"/>
        <v>No Cumple</v>
      </c>
      <c r="N29" s="5">
        <f t="shared" si="7"/>
        <v>0</v>
      </c>
      <c r="O29" s="5">
        <f t="shared" si="1"/>
        <v>50000</v>
      </c>
      <c r="P29" s="4">
        <v>0.95</v>
      </c>
      <c r="Q29" s="5" t="str">
        <f t="shared" si="8"/>
        <v>Cumple</v>
      </c>
      <c r="R29" s="5">
        <f t="shared" si="9"/>
        <v>47500</v>
      </c>
      <c r="S29" s="5">
        <f t="shared" si="2"/>
        <v>50000</v>
      </c>
      <c r="T29" s="4">
        <f>+VLOOKUP(C29,Indicadores!B:V,21,FALSE)</f>
        <v>1</v>
      </c>
      <c r="U29" s="35" t="str">
        <f t="shared" si="10"/>
        <v>Cumple</v>
      </c>
      <c r="V29" s="2">
        <f t="shared" si="11"/>
        <v>50000</v>
      </c>
      <c r="W29" s="5" t="str">
        <f t="shared" si="12"/>
        <v>SI</v>
      </c>
      <c r="X29" s="5">
        <f t="shared" si="13"/>
        <v>97500</v>
      </c>
      <c r="Y29" s="1"/>
    </row>
    <row r="30" spans="2:25" x14ac:dyDescent="0.25">
      <c r="B30" s="1" t="s">
        <v>233</v>
      </c>
      <c r="C30" s="1" t="s">
        <v>35</v>
      </c>
      <c r="D30" s="1" t="s">
        <v>241</v>
      </c>
      <c r="E30" s="1" t="s">
        <v>337</v>
      </c>
      <c r="F30" s="2">
        <f t="shared" si="3"/>
        <v>250000</v>
      </c>
      <c r="G30" s="4">
        <f>+VLOOKUP(C30,Indicadores!B:C,2,FALSE)</f>
        <v>0.8267181818181818</v>
      </c>
      <c r="H30" s="1" t="str">
        <f t="shared" si="4"/>
        <v>Cumple</v>
      </c>
      <c r="I30" s="4">
        <f>+VLOOKUP(C30,Indicadores!B:F,5,FALSE)</f>
        <v>1</v>
      </c>
      <c r="J30" s="1" t="str">
        <f t="shared" si="5"/>
        <v>Cumple</v>
      </c>
      <c r="K30" s="9">
        <f t="shared" si="0"/>
        <v>150000</v>
      </c>
      <c r="L30" s="4">
        <f>+VLOOKUP(C30,Indicadores!B:P,15,FALSE)</f>
        <v>0.67359999999999998</v>
      </c>
      <c r="M30" s="1" t="str">
        <f t="shared" si="6"/>
        <v>No Cumple</v>
      </c>
      <c r="N30" s="5">
        <f t="shared" si="7"/>
        <v>0</v>
      </c>
      <c r="O30" s="5">
        <f t="shared" si="1"/>
        <v>50000</v>
      </c>
      <c r="P30" s="4">
        <v>0.95</v>
      </c>
      <c r="Q30" s="5" t="str">
        <f t="shared" si="8"/>
        <v>Cumple</v>
      </c>
      <c r="R30" s="5">
        <f t="shared" si="9"/>
        <v>47500</v>
      </c>
      <c r="S30" s="5">
        <f t="shared" si="2"/>
        <v>50000</v>
      </c>
      <c r="T30" s="4">
        <f>+VLOOKUP(C30,Indicadores!B:V,21,FALSE)</f>
        <v>0.99219999999999997</v>
      </c>
      <c r="U30" s="35" t="str">
        <f t="shared" si="10"/>
        <v>No Cumple</v>
      </c>
      <c r="V30" s="2">
        <f t="shared" si="11"/>
        <v>0</v>
      </c>
      <c r="W30" s="5" t="str">
        <f t="shared" si="12"/>
        <v>SI</v>
      </c>
      <c r="X30" s="5">
        <f t="shared" si="13"/>
        <v>47500</v>
      </c>
      <c r="Y30" s="1"/>
    </row>
    <row r="31" spans="2:25" x14ac:dyDescent="0.25">
      <c r="B31" s="1" t="s">
        <v>233</v>
      </c>
      <c r="C31" s="1" t="s">
        <v>36</v>
      </c>
      <c r="D31" s="1" t="s">
        <v>241</v>
      </c>
      <c r="E31" s="1" t="s">
        <v>337</v>
      </c>
      <c r="F31" s="2">
        <f t="shared" si="3"/>
        <v>250000</v>
      </c>
      <c r="G31" s="4">
        <f>+VLOOKUP(C31,Indicadores!B:C,2,FALSE)</f>
        <v>0.85950909090909089</v>
      </c>
      <c r="H31" s="1" t="str">
        <f t="shared" si="4"/>
        <v>Cumple</v>
      </c>
      <c r="I31" s="4">
        <f>+VLOOKUP(C31,Indicadores!B:F,5,FALSE)</f>
        <v>1</v>
      </c>
      <c r="J31" s="1" t="str">
        <f t="shared" si="5"/>
        <v>Cumple</v>
      </c>
      <c r="K31" s="9">
        <f t="shared" si="0"/>
        <v>150000</v>
      </c>
      <c r="L31" s="4">
        <f>+VLOOKUP(C31,Indicadores!B:P,15,FALSE)</f>
        <v>0.78860000000000008</v>
      </c>
      <c r="M31" s="1" t="str">
        <f t="shared" si="6"/>
        <v>No Cumple</v>
      </c>
      <c r="N31" s="5">
        <f t="shared" si="7"/>
        <v>0</v>
      </c>
      <c r="O31" s="5">
        <f t="shared" si="1"/>
        <v>50000</v>
      </c>
      <c r="P31" s="4">
        <v>0.95</v>
      </c>
      <c r="Q31" s="5" t="str">
        <f t="shared" si="8"/>
        <v>Cumple</v>
      </c>
      <c r="R31" s="5">
        <f t="shared" si="9"/>
        <v>47500</v>
      </c>
      <c r="S31" s="5">
        <f t="shared" si="2"/>
        <v>50000</v>
      </c>
      <c r="T31" s="4">
        <f>+VLOOKUP(C31,Indicadores!B:V,21,FALSE)</f>
        <v>1</v>
      </c>
      <c r="U31" s="35" t="str">
        <f t="shared" si="10"/>
        <v>Cumple</v>
      </c>
      <c r="V31" s="2">
        <f t="shared" si="11"/>
        <v>50000</v>
      </c>
      <c r="W31" s="5" t="str">
        <f t="shared" si="12"/>
        <v>SI</v>
      </c>
      <c r="X31" s="5">
        <f t="shared" si="13"/>
        <v>97500</v>
      </c>
      <c r="Y31" s="1"/>
    </row>
    <row r="32" spans="2:25" x14ac:dyDescent="0.25">
      <c r="B32" s="1" t="s">
        <v>233</v>
      </c>
      <c r="C32" s="1" t="s">
        <v>37</v>
      </c>
      <c r="D32" s="1" t="s">
        <v>241</v>
      </c>
      <c r="E32" s="1" t="s">
        <v>337</v>
      </c>
      <c r="F32" s="2">
        <f t="shared" si="3"/>
        <v>250000</v>
      </c>
      <c r="G32" s="4">
        <f>+VLOOKUP(C32,Indicadores!B:C,2,FALSE)</f>
        <v>0.92803636363636377</v>
      </c>
      <c r="H32" s="1" t="str">
        <f t="shared" si="4"/>
        <v>Cumple</v>
      </c>
      <c r="I32" s="4">
        <f>+VLOOKUP(C32,Indicadores!B:F,5,FALSE)</f>
        <v>1</v>
      </c>
      <c r="J32" s="1" t="str">
        <f t="shared" si="5"/>
        <v>Cumple</v>
      </c>
      <c r="K32" s="9">
        <f t="shared" si="0"/>
        <v>150000</v>
      </c>
      <c r="L32" s="4">
        <f>+VLOOKUP(C32,Indicadores!B:P,15,FALSE)</f>
        <v>0.94543333333333335</v>
      </c>
      <c r="M32" s="1" t="str">
        <f t="shared" si="6"/>
        <v>Cumple</v>
      </c>
      <c r="N32" s="5">
        <f t="shared" si="7"/>
        <v>135000</v>
      </c>
      <c r="O32" s="5">
        <f t="shared" si="1"/>
        <v>50000</v>
      </c>
      <c r="P32" s="4">
        <v>0.95</v>
      </c>
      <c r="Q32" s="5" t="str">
        <f t="shared" si="8"/>
        <v>Cumple</v>
      </c>
      <c r="R32" s="5">
        <f t="shared" si="9"/>
        <v>47500</v>
      </c>
      <c r="S32" s="5">
        <f t="shared" si="2"/>
        <v>50000</v>
      </c>
      <c r="T32" s="4">
        <f>+VLOOKUP(C32,Indicadores!B:V,21,FALSE)</f>
        <v>1</v>
      </c>
      <c r="U32" s="35" t="str">
        <f t="shared" si="10"/>
        <v>Cumple</v>
      </c>
      <c r="V32" s="2">
        <f t="shared" si="11"/>
        <v>50000</v>
      </c>
      <c r="W32" s="5" t="str">
        <f t="shared" si="12"/>
        <v>SI</v>
      </c>
      <c r="X32" s="5">
        <f t="shared" si="13"/>
        <v>232500</v>
      </c>
      <c r="Y32" s="1"/>
    </row>
    <row r="33" spans="2:25" x14ac:dyDescent="0.25">
      <c r="B33" s="1" t="s">
        <v>233</v>
      </c>
      <c r="C33" s="1" t="s">
        <v>38</v>
      </c>
      <c r="D33" s="1" t="s">
        <v>241</v>
      </c>
      <c r="E33" s="1" t="s">
        <v>337</v>
      </c>
      <c r="F33" s="2">
        <f t="shared" si="3"/>
        <v>250000</v>
      </c>
      <c r="G33" s="4">
        <f>+VLOOKUP(C33,Indicadores!B:C,2,FALSE)</f>
        <v>0.83635454545454557</v>
      </c>
      <c r="H33" s="1" t="str">
        <f t="shared" si="4"/>
        <v>Cumple</v>
      </c>
      <c r="I33" s="4">
        <f>+VLOOKUP(C33,Indicadores!B:F,5,FALSE)</f>
        <v>0.8</v>
      </c>
      <c r="J33" s="1" t="str">
        <f t="shared" si="5"/>
        <v>Cumple</v>
      </c>
      <c r="K33" s="9">
        <f t="shared" si="0"/>
        <v>150000</v>
      </c>
      <c r="L33" s="4">
        <f>+VLOOKUP(C33,Indicadores!B:P,15,FALSE)</f>
        <v>0.57199999999999995</v>
      </c>
      <c r="M33" s="1" t="str">
        <f t="shared" si="6"/>
        <v>No Cumple</v>
      </c>
      <c r="N33" s="5">
        <f t="shared" si="7"/>
        <v>0</v>
      </c>
      <c r="O33" s="5">
        <f t="shared" si="1"/>
        <v>50000</v>
      </c>
      <c r="P33" s="4">
        <v>0.95</v>
      </c>
      <c r="Q33" s="5" t="str">
        <f t="shared" si="8"/>
        <v>Cumple</v>
      </c>
      <c r="R33" s="5">
        <f t="shared" si="9"/>
        <v>47500</v>
      </c>
      <c r="S33" s="5">
        <f t="shared" si="2"/>
        <v>50000</v>
      </c>
      <c r="T33" s="4">
        <f>+VLOOKUP(C33,Indicadores!B:V,21,FALSE)</f>
        <v>1</v>
      </c>
      <c r="U33" s="35" t="str">
        <f t="shared" si="10"/>
        <v>Cumple</v>
      </c>
      <c r="V33" s="2">
        <f t="shared" si="11"/>
        <v>50000</v>
      </c>
      <c r="W33" s="5" t="str">
        <f t="shared" si="12"/>
        <v>SI</v>
      </c>
      <c r="X33" s="5">
        <f t="shared" si="13"/>
        <v>97500</v>
      </c>
      <c r="Y33" s="1"/>
    </row>
    <row r="34" spans="2:25" x14ac:dyDescent="0.25">
      <c r="B34" s="1" t="s">
        <v>233</v>
      </c>
      <c r="C34" s="1" t="s">
        <v>39</v>
      </c>
      <c r="D34" s="1" t="s">
        <v>241</v>
      </c>
      <c r="E34" s="1" t="s">
        <v>337</v>
      </c>
      <c r="F34" s="2">
        <f t="shared" si="3"/>
        <v>250000</v>
      </c>
      <c r="G34" s="4">
        <f>+VLOOKUP(C34,Indicadores!B:C,2,FALSE)</f>
        <v>0.84659090909090906</v>
      </c>
      <c r="H34" s="1" t="str">
        <f t="shared" si="4"/>
        <v>Cumple</v>
      </c>
      <c r="I34" s="4">
        <f>+VLOOKUP(C34,Indicadores!B:F,5,FALSE)</f>
        <v>1</v>
      </c>
      <c r="J34" s="1" t="str">
        <f t="shared" si="5"/>
        <v>Cumple</v>
      </c>
      <c r="K34" s="9">
        <f t="shared" si="0"/>
        <v>150000</v>
      </c>
      <c r="L34" s="4">
        <f>+VLOOKUP(C34,Indicadores!B:P,15,FALSE)</f>
        <v>0.77083333333333337</v>
      </c>
      <c r="M34" s="1" t="str">
        <f t="shared" si="6"/>
        <v>No Cumple</v>
      </c>
      <c r="N34" s="5">
        <f t="shared" si="7"/>
        <v>0</v>
      </c>
      <c r="O34" s="5">
        <f t="shared" si="1"/>
        <v>50000</v>
      </c>
      <c r="P34" s="4">
        <v>0.95</v>
      </c>
      <c r="Q34" s="5" t="str">
        <f t="shared" si="8"/>
        <v>Cumple</v>
      </c>
      <c r="R34" s="5">
        <f t="shared" si="9"/>
        <v>47500</v>
      </c>
      <c r="S34" s="5">
        <f t="shared" si="2"/>
        <v>50000</v>
      </c>
      <c r="T34" s="4">
        <f>+VLOOKUP(C34,Indicadores!B:V,21,FALSE)</f>
        <v>1</v>
      </c>
      <c r="U34" s="35" t="str">
        <f t="shared" si="10"/>
        <v>Cumple</v>
      </c>
      <c r="V34" s="2">
        <f t="shared" si="11"/>
        <v>50000</v>
      </c>
      <c r="W34" s="5" t="str">
        <f t="shared" si="12"/>
        <v>SI</v>
      </c>
      <c r="X34" s="5">
        <f t="shared" si="13"/>
        <v>97500</v>
      </c>
      <c r="Y34" s="1"/>
    </row>
    <row r="35" spans="2:25" x14ac:dyDescent="0.25">
      <c r="B35" s="1" t="s">
        <v>233</v>
      </c>
      <c r="C35" s="1" t="s">
        <v>40</v>
      </c>
      <c r="D35" s="1" t="s">
        <v>241</v>
      </c>
      <c r="E35" s="1" t="s">
        <v>337</v>
      </c>
      <c r="F35" s="2">
        <f t="shared" si="3"/>
        <v>250000</v>
      </c>
      <c r="G35" s="4">
        <f>+VLOOKUP(C35,Indicadores!B:C,2,FALSE)</f>
        <v>0.80819090909090907</v>
      </c>
      <c r="H35" s="1" t="str">
        <f t="shared" si="4"/>
        <v>Cumple</v>
      </c>
      <c r="I35" s="4">
        <f>+VLOOKUP(C35,Indicadores!B:F,5,FALSE)</f>
        <v>1</v>
      </c>
      <c r="J35" s="1" t="str">
        <f t="shared" si="5"/>
        <v>Cumple</v>
      </c>
      <c r="K35" s="9">
        <f t="shared" si="0"/>
        <v>150000</v>
      </c>
      <c r="L35" s="4">
        <f>+VLOOKUP(C35,Indicadores!B:P,15,FALSE)</f>
        <v>0.49963333333333332</v>
      </c>
      <c r="M35" s="1" t="str">
        <f t="shared" si="6"/>
        <v>No Cumple</v>
      </c>
      <c r="N35" s="5">
        <f t="shared" si="7"/>
        <v>0</v>
      </c>
      <c r="O35" s="5">
        <f t="shared" si="1"/>
        <v>50000</v>
      </c>
      <c r="P35" s="4">
        <v>0.95</v>
      </c>
      <c r="Q35" s="5" t="str">
        <f t="shared" si="8"/>
        <v>Cumple</v>
      </c>
      <c r="R35" s="5">
        <f t="shared" si="9"/>
        <v>47500</v>
      </c>
      <c r="S35" s="5">
        <f t="shared" si="2"/>
        <v>50000</v>
      </c>
      <c r="T35" s="4">
        <f>+VLOOKUP(C35,Indicadores!B:V,21,FALSE)</f>
        <v>1</v>
      </c>
      <c r="U35" s="35" t="str">
        <f t="shared" si="10"/>
        <v>Cumple</v>
      </c>
      <c r="V35" s="2">
        <f t="shared" si="11"/>
        <v>50000</v>
      </c>
      <c r="W35" s="5" t="str">
        <f t="shared" si="12"/>
        <v>SI</v>
      </c>
      <c r="X35" s="5">
        <f t="shared" si="13"/>
        <v>97500</v>
      </c>
      <c r="Y35" s="1"/>
    </row>
    <row r="36" spans="2:25" x14ac:dyDescent="0.25">
      <c r="B36" s="1" t="s">
        <v>233</v>
      </c>
      <c r="C36" s="1" t="s">
        <v>41</v>
      </c>
      <c r="D36" s="1" t="s">
        <v>241</v>
      </c>
      <c r="E36" s="1" t="s">
        <v>337</v>
      </c>
      <c r="F36" s="2">
        <f t="shared" si="3"/>
        <v>250000</v>
      </c>
      <c r="G36" s="4">
        <f>+VLOOKUP(C36,Indicadores!B:C,2,FALSE)</f>
        <v>0.85299999999999987</v>
      </c>
      <c r="H36" s="1" t="str">
        <f t="shared" si="4"/>
        <v>Cumple</v>
      </c>
      <c r="I36" s="4">
        <f>+VLOOKUP(C36,Indicadores!B:F,5,FALSE)</f>
        <v>1</v>
      </c>
      <c r="J36" s="1" t="str">
        <f t="shared" si="5"/>
        <v>Cumple</v>
      </c>
      <c r="K36" s="9">
        <f t="shared" si="0"/>
        <v>150000</v>
      </c>
      <c r="L36" s="4">
        <f>+VLOOKUP(C36,Indicadores!B:P,15,FALSE)</f>
        <v>0.80320000000000003</v>
      </c>
      <c r="M36" s="1" t="str">
        <f t="shared" si="6"/>
        <v>Cumple</v>
      </c>
      <c r="N36" s="5">
        <f t="shared" si="7"/>
        <v>0</v>
      </c>
      <c r="O36" s="5">
        <f t="shared" si="1"/>
        <v>50000</v>
      </c>
      <c r="P36" s="4">
        <v>0.95</v>
      </c>
      <c r="Q36" s="5" t="str">
        <f t="shared" si="8"/>
        <v>Cumple</v>
      </c>
      <c r="R36" s="5">
        <f t="shared" si="9"/>
        <v>47500</v>
      </c>
      <c r="S36" s="5">
        <f t="shared" si="2"/>
        <v>50000</v>
      </c>
      <c r="T36" s="4">
        <f>+VLOOKUP(C36,Indicadores!B:V,21,FALSE)</f>
        <v>1</v>
      </c>
      <c r="U36" s="35" t="str">
        <f t="shared" si="10"/>
        <v>Cumple</v>
      </c>
      <c r="V36" s="2">
        <f t="shared" si="11"/>
        <v>50000</v>
      </c>
      <c r="W36" s="5" t="str">
        <f t="shared" si="12"/>
        <v>SI</v>
      </c>
      <c r="X36" s="5">
        <f t="shared" si="13"/>
        <v>97500</v>
      </c>
      <c r="Y36" s="1"/>
    </row>
    <row r="37" spans="2:25" x14ac:dyDescent="0.25">
      <c r="B37" s="1" t="s">
        <v>233</v>
      </c>
      <c r="C37" s="1" t="s">
        <v>42</v>
      </c>
      <c r="D37" s="1" t="s">
        <v>241</v>
      </c>
      <c r="E37" s="1" t="s">
        <v>337</v>
      </c>
      <c r="F37" s="2">
        <f t="shared" si="3"/>
        <v>250000</v>
      </c>
      <c r="G37" s="4">
        <f>+VLOOKUP(C37,Indicadores!B:C,2,FALSE)</f>
        <v>0.81572727272727275</v>
      </c>
      <c r="H37" s="1" t="str">
        <f t="shared" si="4"/>
        <v>Cumple</v>
      </c>
      <c r="I37" s="4">
        <f>+VLOOKUP(C37,Indicadores!B:F,5,FALSE)</f>
        <v>1</v>
      </c>
      <c r="J37" s="1" t="str">
        <f t="shared" si="5"/>
        <v>Cumple</v>
      </c>
      <c r="K37" s="9">
        <f t="shared" si="0"/>
        <v>150000</v>
      </c>
      <c r="L37" s="4">
        <f>+VLOOKUP(C37,Indicadores!B:P,15,FALSE)</f>
        <v>0.54003333333333325</v>
      </c>
      <c r="M37" s="1" t="str">
        <f t="shared" si="6"/>
        <v>No Cumple</v>
      </c>
      <c r="N37" s="5">
        <f t="shared" si="7"/>
        <v>0</v>
      </c>
      <c r="O37" s="5">
        <f t="shared" si="1"/>
        <v>50000</v>
      </c>
      <c r="P37" s="4">
        <v>0.95</v>
      </c>
      <c r="Q37" s="5" t="str">
        <f t="shared" si="8"/>
        <v>Cumple</v>
      </c>
      <c r="R37" s="5">
        <f t="shared" si="9"/>
        <v>47500</v>
      </c>
      <c r="S37" s="5">
        <f t="shared" si="2"/>
        <v>50000</v>
      </c>
      <c r="T37" s="4">
        <f>+VLOOKUP(C37,Indicadores!B:V,21,FALSE)</f>
        <v>1</v>
      </c>
      <c r="U37" s="35" t="str">
        <f t="shared" si="10"/>
        <v>Cumple</v>
      </c>
      <c r="V37" s="2">
        <f t="shared" si="11"/>
        <v>50000</v>
      </c>
      <c r="W37" s="5" t="str">
        <f t="shared" si="12"/>
        <v>SI</v>
      </c>
      <c r="X37" s="5">
        <f t="shared" si="13"/>
        <v>97500</v>
      </c>
      <c r="Y37" s="1"/>
    </row>
    <row r="38" spans="2:25" x14ac:dyDescent="0.25">
      <c r="B38" s="1" t="s">
        <v>233</v>
      </c>
      <c r="C38" s="1" t="s">
        <v>43</v>
      </c>
      <c r="D38" s="1" t="s">
        <v>242</v>
      </c>
      <c r="E38" s="1" t="s">
        <v>303</v>
      </c>
      <c r="F38" s="2">
        <f t="shared" si="3"/>
        <v>250000</v>
      </c>
      <c r="G38" s="4">
        <f>+VLOOKUP(C38,Indicadores!B:C,2,FALSE)</f>
        <v>0.7536272727272727</v>
      </c>
      <c r="H38" s="1" t="str">
        <f t="shared" si="4"/>
        <v>No Cumple</v>
      </c>
      <c r="I38" s="4">
        <f>+VLOOKUP(C38,Indicadores!B:F,5,FALSE)</f>
        <v>1</v>
      </c>
      <c r="J38" s="1" t="str">
        <f t="shared" si="5"/>
        <v>Cumple</v>
      </c>
      <c r="K38" s="9">
        <f t="shared" ref="K38:K69" si="14">+$F$4*$K$3</f>
        <v>150000</v>
      </c>
      <c r="L38" s="4">
        <f>+VLOOKUP(C38,Indicadores!B:P,15,FALSE)</f>
        <v>0.57143333333333335</v>
      </c>
      <c r="M38" s="1" t="str">
        <f t="shared" si="6"/>
        <v>No Cumple</v>
      </c>
      <c r="N38" s="5">
        <f t="shared" si="7"/>
        <v>0</v>
      </c>
      <c r="O38" s="5">
        <f t="shared" ref="O38:O69" si="15">+$F$4*$O$3</f>
        <v>50000</v>
      </c>
      <c r="P38" s="4">
        <v>0.95</v>
      </c>
      <c r="Q38" s="5" t="str">
        <f t="shared" si="8"/>
        <v>Cumple</v>
      </c>
      <c r="R38" s="5">
        <f t="shared" si="9"/>
        <v>47500</v>
      </c>
      <c r="S38" s="5">
        <f t="shared" ref="S38:S69" si="16">+$F$4*$S$3</f>
        <v>50000</v>
      </c>
      <c r="T38" s="4">
        <f>+VLOOKUP(C38,Indicadores!B:V,21,FALSE)</f>
        <v>1</v>
      </c>
      <c r="U38" s="35" t="str">
        <f t="shared" si="10"/>
        <v>Cumple</v>
      </c>
      <c r="V38" s="2">
        <f t="shared" si="11"/>
        <v>50000</v>
      </c>
      <c r="W38" s="5" t="str">
        <f t="shared" si="12"/>
        <v>NO</v>
      </c>
      <c r="X38" s="5">
        <f t="shared" si="13"/>
        <v>0</v>
      </c>
      <c r="Y38" s="1"/>
    </row>
    <row r="39" spans="2:25" x14ac:dyDescent="0.25">
      <c r="B39" s="1" t="s">
        <v>233</v>
      </c>
      <c r="C39" s="3" t="s">
        <v>44</v>
      </c>
      <c r="D39" s="1" t="s">
        <v>242</v>
      </c>
      <c r="E39" s="1" t="s">
        <v>303</v>
      </c>
      <c r="F39" s="2">
        <f t="shared" si="3"/>
        <v>250000</v>
      </c>
      <c r="G39" s="4">
        <f>+VLOOKUP(C39,Indicadores!B:C,2,FALSE)</f>
        <v>0.78246363636363625</v>
      </c>
      <c r="H39" s="1" t="str">
        <f t="shared" si="4"/>
        <v>No Cumple</v>
      </c>
      <c r="I39" s="4">
        <f>+VLOOKUP(C39,Indicadores!B:F,5,FALSE)</f>
        <v>0.93333333333333335</v>
      </c>
      <c r="J39" s="1" t="str">
        <f t="shared" si="5"/>
        <v>Cumple</v>
      </c>
      <c r="K39" s="9">
        <f t="shared" si="14"/>
        <v>150000</v>
      </c>
      <c r="L39" s="4">
        <f>+VLOOKUP(C39,Indicadores!B:P,15,FALSE)</f>
        <v>0.72526666666666662</v>
      </c>
      <c r="M39" s="1" t="str">
        <f t="shared" si="6"/>
        <v>No Cumple</v>
      </c>
      <c r="N39" s="5">
        <f t="shared" si="7"/>
        <v>0</v>
      </c>
      <c r="O39" s="5">
        <f t="shared" si="15"/>
        <v>50000</v>
      </c>
      <c r="P39" s="4">
        <v>0.95</v>
      </c>
      <c r="Q39" s="5" t="str">
        <f t="shared" si="8"/>
        <v>Cumple</v>
      </c>
      <c r="R39" s="5">
        <f t="shared" si="9"/>
        <v>47500</v>
      </c>
      <c r="S39" s="5">
        <f t="shared" si="16"/>
        <v>50000</v>
      </c>
      <c r="T39" s="4">
        <f>+VLOOKUP(C39,Indicadores!B:V,21,FALSE)</f>
        <v>0.5</v>
      </c>
      <c r="U39" s="35" t="str">
        <f t="shared" si="10"/>
        <v>No Cumple</v>
      </c>
      <c r="V39" s="2">
        <f t="shared" si="11"/>
        <v>0</v>
      </c>
      <c r="W39" s="5" t="str">
        <f t="shared" si="12"/>
        <v>NO</v>
      </c>
      <c r="X39" s="5">
        <f t="shared" si="13"/>
        <v>0</v>
      </c>
      <c r="Y39" s="1"/>
    </row>
    <row r="40" spans="2:25" x14ac:dyDescent="0.25">
      <c r="B40" s="1" t="s">
        <v>233</v>
      </c>
      <c r="C40" s="1" t="s">
        <v>45</v>
      </c>
      <c r="D40" s="1" t="s">
        <v>242</v>
      </c>
      <c r="E40" s="1" t="s">
        <v>303</v>
      </c>
      <c r="F40" s="2">
        <f t="shared" si="3"/>
        <v>250000</v>
      </c>
      <c r="G40" s="4">
        <f>+VLOOKUP(C40,Indicadores!B:C,2,FALSE)</f>
        <v>0.37843636363636352</v>
      </c>
      <c r="H40" s="1" t="str">
        <f t="shared" si="4"/>
        <v>No Cumple</v>
      </c>
      <c r="I40" s="4">
        <f>+VLOOKUP(C40,Indicadores!B:F,5,FALSE)</f>
        <v>1</v>
      </c>
      <c r="J40" s="1" t="str">
        <f t="shared" si="5"/>
        <v>Cumple</v>
      </c>
      <c r="K40" s="9">
        <f t="shared" si="14"/>
        <v>150000</v>
      </c>
      <c r="L40" s="4">
        <f>+VLOOKUP(C40,Indicadores!B:P,15,FALSE)</f>
        <v>5.4266666666666664E-2</v>
      </c>
      <c r="M40" s="1" t="str">
        <f t="shared" si="6"/>
        <v>No Cumple</v>
      </c>
      <c r="N40" s="5">
        <f t="shared" si="7"/>
        <v>0</v>
      </c>
      <c r="O40" s="5">
        <f t="shared" si="15"/>
        <v>50000</v>
      </c>
      <c r="P40" s="4">
        <v>0.95</v>
      </c>
      <c r="Q40" s="5" t="str">
        <f t="shared" si="8"/>
        <v>Cumple</v>
      </c>
      <c r="R40" s="5">
        <f t="shared" si="9"/>
        <v>47500</v>
      </c>
      <c r="S40" s="5">
        <f t="shared" si="16"/>
        <v>50000</v>
      </c>
      <c r="T40" s="4">
        <f>+VLOOKUP(C40,Indicadores!B:V,21,FALSE)</f>
        <v>0.49419999999999997</v>
      </c>
      <c r="U40" s="35" t="str">
        <f t="shared" si="10"/>
        <v>No Cumple</v>
      </c>
      <c r="V40" s="2">
        <f t="shared" si="11"/>
        <v>0</v>
      </c>
      <c r="W40" s="5" t="str">
        <f t="shared" si="12"/>
        <v>NO</v>
      </c>
      <c r="X40" s="5">
        <f t="shared" si="13"/>
        <v>0</v>
      </c>
      <c r="Y40" s="1"/>
    </row>
    <row r="41" spans="2:25" x14ac:dyDescent="0.25">
      <c r="B41" s="1" t="s">
        <v>233</v>
      </c>
      <c r="C41" s="1" t="s">
        <v>46</v>
      </c>
      <c r="D41" s="1" t="s">
        <v>242</v>
      </c>
      <c r="E41" s="1" t="s">
        <v>303</v>
      </c>
      <c r="F41" s="2">
        <f t="shared" si="3"/>
        <v>250000</v>
      </c>
      <c r="G41" s="4">
        <f>+VLOOKUP(C41,Indicadores!B:C,2,FALSE)</f>
        <v>0.7530363636363635</v>
      </c>
      <c r="H41" s="1" t="str">
        <f t="shared" si="4"/>
        <v>No Cumple</v>
      </c>
      <c r="I41" s="4">
        <f>+VLOOKUP(C41,Indicadores!B:F,5,FALSE)</f>
        <v>0.95238095238095233</v>
      </c>
      <c r="J41" s="1" t="str">
        <f t="shared" si="5"/>
        <v>Cumple</v>
      </c>
      <c r="K41" s="9">
        <f t="shared" si="14"/>
        <v>150000</v>
      </c>
      <c r="L41" s="4">
        <f>+VLOOKUP(C41,Indicadores!B:P,15,FALSE)</f>
        <v>0.49006666666666665</v>
      </c>
      <c r="M41" s="1" t="str">
        <f t="shared" si="6"/>
        <v>No Cumple</v>
      </c>
      <c r="N41" s="5">
        <f t="shared" si="7"/>
        <v>0</v>
      </c>
      <c r="O41" s="5">
        <f t="shared" si="15"/>
        <v>50000</v>
      </c>
      <c r="P41" s="4">
        <v>0.95</v>
      </c>
      <c r="Q41" s="5" t="str">
        <f t="shared" si="8"/>
        <v>Cumple</v>
      </c>
      <c r="R41" s="5">
        <f t="shared" si="9"/>
        <v>47500</v>
      </c>
      <c r="S41" s="5">
        <f t="shared" si="16"/>
        <v>50000</v>
      </c>
      <c r="T41" s="4">
        <f>+VLOOKUP(C41,Indicadores!B:V,21,FALSE)</f>
        <v>0.49559999999999998</v>
      </c>
      <c r="U41" s="35" t="str">
        <f t="shared" si="10"/>
        <v>No Cumple</v>
      </c>
      <c r="V41" s="2">
        <f t="shared" si="11"/>
        <v>0</v>
      </c>
      <c r="W41" s="5" t="str">
        <f t="shared" si="12"/>
        <v>NO</v>
      </c>
      <c r="X41" s="5">
        <f t="shared" si="13"/>
        <v>0</v>
      </c>
      <c r="Y41" s="1"/>
    </row>
    <row r="42" spans="2:25" x14ac:dyDescent="0.25">
      <c r="B42" s="1" t="s">
        <v>233</v>
      </c>
      <c r="C42" s="3" t="s">
        <v>47</v>
      </c>
      <c r="D42" s="1" t="s">
        <v>242</v>
      </c>
      <c r="E42" s="1" t="s">
        <v>303</v>
      </c>
      <c r="F42" s="2">
        <f t="shared" si="3"/>
        <v>250000</v>
      </c>
      <c r="G42" s="4">
        <f>+VLOOKUP(C42,Indicadores!B:C,2,FALSE)</f>
        <v>0.78945454545454541</v>
      </c>
      <c r="H42" s="1" t="str">
        <f t="shared" si="4"/>
        <v>No Cumple</v>
      </c>
      <c r="I42" s="4">
        <f>+VLOOKUP(C42,Indicadores!B:F,5,FALSE)</f>
        <v>1</v>
      </c>
      <c r="J42" s="1" t="str">
        <f t="shared" si="5"/>
        <v>Cumple</v>
      </c>
      <c r="K42" s="9">
        <f t="shared" si="14"/>
        <v>150000</v>
      </c>
      <c r="L42" s="4">
        <f>+VLOOKUP(C42,Indicadores!B:P,15,FALSE)</f>
        <v>0.47879999999999995</v>
      </c>
      <c r="M42" s="1" t="str">
        <f t="shared" si="6"/>
        <v>No Cumple</v>
      </c>
      <c r="N42" s="5">
        <f t="shared" si="7"/>
        <v>0</v>
      </c>
      <c r="O42" s="5">
        <f t="shared" si="15"/>
        <v>50000</v>
      </c>
      <c r="P42" s="4">
        <v>0.95</v>
      </c>
      <c r="Q42" s="5" t="str">
        <f t="shared" si="8"/>
        <v>Cumple</v>
      </c>
      <c r="R42" s="5">
        <f t="shared" si="9"/>
        <v>47500</v>
      </c>
      <c r="S42" s="5">
        <f t="shared" si="16"/>
        <v>50000</v>
      </c>
      <c r="T42" s="4">
        <f>+VLOOKUP(C42,Indicadores!B:V,21,FALSE)</f>
        <v>0.49559999999999998</v>
      </c>
      <c r="U42" s="35" t="str">
        <f t="shared" si="10"/>
        <v>No Cumple</v>
      </c>
      <c r="V42" s="2">
        <f t="shared" si="11"/>
        <v>0</v>
      </c>
      <c r="W42" s="5" t="str">
        <f t="shared" si="12"/>
        <v>NO</v>
      </c>
      <c r="X42" s="5">
        <f t="shared" si="13"/>
        <v>0</v>
      </c>
      <c r="Y42" s="1"/>
    </row>
    <row r="43" spans="2:25" x14ac:dyDescent="0.25">
      <c r="B43" s="1" t="s">
        <v>233</v>
      </c>
      <c r="C43" s="1" t="s">
        <v>48</v>
      </c>
      <c r="D43" s="1" t="s">
        <v>242</v>
      </c>
      <c r="E43" s="1" t="s">
        <v>303</v>
      </c>
      <c r="F43" s="2">
        <f t="shared" si="3"/>
        <v>250000</v>
      </c>
      <c r="G43" s="4">
        <f>+VLOOKUP(C43,Indicadores!B:C,2,FALSE)</f>
        <v>0.75649999999999984</v>
      </c>
      <c r="H43" s="1" t="str">
        <f t="shared" si="4"/>
        <v>No Cumple</v>
      </c>
      <c r="I43" s="4">
        <f>+VLOOKUP(C43,Indicadores!B:F,5,FALSE)</f>
        <v>1</v>
      </c>
      <c r="J43" s="1" t="str">
        <f t="shared" si="5"/>
        <v>Cumple</v>
      </c>
      <c r="K43" s="9">
        <f t="shared" si="14"/>
        <v>150000</v>
      </c>
      <c r="L43" s="4">
        <f>+VLOOKUP(C43,Indicadores!B:P,15,FALSE)</f>
        <v>0.66666666666666663</v>
      </c>
      <c r="M43" s="1" t="str">
        <f t="shared" si="6"/>
        <v>No Cumple</v>
      </c>
      <c r="N43" s="5">
        <f t="shared" si="7"/>
        <v>0</v>
      </c>
      <c r="O43" s="5">
        <f t="shared" si="15"/>
        <v>50000</v>
      </c>
      <c r="P43" s="4">
        <v>0.95</v>
      </c>
      <c r="Q43" s="5" t="str">
        <f t="shared" si="8"/>
        <v>Cumple</v>
      </c>
      <c r="R43" s="5">
        <f t="shared" si="9"/>
        <v>47500</v>
      </c>
      <c r="S43" s="5">
        <f t="shared" si="16"/>
        <v>50000</v>
      </c>
      <c r="T43" s="4">
        <f>+VLOOKUP(C43,Indicadores!B:V,21,FALSE)</f>
        <v>0.96430000000000005</v>
      </c>
      <c r="U43" s="35" t="str">
        <f t="shared" si="10"/>
        <v>No Cumple</v>
      </c>
      <c r="V43" s="2">
        <f t="shared" si="11"/>
        <v>0</v>
      </c>
      <c r="W43" s="5" t="str">
        <f t="shared" si="12"/>
        <v>NO</v>
      </c>
      <c r="X43" s="5">
        <f t="shared" si="13"/>
        <v>0</v>
      </c>
      <c r="Y43" s="1"/>
    </row>
    <row r="44" spans="2:25" x14ac:dyDescent="0.25">
      <c r="B44" s="1" t="s">
        <v>233</v>
      </c>
      <c r="C44" s="1" t="s">
        <v>49</v>
      </c>
      <c r="D44" s="1" t="s">
        <v>241</v>
      </c>
      <c r="E44" s="1" t="s">
        <v>338</v>
      </c>
      <c r="F44" s="2">
        <f t="shared" si="3"/>
        <v>250000</v>
      </c>
      <c r="G44" s="4">
        <f>+VLOOKUP(C44,Indicadores!B:C,2,FALSE)</f>
        <v>0.89160909090909091</v>
      </c>
      <c r="H44" s="1" t="str">
        <f t="shared" si="4"/>
        <v>Cumple</v>
      </c>
      <c r="I44" s="4">
        <f>+VLOOKUP(C44,Indicadores!B:F,5,FALSE)</f>
        <v>1</v>
      </c>
      <c r="J44" s="1" t="str">
        <f t="shared" si="5"/>
        <v>Cumple</v>
      </c>
      <c r="K44" s="9">
        <f t="shared" si="14"/>
        <v>150000</v>
      </c>
      <c r="L44" s="4">
        <f>+VLOOKUP(C44,Indicadores!B:P,15,FALSE)</f>
        <v>0.85896666666666677</v>
      </c>
      <c r="M44" s="1" t="str">
        <f t="shared" si="6"/>
        <v>Cumple</v>
      </c>
      <c r="N44" s="5">
        <f t="shared" si="7"/>
        <v>120000</v>
      </c>
      <c r="O44" s="5">
        <f t="shared" si="15"/>
        <v>50000</v>
      </c>
      <c r="P44" s="4">
        <v>0.95</v>
      </c>
      <c r="Q44" s="5" t="str">
        <f t="shared" si="8"/>
        <v>Cumple</v>
      </c>
      <c r="R44" s="5">
        <f t="shared" si="9"/>
        <v>47500</v>
      </c>
      <c r="S44" s="5">
        <f t="shared" si="16"/>
        <v>50000</v>
      </c>
      <c r="T44" s="4">
        <f>+VLOOKUP(C44,Indicadores!B:V,21,FALSE)</f>
        <v>0.5</v>
      </c>
      <c r="U44" s="35" t="str">
        <f t="shared" si="10"/>
        <v>No Cumple</v>
      </c>
      <c r="V44" s="2">
        <f t="shared" si="11"/>
        <v>0</v>
      </c>
      <c r="W44" s="5" t="str">
        <f t="shared" si="12"/>
        <v>SI</v>
      </c>
      <c r="X44" s="5">
        <f t="shared" si="13"/>
        <v>167500</v>
      </c>
      <c r="Y44" s="1"/>
    </row>
    <row r="45" spans="2:25" x14ac:dyDescent="0.25">
      <c r="B45" s="1" t="s">
        <v>233</v>
      </c>
      <c r="C45" s="1" t="s">
        <v>50</v>
      </c>
      <c r="D45" s="1" t="s">
        <v>242</v>
      </c>
      <c r="E45" s="1" t="s">
        <v>303</v>
      </c>
      <c r="F45" s="2">
        <f t="shared" si="3"/>
        <v>250000</v>
      </c>
      <c r="G45" s="4">
        <f>+VLOOKUP(C45,Indicadores!B:C,2,FALSE)</f>
        <v>0.79950909090909095</v>
      </c>
      <c r="H45" s="1" t="str">
        <f t="shared" si="4"/>
        <v>No Cumple</v>
      </c>
      <c r="I45" s="4">
        <f>+VLOOKUP(C45,Indicadores!B:F,5,FALSE)</f>
        <v>1</v>
      </c>
      <c r="J45" s="1" t="str">
        <f t="shared" si="5"/>
        <v>Cumple</v>
      </c>
      <c r="K45" s="9">
        <f t="shared" si="14"/>
        <v>150000</v>
      </c>
      <c r="L45" s="4">
        <f>+VLOOKUP(C45,Indicadores!B:P,15,FALSE)</f>
        <v>0.51119999999999999</v>
      </c>
      <c r="M45" s="1" t="str">
        <f t="shared" si="6"/>
        <v>No Cumple</v>
      </c>
      <c r="N45" s="5">
        <f t="shared" si="7"/>
        <v>0</v>
      </c>
      <c r="O45" s="5">
        <f t="shared" si="15"/>
        <v>50000</v>
      </c>
      <c r="P45" s="4">
        <v>0.95</v>
      </c>
      <c r="Q45" s="5" t="str">
        <f t="shared" si="8"/>
        <v>Cumple</v>
      </c>
      <c r="R45" s="5">
        <f t="shared" si="9"/>
        <v>47500</v>
      </c>
      <c r="S45" s="5">
        <f t="shared" si="16"/>
        <v>50000</v>
      </c>
      <c r="T45" s="4">
        <f>+VLOOKUP(C45,Indicadores!B:V,21,FALSE)</f>
        <v>0.5</v>
      </c>
      <c r="U45" s="35" t="str">
        <f t="shared" si="10"/>
        <v>No Cumple</v>
      </c>
      <c r="V45" s="2">
        <f t="shared" si="11"/>
        <v>0</v>
      </c>
      <c r="W45" s="5" t="str">
        <f t="shared" si="12"/>
        <v>NO</v>
      </c>
      <c r="X45" s="5">
        <f t="shared" si="13"/>
        <v>0</v>
      </c>
      <c r="Y45" s="1"/>
    </row>
    <row r="46" spans="2:25" x14ac:dyDescent="0.25">
      <c r="B46" s="1" t="s">
        <v>233</v>
      </c>
      <c r="C46" s="1" t="s">
        <v>51</v>
      </c>
      <c r="D46" s="1" t="s">
        <v>242</v>
      </c>
      <c r="E46" s="1" t="s">
        <v>303</v>
      </c>
      <c r="F46" s="2">
        <f t="shared" si="3"/>
        <v>250000</v>
      </c>
      <c r="G46" s="4">
        <f>+VLOOKUP(C46,Indicadores!B:C,2,FALSE)</f>
        <v>0.7218181818181818</v>
      </c>
      <c r="H46" s="1" t="str">
        <f t="shared" si="4"/>
        <v>No Cumple</v>
      </c>
      <c r="I46" s="4">
        <f>+VLOOKUP(C46,Indicadores!B:F,5,FALSE)</f>
        <v>1</v>
      </c>
      <c r="J46" s="1" t="str">
        <f t="shared" si="5"/>
        <v>Cumple</v>
      </c>
      <c r="K46" s="9">
        <f t="shared" si="14"/>
        <v>150000</v>
      </c>
      <c r="L46" s="4">
        <f>+VLOOKUP(C46,Indicadores!B:P,15,FALSE)</f>
        <v>0.32666666666666666</v>
      </c>
      <c r="M46" s="1" t="str">
        <f t="shared" si="6"/>
        <v>No Cumple</v>
      </c>
      <c r="N46" s="5">
        <f t="shared" si="7"/>
        <v>0</v>
      </c>
      <c r="O46" s="5">
        <f t="shared" si="15"/>
        <v>50000</v>
      </c>
      <c r="P46" s="4">
        <v>0.95</v>
      </c>
      <c r="Q46" s="5" t="str">
        <f t="shared" si="8"/>
        <v>Cumple</v>
      </c>
      <c r="R46" s="5">
        <f t="shared" si="9"/>
        <v>47500</v>
      </c>
      <c r="S46" s="5">
        <f t="shared" si="16"/>
        <v>50000</v>
      </c>
      <c r="T46" s="4">
        <f>+VLOOKUP(C46,Indicadores!B:V,21,FALSE)</f>
        <v>0.48</v>
      </c>
      <c r="U46" s="35" t="str">
        <f t="shared" si="10"/>
        <v>No Cumple</v>
      </c>
      <c r="V46" s="2">
        <f t="shared" si="11"/>
        <v>0</v>
      </c>
      <c r="W46" s="5" t="str">
        <f t="shared" si="12"/>
        <v>NO</v>
      </c>
      <c r="X46" s="5">
        <f t="shared" si="13"/>
        <v>0</v>
      </c>
      <c r="Y46" s="1"/>
    </row>
    <row r="47" spans="2:25" x14ac:dyDescent="0.25">
      <c r="B47" s="1" t="s">
        <v>233</v>
      </c>
      <c r="C47" s="1" t="s">
        <v>52</v>
      </c>
      <c r="D47" s="1" t="s">
        <v>242</v>
      </c>
      <c r="E47" s="1" t="s">
        <v>303</v>
      </c>
      <c r="F47" s="2">
        <f t="shared" si="3"/>
        <v>250000</v>
      </c>
      <c r="G47" s="4">
        <f>+VLOOKUP(C47,Indicadores!B:C,2,FALSE)</f>
        <v>0.3695</v>
      </c>
      <c r="H47" s="1" t="str">
        <f t="shared" si="4"/>
        <v>No Cumple</v>
      </c>
      <c r="I47" s="4">
        <f>+VLOOKUP(C47,Indicadores!B:F,5,FALSE)</f>
        <v>1</v>
      </c>
      <c r="J47" s="1" t="str">
        <f t="shared" si="5"/>
        <v>Cumple</v>
      </c>
      <c r="K47" s="9">
        <f t="shared" si="14"/>
        <v>150000</v>
      </c>
      <c r="L47" s="4">
        <f>+VLOOKUP(C47,Indicadores!B:P,15,FALSE)</f>
        <v>0.10453333333333333</v>
      </c>
      <c r="M47" s="1" t="str">
        <f t="shared" si="6"/>
        <v>No Cumple</v>
      </c>
      <c r="N47" s="5">
        <f t="shared" si="7"/>
        <v>0</v>
      </c>
      <c r="O47" s="5">
        <f t="shared" si="15"/>
        <v>50000</v>
      </c>
      <c r="P47" s="4">
        <v>0.95</v>
      </c>
      <c r="Q47" s="5" t="str">
        <f t="shared" si="8"/>
        <v>Cumple</v>
      </c>
      <c r="R47" s="5">
        <f t="shared" si="9"/>
        <v>47500</v>
      </c>
      <c r="S47" s="5">
        <f t="shared" si="16"/>
        <v>50000</v>
      </c>
      <c r="T47" s="4">
        <f>+VLOOKUP(C47,Indicadores!B:V,21,FALSE)</f>
        <v>0.9839</v>
      </c>
      <c r="U47" s="35" t="str">
        <f t="shared" si="10"/>
        <v>No Cumple</v>
      </c>
      <c r="V47" s="2">
        <f t="shared" si="11"/>
        <v>0</v>
      </c>
      <c r="W47" s="5" t="str">
        <f t="shared" si="12"/>
        <v>NO</v>
      </c>
      <c r="X47" s="5">
        <f t="shared" si="13"/>
        <v>0</v>
      </c>
      <c r="Y47" s="1"/>
    </row>
    <row r="48" spans="2:25" x14ac:dyDescent="0.25">
      <c r="B48" s="1" t="s">
        <v>233</v>
      </c>
      <c r="C48" s="1" t="s">
        <v>53</v>
      </c>
      <c r="D48" s="1" t="s">
        <v>242</v>
      </c>
      <c r="E48" s="1" t="s">
        <v>303</v>
      </c>
      <c r="F48" s="2">
        <f t="shared" si="3"/>
        <v>250000</v>
      </c>
      <c r="G48" s="4">
        <f>+VLOOKUP(C48,Indicadores!B:C,2,FALSE)</f>
        <v>0.77899090909090918</v>
      </c>
      <c r="H48" s="1" t="str">
        <f t="shared" si="4"/>
        <v>No Cumple</v>
      </c>
      <c r="I48" s="4">
        <f>+VLOOKUP(C48,Indicadores!B:F,5,FALSE)</f>
        <v>1</v>
      </c>
      <c r="J48" s="1" t="str">
        <f t="shared" si="5"/>
        <v>Cumple</v>
      </c>
      <c r="K48" s="9">
        <f t="shared" si="14"/>
        <v>150000</v>
      </c>
      <c r="L48" s="4">
        <f>+VLOOKUP(C48,Indicadores!B:P,15,FALSE)</f>
        <v>0.60586666666666666</v>
      </c>
      <c r="M48" s="1" t="str">
        <f t="shared" si="6"/>
        <v>No Cumple</v>
      </c>
      <c r="N48" s="5">
        <f t="shared" si="7"/>
        <v>0</v>
      </c>
      <c r="O48" s="5">
        <f t="shared" si="15"/>
        <v>50000</v>
      </c>
      <c r="P48" s="4">
        <v>0.95</v>
      </c>
      <c r="Q48" s="5" t="str">
        <f t="shared" si="8"/>
        <v>Cumple</v>
      </c>
      <c r="R48" s="5">
        <f t="shared" si="9"/>
        <v>47500</v>
      </c>
      <c r="S48" s="5">
        <f t="shared" si="16"/>
        <v>50000</v>
      </c>
      <c r="T48" s="4">
        <f>+VLOOKUP(C48,Indicadores!B:V,21,FALSE)</f>
        <v>0.5</v>
      </c>
      <c r="U48" s="35" t="str">
        <f t="shared" si="10"/>
        <v>No Cumple</v>
      </c>
      <c r="V48" s="2">
        <f t="shared" si="11"/>
        <v>0</v>
      </c>
      <c r="W48" s="5" t="str">
        <f t="shared" si="12"/>
        <v>NO</v>
      </c>
      <c r="X48" s="5">
        <f t="shared" si="13"/>
        <v>0</v>
      </c>
      <c r="Y48" s="1"/>
    </row>
    <row r="49" spans="2:25" x14ac:dyDescent="0.25">
      <c r="B49" s="1" t="s">
        <v>233</v>
      </c>
      <c r="C49" s="1" t="s">
        <v>54</v>
      </c>
      <c r="D49" s="1" t="s">
        <v>242</v>
      </c>
      <c r="E49" s="1" t="s">
        <v>303</v>
      </c>
      <c r="F49" s="2">
        <f t="shared" si="3"/>
        <v>250000</v>
      </c>
      <c r="G49" s="4">
        <f>+VLOOKUP(C49,Indicadores!B:C,2,FALSE)</f>
        <v>0.74939999999999996</v>
      </c>
      <c r="H49" s="1" t="str">
        <f t="shared" si="4"/>
        <v>No Cumple</v>
      </c>
      <c r="I49" s="4">
        <f>+VLOOKUP(C49,Indicadores!B:F,5,FALSE)</f>
        <v>1</v>
      </c>
      <c r="J49" s="1" t="str">
        <f t="shared" si="5"/>
        <v>Cumple</v>
      </c>
      <c r="K49" s="9">
        <f t="shared" si="14"/>
        <v>150000</v>
      </c>
      <c r="L49" s="4">
        <f>+VLOOKUP(C49,Indicadores!B:P,15,FALSE)</f>
        <v>0.37559999999999999</v>
      </c>
      <c r="M49" s="1" t="str">
        <f t="shared" si="6"/>
        <v>No Cumple</v>
      </c>
      <c r="N49" s="5">
        <f t="shared" si="7"/>
        <v>0</v>
      </c>
      <c r="O49" s="5">
        <f t="shared" si="15"/>
        <v>50000</v>
      </c>
      <c r="P49" s="4">
        <v>0.95</v>
      </c>
      <c r="Q49" s="5" t="str">
        <f t="shared" si="8"/>
        <v>Cumple</v>
      </c>
      <c r="R49" s="5">
        <f t="shared" si="9"/>
        <v>47500</v>
      </c>
      <c r="S49" s="5">
        <f t="shared" si="16"/>
        <v>50000</v>
      </c>
      <c r="T49" s="4">
        <f>+VLOOKUP(C49,Indicadores!B:V,21,FALSE)</f>
        <v>0.97299999999999998</v>
      </c>
      <c r="U49" s="35" t="str">
        <f t="shared" si="10"/>
        <v>No Cumple</v>
      </c>
      <c r="V49" s="2">
        <f t="shared" si="11"/>
        <v>0</v>
      </c>
      <c r="W49" s="5" t="str">
        <f t="shared" si="12"/>
        <v>NO</v>
      </c>
      <c r="X49" s="5">
        <f t="shared" si="13"/>
        <v>0</v>
      </c>
      <c r="Y49" s="1"/>
    </row>
    <row r="50" spans="2:25" x14ac:dyDescent="0.25">
      <c r="B50" s="1" t="s">
        <v>233</v>
      </c>
      <c r="C50" s="1" t="s">
        <v>55</v>
      </c>
      <c r="D50" s="1" t="s">
        <v>242</v>
      </c>
      <c r="E50" s="1" t="s">
        <v>303</v>
      </c>
      <c r="F50" s="2">
        <f t="shared" si="3"/>
        <v>250000</v>
      </c>
      <c r="G50" s="4">
        <f>+VLOOKUP(C50,Indicadores!B:C,2,FALSE)</f>
        <v>0.83699090909090923</v>
      </c>
      <c r="H50" s="1" t="str">
        <f t="shared" si="4"/>
        <v>Cumple</v>
      </c>
      <c r="I50" s="4">
        <f>+VLOOKUP(C50,Indicadores!B:F,5,FALSE)</f>
        <v>1</v>
      </c>
      <c r="J50" s="1" t="str">
        <f t="shared" si="5"/>
        <v>Cumple</v>
      </c>
      <c r="K50" s="9">
        <f t="shared" si="14"/>
        <v>150000</v>
      </c>
      <c r="L50" s="4">
        <f>+VLOOKUP(C50,Indicadores!B:P,15,FALSE)</f>
        <v>0.83046666666666669</v>
      </c>
      <c r="M50" s="1" t="str">
        <f t="shared" si="6"/>
        <v>Cumple</v>
      </c>
      <c r="N50" s="5">
        <f t="shared" si="7"/>
        <v>120000</v>
      </c>
      <c r="O50" s="5">
        <f t="shared" si="15"/>
        <v>50000</v>
      </c>
      <c r="P50" s="4">
        <v>0.95</v>
      </c>
      <c r="Q50" s="5" t="str">
        <f t="shared" si="8"/>
        <v>Cumple</v>
      </c>
      <c r="R50" s="5">
        <f t="shared" si="9"/>
        <v>47500</v>
      </c>
      <c r="S50" s="5">
        <f t="shared" si="16"/>
        <v>50000</v>
      </c>
      <c r="T50" s="4">
        <f>+VLOOKUP(C50,Indicadores!B:V,21,FALSE)</f>
        <v>0.5</v>
      </c>
      <c r="U50" s="35" t="str">
        <f t="shared" si="10"/>
        <v>No Cumple</v>
      </c>
      <c r="V50" s="2">
        <f t="shared" si="11"/>
        <v>0</v>
      </c>
      <c r="W50" s="5" t="str">
        <f t="shared" si="12"/>
        <v>SI</v>
      </c>
      <c r="X50" s="5">
        <f t="shared" si="13"/>
        <v>167500</v>
      </c>
      <c r="Y50" s="1"/>
    </row>
    <row r="51" spans="2:25" x14ac:dyDescent="0.25">
      <c r="B51" s="1" t="s">
        <v>233</v>
      </c>
      <c r="C51" s="1" t="s">
        <v>56</v>
      </c>
      <c r="D51" s="1" t="s">
        <v>242</v>
      </c>
      <c r="E51" s="1" t="s">
        <v>303</v>
      </c>
      <c r="F51" s="2">
        <f t="shared" si="3"/>
        <v>250000</v>
      </c>
      <c r="G51" s="4">
        <f>+VLOOKUP(C51,Indicadores!B:C,2,FALSE)</f>
        <v>0.75</v>
      </c>
      <c r="H51" s="1" t="str">
        <f t="shared" si="4"/>
        <v>No Cumple</v>
      </c>
      <c r="I51" s="4">
        <f>+VLOOKUP(C51,Indicadores!B:F,5,FALSE)</f>
        <v>1</v>
      </c>
      <c r="J51" s="1" t="str">
        <f t="shared" si="5"/>
        <v>Cumple</v>
      </c>
      <c r="K51" s="9">
        <f t="shared" si="14"/>
        <v>150000</v>
      </c>
      <c r="L51" s="4">
        <f>+VLOOKUP(C51,Indicadores!B:P,15,FALSE)</f>
        <v>0.34089999999999998</v>
      </c>
      <c r="M51" s="1" t="str">
        <f t="shared" si="6"/>
        <v>No Cumple</v>
      </c>
      <c r="N51" s="5">
        <f t="shared" si="7"/>
        <v>0</v>
      </c>
      <c r="O51" s="5">
        <f t="shared" si="15"/>
        <v>50000</v>
      </c>
      <c r="P51" s="4">
        <v>0.95</v>
      </c>
      <c r="Q51" s="5" t="str">
        <f t="shared" si="8"/>
        <v>Cumple</v>
      </c>
      <c r="R51" s="5">
        <f t="shared" si="9"/>
        <v>47500</v>
      </c>
      <c r="S51" s="5">
        <f t="shared" si="16"/>
        <v>50000</v>
      </c>
      <c r="T51" s="4">
        <f>+VLOOKUP(C51,Indicadores!B:V,21,FALSE)</f>
        <v>0.5</v>
      </c>
      <c r="U51" s="35" t="str">
        <f t="shared" si="10"/>
        <v>No Cumple</v>
      </c>
      <c r="V51" s="2">
        <f t="shared" si="11"/>
        <v>0</v>
      </c>
      <c r="W51" s="5" t="str">
        <f t="shared" si="12"/>
        <v>NO</v>
      </c>
      <c r="X51" s="5">
        <f t="shared" si="13"/>
        <v>0</v>
      </c>
      <c r="Y51" s="8"/>
    </row>
    <row r="52" spans="2:25" x14ac:dyDescent="0.25">
      <c r="B52" s="1" t="s">
        <v>233</v>
      </c>
      <c r="C52" s="1" t="s">
        <v>57</v>
      </c>
      <c r="D52" s="1" t="s">
        <v>242</v>
      </c>
      <c r="E52" s="1" t="s">
        <v>303</v>
      </c>
      <c r="F52" s="2">
        <f t="shared" si="3"/>
        <v>250000</v>
      </c>
      <c r="G52" s="4">
        <f>+VLOOKUP(C52,Indicadores!B:C,2,FALSE)</f>
        <v>0.91754545454545455</v>
      </c>
      <c r="H52" s="1" t="str">
        <f t="shared" si="4"/>
        <v>Cumple</v>
      </c>
      <c r="I52" s="4">
        <f>+VLOOKUP(C52,Indicadores!B:F,5,FALSE)</f>
        <v>1</v>
      </c>
      <c r="J52" s="1" t="str">
        <f t="shared" si="5"/>
        <v>Cumple</v>
      </c>
      <c r="K52" s="9">
        <f t="shared" si="14"/>
        <v>150000</v>
      </c>
      <c r="L52" s="4">
        <f>+VLOOKUP(C52,Indicadores!B:P,15,FALSE)</f>
        <v>0.87790000000000001</v>
      </c>
      <c r="M52" s="1" t="str">
        <f t="shared" si="6"/>
        <v>Cumple</v>
      </c>
      <c r="N52" s="5">
        <f t="shared" si="7"/>
        <v>120000</v>
      </c>
      <c r="O52" s="5">
        <f t="shared" si="15"/>
        <v>50000</v>
      </c>
      <c r="P52" s="4">
        <v>0.95</v>
      </c>
      <c r="Q52" s="5" t="str">
        <f t="shared" si="8"/>
        <v>Cumple</v>
      </c>
      <c r="R52" s="5">
        <f t="shared" si="9"/>
        <v>47500</v>
      </c>
      <c r="S52" s="5">
        <f t="shared" si="16"/>
        <v>50000</v>
      </c>
      <c r="T52" s="4">
        <f>+VLOOKUP(C52,Indicadores!B:V,21,FALSE)</f>
        <v>0.5</v>
      </c>
      <c r="U52" s="35" t="str">
        <f t="shared" si="10"/>
        <v>No Cumple</v>
      </c>
      <c r="V52" s="2">
        <f t="shared" si="11"/>
        <v>0</v>
      </c>
      <c r="W52" s="5" t="str">
        <f t="shared" si="12"/>
        <v>SI</v>
      </c>
      <c r="X52" s="5">
        <f t="shared" si="13"/>
        <v>167500</v>
      </c>
      <c r="Y52" s="1"/>
    </row>
    <row r="53" spans="2:25" x14ac:dyDescent="0.25">
      <c r="B53" s="1" t="s">
        <v>233</v>
      </c>
      <c r="C53" s="1" t="s">
        <v>58</v>
      </c>
      <c r="D53" s="1" t="s">
        <v>242</v>
      </c>
      <c r="E53" s="1" t="s">
        <v>303</v>
      </c>
      <c r="F53" s="2">
        <f t="shared" si="3"/>
        <v>250000</v>
      </c>
      <c r="G53" s="4">
        <f>+VLOOKUP(C53,Indicadores!B:C,2,FALSE)</f>
        <v>0.76043636363636358</v>
      </c>
      <c r="H53" s="1" t="str">
        <f t="shared" si="4"/>
        <v>No Cumple</v>
      </c>
      <c r="I53" s="4">
        <f>+VLOOKUP(C53,Indicadores!B:F,5,FALSE)</f>
        <v>1</v>
      </c>
      <c r="J53" s="1" t="str">
        <f t="shared" si="5"/>
        <v>Cumple</v>
      </c>
      <c r="K53" s="9">
        <f t="shared" si="14"/>
        <v>150000</v>
      </c>
      <c r="L53" s="4">
        <f>+VLOOKUP(C53,Indicadores!B:P,15,FALSE)</f>
        <v>0.41436666666666661</v>
      </c>
      <c r="M53" s="1" t="str">
        <f t="shared" si="6"/>
        <v>No Cumple</v>
      </c>
      <c r="N53" s="5">
        <f t="shared" si="7"/>
        <v>0</v>
      </c>
      <c r="O53" s="5">
        <f t="shared" si="15"/>
        <v>50000</v>
      </c>
      <c r="P53" s="4">
        <v>0.95</v>
      </c>
      <c r="Q53" s="5" t="str">
        <f t="shared" si="8"/>
        <v>Cumple</v>
      </c>
      <c r="R53" s="5">
        <f t="shared" si="9"/>
        <v>47500</v>
      </c>
      <c r="S53" s="5">
        <f t="shared" si="16"/>
        <v>50000</v>
      </c>
      <c r="T53" s="4">
        <f>+VLOOKUP(C53,Indicadores!B:V,21,FALSE)</f>
        <v>0.49480000000000002</v>
      </c>
      <c r="U53" s="35" t="str">
        <f t="shared" si="10"/>
        <v>No Cumple</v>
      </c>
      <c r="V53" s="2">
        <f t="shared" si="11"/>
        <v>0</v>
      </c>
      <c r="W53" s="5" t="str">
        <f t="shared" si="12"/>
        <v>NO</v>
      </c>
      <c r="X53" s="5">
        <f t="shared" si="13"/>
        <v>0</v>
      </c>
      <c r="Y53" s="1"/>
    </row>
    <row r="54" spans="2:25" x14ac:dyDescent="0.25">
      <c r="B54" s="1" t="s">
        <v>234</v>
      </c>
      <c r="C54" s="1" t="s">
        <v>59</v>
      </c>
      <c r="D54" s="1" t="s">
        <v>243</v>
      </c>
      <c r="E54" s="1" t="s">
        <v>339</v>
      </c>
      <c r="F54" s="2">
        <f t="shared" si="3"/>
        <v>250000</v>
      </c>
      <c r="G54" s="4">
        <f>+VLOOKUP(C54,Indicadores!B:C,2,FALSE)</f>
        <v>0.75942727272727273</v>
      </c>
      <c r="H54" s="1" t="str">
        <f t="shared" si="4"/>
        <v>No Cumple</v>
      </c>
      <c r="I54" s="4">
        <f>+VLOOKUP(C54,Indicadores!B:F,5,FALSE)</f>
        <v>1</v>
      </c>
      <c r="J54" s="1" t="str">
        <f t="shared" si="5"/>
        <v>Cumple</v>
      </c>
      <c r="K54" s="9">
        <f t="shared" si="14"/>
        <v>150000</v>
      </c>
      <c r="L54" s="4">
        <f>+VLOOKUP(C54,Indicadores!B:P,15,FALSE)</f>
        <v>0.52253333333333341</v>
      </c>
      <c r="M54" s="1" t="str">
        <f t="shared" si="6"/>
        <v>No Cumple</v>
      </c>
      <c r="N54" s="5">
        <f t="shared" si="7"/>
        <v>0</v>
      </c>
      <c r="O54" s="5">
        <f t="shared" si="15"/>
        <v>50000</v>
      </c>
      <c r="P54" s="4">
        <v>0.95</v>
      </c>
      <c r="Q54" s="5" t="str">
        <f t="shared" si="8"/>
        <v>Cumple</v>
      </c>
      <c r="R54" s="5">
        <f t="shared" si="9"/>
        <v>47500</v>
      </c>
      <c r="S54" s="5">
        <f t="shared" si="16"/>
        <v>50000</v>
      </c>
      <c r="T54" s="4">
        <f>+VLOOKUP(C54,Indicadores!B:V,21,FALSE)</f>
        <v>1</v>
      </c>
      <c r="U54" s="35" t="str">
        <f t="shared" si="10"/>
        <v>Cumple</v>
      </c>
      <c r="V54" s="2">
        <f t="shared" si="11"/>
        <v>50000</v>
      </c>
      <c r="W54" s="5" t="str">
        <f t="shared" si="12"/>
        <v>NO</v>
      </c>
      <c r="X54" s="5">
        <f t="shared" si="13"/>
        <v>0</v>
      </c>
      <c r="Y54" s="1"/>
    </row>
    <row r="55" spans="2:25" x14ac:dyDescent="0.25">
      <c r="B55" s="1" t="s">
        <v>234</v>
      </c>
      <c r="C55" s="1" t="s">
        <v>60</v>
      </c>
      <c r="D55" s="1" t="s">
        <v>243</v>
      </c>
      <c r="E55" s="1" t="s">
        <v>339</v>
      </c>
      <c r="F55" s="2">
        <f t="shared" si="3"/>
        <v>250000</v>
      </c>
      <c r="G55" s="4">
        <f>+VLOOKUP(C55,Indicadores!B:C,2,FALSE)</f>
        <v>0.74545454545454559</v>
      </c>
      <c r="H55" s="1" t="str">
        <f t="shared" si="4"/>
        <v>No Cumple</v>
      </c>
      <c r="I55" s="4">
        <f>+VLOOKUP(C55,Indicadores!B:F,5,FALSE)</f>
        <v>1</v>
      </c>
      <c r="J55" s="1" t="str">
        <f t="shared" si="5"/>
        <v>Cumple</v>
      </c>
      <c r="K55" s="9">
        <f t="shared" si="14"/>
        <v>150000</v>
      </c>
      <c r="L55" s="4">
        <f>+VLOOKUP(C55,Indicadores!B:P,15,FALSE)</f>
        <v>0.51333333333333331</v>
      </c>
      <c r="M55" s="1" t="str">
        <f t="shared" si="6"/>
        <v>No Cumple</v>
      </c>
      <c r="N55" s="5">
        <f t="shared" si="7"/>
        <v>0</v>
      </c>
      <c r="O55" s="5">
        <f t="shared" si="15"/>
        <v>50000</v>
      </c>
      <c r="P55" s="4">
        <v>0.95</v>
      </c>
      <c r="Q55" s="5" t="str">
        <f t="shared" si="8"/>
        <v>Cumple</v>
      </c>
      <c r="R55" s="5">
        <f t="shared" si="9"/>
        <v>47500</v>
      </c>
      <c r="S55" s="5">
        <f t="shared" si="16"/>
        <v>50000</v>
      </c>
      <c r="T55" s="4">
        <f>+VLOOKUP(C55,Indicadores!B:V,21,FALSE)</f>
        <v>0.49</v>
      </c>
      <c r="U55" s="35" t="str">
        <f t="shared" si="10"/>
        <v>No Cumple</v>
      </c>
      <c r="V55" s="2">
        <f t="shared" si="11"/>
        <v>0</v>
      </c>
      <c r="W55" s="5" t="str">
        <f t="shared" si="12"/>
        <v>NO</v>
      </c>
      <c r="X55" s="5">
        <f t="shared" si="13"/>
        <v>0</v>
      </c>
      <c r="Y55" s="1"/>
    </row>
    <row r="56" spans="2:25" x14ac:dyDescent="0.25">
      <c r="B56" s="1" t="s">
        <v>234</v>
      </c>
      <c r="C56" s="1" t="s">
        <v>61</v>
      </c>
      <c r="D56" s="1" t="s">
        <v>243</v>
      </c>
      <c r="E56" s="1" t="s">
        <v>339</v>
      </c>
      <c r="F56" s="2">
        <f t="shared" si="3"/>
        <v>250000</v>
      </c>
      <c r="G56" s="4">
        <f>+VLOOKUP(C56,Indicadores!B:C,2,FALSE)</f>
        <v>0.81584545454545454</v>
      </c>
      <c r="H56" s="1" t="str">
        <f t="shared" si="4"/>
        <v>Cumple</v>
      </c>
      <c r="I56" s="4">
        <f>+VLOOKUP(C56,Indicadores!B:F,5,FALSE)</f>
        <v>1</v>
      </c>
      <c r="J56" s="1" t="str">
        <f t="shared" si="5"/>
        <v>Cumple</v>
      </c>
      <c r="K56" s="9">
        <f t="shared" si="14"/>
        <v>150000</v>
      </c>
      <c r="L56" s="4">
        <f>+VLOOKUP(C56,Indicadores!B:P,15,FALSE)</f>
        <v>0.57356666666666667</v>
      </c>
      <c r="M56" s="1" t="str">
        <f t="shared" si="6"/>
        <v>No Cumple</v>
      </c>
      <c r="N56" s="5">
        <f t="shared" si="7"/>
        <v>0</v>
      </c>
      <c r="O56" s="5">
        <f t="shared" si="15"/>
        <v>50000</v>
      </c>
      <c r="P56" s="4">
        <v>0.95</v>
      </c>
      <c r="Q56" s="5" t="str">
        <f t="shared" si="8"/>
        <v>Cumple</v>
      </c>
      <c r="R56" s="5">
        <f t="shared" si="9"/>
        <v>47500</v>
      </c>
      <c r="S56" s="5">
        <f t="shared" si="16"/>
        <v>50000</v>
      </c>
      <c r="T56" s="4">
        <f>+VLOOKUP(C56,Indicadores!B:V,21,FALSE)</f>
        <v>0.5</v>
      </c>
      <c r="U56" s="35" t="str">
        <f t="shared" si="10"/>
        <v>No Cumple</v>
      </c>
      <c r="V56" s="2">
        <f t="shared" si="11"/>
        <v>0</v>
      </c>
      <c r="W56" s="5" t="str">
        <f t="shared" si="12"/>
        <v>SI</v>
      </c>
      <c r="X56" s="5">
        <f t="shared" si="13"/>
        <v>47500</v>
      </c>
      <c r="Y56" s="1"/>
    </row>
    <row r="57" spans="2:25" x14ac:dyDescent="0.25">
      <c r="B57" s="1" t="s">
        <v>234</v>
      </c>
      <c r="C57" s="1" t="s">
        <v>62</v>
      </c>
      <c r="D57" s="1" t="s">
        <v>243</v>
      </c>
      <c r="E57" s="1" t="s">
        <v>339</v>
      </c>
      <c r="F57" s="2">
        <f t="shared" si="3"/>
        <v>250000</v>
      </c>
      <c r="G57" s="4">
        <f>+VLOOKUP(C57,Indicadores!B:C,2,FALSE)</f>
        <v>0.85741818181818197</v>
      </c>
      <c r="H57" s="1" t="str">
        <f t="shared" si="4"/>
        <v>Cumple</v>
      </c>
      <c r="I57" s="4">
        <f>+VLOOKUP(C57,Indicadores!B:F,5,FALSE)</f>
        <v>0.95</v>
      </c>
      <c r="J57" s="1" t="str">
        <f t="shared" si="5"/>
        <v>Cumple</v>
      </c>
      <c r="K57" s="9">
        <f t="shared" si="14"/>
        <v>150000</v>
      </c>
      <c r="L57" s="4">
        <f>+VLOOKUP(C57,Indicadores!B:P,15,FALSE)</f>
        <v>0.73606666666666676</v>
      </c>
      <c r="M57" s="1" t="str">
        <f t="shared" si="6"/>
        <v>No Cumple</v>
      </c>
      <c r="N57" s="5">
        <f t="shared" si="7"/>
        <v>0</v>
      </c>
      <c r="O57" s="5">
        <f t="shared" si="15"/>
        <v>50000</v>
      </c>
      <c r="P57" s="4">
        <v>0.95</v>
      </c>
      <c r="Q57" s="5" t="str">
        <f t="shared" si="8"/>
        <v>Cumple</v>
      </c>
      <c r="R57" s="5">
        <f t="shared" si="9"/>
        <v>47500</v>
      </c>
      <c r="S57" s="5">
        <f t="shared" si="16"/>
        <v>50000</v>
      </c>
      <c r="T57" s="4">
        <f>+VLOOKUP(C57,Indicadores!B:V,21,FALSE)</f>
        <v>0.5</v>
      </c>
      <c r="U57" s="35" t="str">
        <f t="shared" si="10"/>
        <v>No Cumple</v>
      </c>
      <c r="V57" s="2">
        <f t="shared" si="11"/>
        <v>0</v>
      </c>
      <c r="W57" s="5" t="str">
        <f t="shared" si="12"/>
        <v>SI</v>
      </c>
      <c r="X57" s="5">
        <f t="shared" si="13"/>
        <v>47500</v>
      </c>
      <c r="Y57" s="1"/>
    </row>
    <row r="58" spans="2:25" x14ac:dyDescent="0.25">
      <c r="B58" s="1" t="s">
        <v>234</v>
      </c>
      <c r="C58" s="1" t="s">
        <v>63</v>
      </c>
      <c r="D58" s="1" t="s">
        <v>243</v>
      </c>
      <c r="E58" s="1" t="s">
        <v>339</v>
      </c>
      <c r="F58" s="2">
        <f t="shared" si="3"/>
        <v>250000</v>
      </c>
      <c r="G58" s="4">
        <f>+VLOOKUP(C58,Indicadores!B:C,2,FALSE)</f>
        <v>0.81049090909090904</v>
      </c>
      <c r="H58" s="1" t="str">
        <f t="shared" si="4"/>
        <v>Cumple</v>
      </c>
      <c r="I58" s="4">
        <f>+VLOOKUP(C58,Indicadores!B:F,5,FALSE)</f>
        <v>1</v>
      </c>
      <c r="J58" s="1" t="str">
        <f t="shared" si="5"/>
        <v>Cumple</v>
      </c>
      <c r="K58" s="9">
        <f t="shared" si="14"/>
        <v>150000</v>
      </c>
      <c r="L58" s="4">
        <f>+VLOOKUP(C58,Indicadores!B:P,15,FALSE)</f>
        <v>0.46286666666666659</v>
      </c>
      <c r="M58" s="1" t="str">
        <f t="shared" si="6"/>
        <v>No Cumple</v>
      </c>
      <c r="N58" s="5">
        <f t="shared" si="7"/>
        <v>0</v>
      </c>
      <c r="O58" s="5">
        <f t="shared" si="15"/>
        <v>50000</v>
      </c>
      <c r="P58" s="4">
        <v>0.95</v>
      </c>
      <c r="Q58" s="5" t="str">
        <f t="shared" si="8"/>
        <v>Cumple</v>
      </c>
      <c r="R58" s="5">
        <f t="shared" si="9"/>
        <v>47500</v>
      </c>
      <c r="S58" s="5">
        <f t="shared" si="16"/>
        <v>50000</v>
      </c>
      <c r="T58" s="4">
        <f>+VLOOKUP(C58,Indicadores!B:V,21,FALSE)</f>
        <v>0.5</v>
      </c>
      <c r="U58" s="35" t="str">
        <f t="shared" si="10"/>
        <v>No Cumple</v>
      </c>
      <c r="V58" s="2">
        <f t="shared" si="11"/>
        <v>0</v>
      </c>
      <c r="W58" s="5" t="str">
        <f t="shared" si="12"/>
        <v>SI</v>
      </c>
      <c r="X58" s="5">
        <f t="shared" si="13"/>
        <v>47500</v>
      </c>
      <c r="Y58" s="1"/>
    </row>
    <row r="59" spans="2:25" x14ac:dyDescent="0.25">
      <c r="B59" s="1" t="s">
        <v>234</v>
      </c>
      <c r="C59" s="1" t="s">
        <v>64</v>
      </c>
      <c r="D59" s="1" t="s">
        <v>243</v>
      </c>
      <c r="E59" s="1" t="s">
        <v>339</v>
      </c>
      <c r="F59" s="2">
        <f t="shared" si="3"/>
        <v>250000</v>
      </c>
      <c r="G59" s="4">
        <f>+VLOOKUP(C59,Indicadores!B:C,2,FALSE)</f>
        <v>0.79825454545454544</v>
      </c>
      <c r="H59" s="1" t="str">
        <f t="shared" si="4"/>
        <v>No Cumple</v>
      </c>
      <c r="I59" s="4">
        <f>+VLOOKUP(C59,Indicadores!B:F,5,FALSE)</f>
        <v>1</v>
      </c>
      <c r="J59" s="1" t="str">
        <f t="shared" si="5"/>
        <v>Cumple</v>
      </c>
      <c r="K59" s="9">
        <f t="shared" si="14"/>
        <v>150000</v>
      </c>
      <c r="L59" s="4">
        <f>+VLOOKUP(C59,Indicadores!B:P,15,FALSE)</f>
        <v>0.36109999999999998</v>
      </c>
      <c r="M59" s="1" t="str">
        <f t="shared" si="6"/>
        <v>No Cumple</v>
      </c>
      <c r="N59" s="5">
        <f t="shared" si="7"/>
        <v>0</v>
      </c>
      <c r="O59" s="5">
        <f t="shared" si="15"/>
        <v>50000</v>
      </c>
      <c r="P59" s="4">
        <v>0.95</v>
      </c>
      <c r="Q59" s="5" t="str">
        <f t="shared" si="8"/>
        <v>Cumple</v>
      </c>
      <c r="R59" s="5">
        <f t="shared" si="9"/>
        <v>47500</v>
      </c>
      <c r="S59" s="5">
        <f t="shared" si="16"/>
        <v>50000</v>
      </c>
      <c r="T59" s="4">
        <f>+VLOOKUP(C59,Indicadores!B:V,21,FALSE)</f>
        <v>1</v>
      </c>
      <c r="U59" s="35" t="str">
        <f t="shared" si="10"/>
        <v>Cumple</v>
      </c>
      <c r="V59" s="2">
        <f t="shared" si="11"/>
        <v>50000</v>
      </c>
      <c r="W59" s="5" t="str">
        <f t="shared" si="12"/>
        <v>NO</v>
      </c>
      <c r="X59" s="5">
        <f t="shared" si="13"/>
        <v>0</v>
      </c>
      <c r="Y59" s="1"/>
    </row>
    <row r="60" spans="2:25" x14ac:dyDescent="0.25">
      <c r="B60" s="1" t="s">
        <v>234</v>
      </c>
      <c r="C60" s="1" t="s">
        <v>65</v>
      </c>
      <c r="D60" s="1" t="s">
        <v>243</v>
      </c>
      <c r="E60" s="1" t="s">
        <v>339</v>
      </c>
      <c r="F60" s="2">
        <f t="shared" si="3"/>
        <v>250000</v>
      </c>
      <c r="G60" s="4">
        <f>+VLOOKUP(C60,Indicadores!B:C,2,FALSE)</f>
        <v>0.76489090909090907</v>
      </c>
      <c r="H60" s="1" t="str">
        <f t="shared" si="4"/>
        <v>No Cumple</v>
      </c>
      <c r="I60" s="4">
        <f>+VLOOKUP(C60,Indicadores!B:F,5,FALSE)</f>
        <v>0.92307692307692313</v>
      </c>
      <c r="J60" s="1" t="str">
        <f t="shared" si="5"/>
        <v>Cumple</v>
      </c>
      <c r="K60" s="9">
        <f t="shared" si="14"/>
        <v>150000</v>
      </c>
      <c r="L60" s="4">
        <f>+VLOOKUP(C60,Indicadores!B:P,15,FALSE)</f>
        <v>0.50383333333333336</v>
      </c>
      <c r="M60" s="1" t="str">
        <f t="shared" si="6"/>
        <v>No Cumple</v>
      </c>
      <c r="N60" s="5">
        <f t="shared" si="7"/>
        <v>0</v>
      </c>
      <c r="O60" s="5">
        <f t="shared" si="15"/>
        <v>50000</v>
      </c>
      <c r="P60" s="4">
        <v>0.95</v>
      </c>
      <c r="Q60" s="5" t="str">
        <f t="shared" si="8"/>
        <v>Cumple</v>
      </c>
      <c r="R60" s="5">
        <f t="shared" si="9"/>
        <v>47500</v>
      </c>
      <c r="S60" s="5">
        <f t="shared" si="16"/>
        <v>50000</v>
      </c>
      <c r="T60" s="4">
        <f>+VLOOKUP(C60,Indicadores!B:V,21,FALSE)</f>
        <v>0.5</v>
      </c>
      <c r="U60" s="35" t="str">
        <f t="shared" si="10"/>
        <v>No Cumple</v>
      </c>
      <c r="V60" s="2">
        <f t="shared" si="11"/>
        <v>0</v>
      </c>
      <c r="W60" s="5" t="str">
        <f t="shared" si="12"/>
        <v>NO</v>
      </c>
      <c r="X60" s="5">
        <f t="shared" si="13"/>
        <v>0</v>
      </c>
      <c r="Y60" s="1"/>
    </row>
    <row r="61" spans="2:25" x14ac:dyDescent="0.25">
      <c r="B61" s="1" t="s">
        <v>234</v>
      </c>
      <c r="C61" s="1" t="s">
        <v>66</v>
      </c>
      <c r="D61" s="1" t="s">
        <v>243</v>
      </c>
      <c r="E61" s="1" t="s">
        <v>339</v>
      </c>
      <c r="F61" s="2">
        <f t="shared" si="3"/>
        <v>250000</v>
      </c>
      <c r="G61" s="4">
        <f>+VLOOKUP(C61,Indicadores!B:C,2,FALSE)</f>
        <v>0.79330909090909085</v>
      </c>
      <c r="H61" s="1" t="str">
        <f t="shared" si="4"/>
        <v>No Cumple</v>
      </c>
      <c r="I61" s="4">
        <f>+VLOOKUP(C61,Indicadores!B:F,5,FALSE)</f>
        <v>1</v>
      </c>
      <c r="J61" s="1" t="str">
        <f t="shared" si="5"/>
        <v>Cumple</v>
      </c>
      <c r="K61" s="9">
        <f t="shared" si="14"/>
        <v>150000</v>
      </c>
      <c r="L61" s="4">
        <f>+VLOOKUP(C61,Indicadores!B:P,15,FALSE)</f>
        <v>0.6166666666666667</v>
      </c>
      <c r="M61" s="1" t="str">
        <f t="shared" si="6"/>
        <v>No Cumple</v>
      </c>
      <c r="N61" s="5">
        <f t="shared" si="7"/>
        <v>0</v>
      </c>
      <c r="O61" s="5">
        <f t="shared" si="15"/>
        <v>50000</v>
      </c>
      <c r="P61" s="4">
        <v>0.95</v>
      </c>
      <c r="Q61" s="5" t="str">
        <f t="shared" si="8"/>
        <v>Cumple</v>
      </c>
      <c r="R61" s="5">
        <f t="shared" si="9"/>
        <v>47500</v>
      </c>
      <c r="S61" s="5">
        <f t="shared" si="16"/>
        <v>50000</v>
      </c>
      <c r="T61" s="4">
        <f>+VLOOKUP(C61,Indicadores!B:V,21,FALSE)</f>
        <v>1</v>
      </c>
      <c r="U61" s="35" t="str">
        <f t="shared" si="10"/>
        <v>Cumple</v>
      </c>
      <c r="V61" s="2">
        <f t="shared" si="11"/>
        <v>50000</v>
      </c>
      <c r="W61" s="5" t="str">
        <f t="shared" si="12"/>
        <v>NO</v>
      </c>
      <c r="X61" s="5">
        <f t="shared" si="13"/>
        <v>0</v>
      </c>
      <c r="Y61" s="1"/>
    </row>
    <row r="62" spans="2:25" x14ac:dyDescent="0.25">
      <c r="B62" s="1" t="s">
        <v>234</v>
      </c>
      <c r="C62" s="1" t="s">
        <v>67</v>
      </c>
      <c r="D62" s="1" t="s">
        <v>243</v>
      </c>
      <c r="E62" s="1" t="s">
        <v>339</v>
      </c>
      <c r="F62" s="2">
        <f t="shared" si="3"/>
        <v>250000</v>
      </c>
      <c r="G62" s="4">
        <f>+VLOOKUP(C62,Indicadores!B:C,2,FALSE)</f>
        <v>0.79930909090909086</v>
      </c>
      <c r="H62" s="1" t="str">
        <f t="shared" si="4"/>
        <v>No Cumple</v>
      </c>
      <c r="I62" s="4">
        <f>+VLOOKUP(C62,Indicadores!B:F,5,FALSE)</f>
        <v>1</v>
      </c>
      <c r="J62" s="1" t="str">
        <f t="shared" si="5"/>
        <v>Cumple</v>
      </c>
      <c r="K62" s="9">
        <f t="shared" si="14"/>
        <v>150000</v>
      </c>
      <c r="L62" s="4">
        <f>+VLOOKUP(C62,Indicadores!B:P,15,FALSE)</f>
        <v>0.68553333333333333</v>
      </c>
      <c r="M62" s="1" t="str">
        <f t="shared" si="6"/>
        <v>No Cumple</v>
      </c>
      <c r="N62" s="5">
        <f t="shared" si="7"/>
        <v>0</v>
      </c>
      <c r="O62" s="5">
        <f t="shared" si="15"/>
        <v>50000</v>
      </c>
      <c r="P62" s="4">
        <v>0.95</v>
      </c>
      <c r="Q62" s="5" t="str">
        <f t="shared" si="8"/>
        <v>Cumple</v>
      </c>
      <c r="R62" s="5">
        <f t="shared" si="9"/>
        <v>47500</v>
      </c>
      <c r="S62" s="5">
        <f t="shared" si="16"/>
        <v>50000</v>
      </c>
      <c r="T62" s="4">
        <f>+VLOOKUP(C62,Indicadores!B:V,21,FALSE)</f>
        <v>0.5</v>
      </c>
      <c r="U62" s="35" t="str">
        <f t="shared" si="10"/>
        <v>No Cumple</v>
      </c>
      <c r="V62" s="2">
        <f t="shared" si="11"/>
        <v>0</v>
      </c>
      <c r="W62" s="5" t="str">
        <f t="shared" si="12"/>
        <v>NO</v>
      </c>
      <c r="X62" s="5">
        <f t="shared" si="13"/>
        <v>0</v>
      </c>
      <c r="Y62" s="1"/>
    </row>
    <row r="63" spans="2:25" x14ac:dyDescent="0.25">
      <c r="B63" s="1" t="s">
        <v>234</v>
      </c>
      <c r="C63" s="1" t="s">
        <v>68</v>
      </c>
      <c r="D63" s="1" t="s">
        <v>243</v>
      </c>
      <c r="E63" s="1" t="s">
        <v>339</v>
      </c>
      <c r="F63" s="2">
        <f t="shared" si="3"/>
        <v>250000</v>
      </c>
      <c r="G63" s="4">
        <f>+VLOOKUP(C63,Indicadores!B:C,2,FALSE)</f>
        <v>0.79154545454545444</v>
      </c>
      <c r="H63" s="1" t="str">
        <f t="shared" si="4"/>
        <v>No Cumple</v>
      </c>
      <c r="I63" s="4">
        <f>+VLOOKUP(C63,Indicadores!B:F,5,FALSE)</f>
        <v>0.82352941176470584</v>
      </c>
      <c r="J63" s="1" t="str">
        <f t="shared" si="5"/>
        <v>Cumple</v>
      </c>
      <c r="K63" s="9">
        <f t="shared" si="14"/>
        <v>150000</v>
      </c>
      <c r="L63" s="4">
        <f>+VLOOKUP(C63,Indicadores!B:P,15,FALSE)</f>
        <v>0.45789999999999997</v>
      </c>
      <c r="M63" s="1" t="str">
        <f t="shared" si="6"/>
        <v>No Cumple</v>
      </c>
      <c r="N63" s="5">
        <f t="shared" si="7"/>
        <v>0</v>
      </c>
      <c r="O63" s="5">
        <f t="shared" si="15"/>
        <v>50000</v>
      </c>
      <c r="P63" s="4">
        <v>0.95</v>
      </c>
      <c r="Q63" s="5" t="str">
        <f t="shared" si="8"/>
        <v>Cumple</v>
      </c>
      <c r="R63" s="5">
        <f t="shared" si="9"/>
        <v>47500</v>
      </c>
      <c r="S63" s="5">
        <f t="shared" si="16"/>
        <v>50000</v>
      </c>
      <c r="T63" s="4">
        <f>+VLOOKUP(C63,Indicadores!B:V,21,FALSE)</f>
        <v>0.5</v>
      </c>
      <c r="U63" s="35" t="str">
        <f t="shared" si="10"/>
        <v>No Cumple</v>
      </c>
      <c r="V63" s="2">
        <f t="shared" si="11"/>
        <v>0</v>
      </c>
      <c r="W63" s="5" t="str">
        <f t="shared" si="12"/>
        <v>NO</v>
      </c>
      <c r="X63" s="5">
        <f t="shared" si="13"/>
        <v>0</v>
      </c>
      <c r="Y63" s="1"/>
    </row>
    <row r="64" spans="2:25" x14ac:dyDescent="0.25">
      <c r="B64" s="1" t="s">
        <v>234</v>
      </c>
      <c r="C64" s="1" t="s">
        <v>69</v>
      </c>
      <c r="D64" s="1" t="s">
        <v>243</v>
      </c>
      <c r="E64" s="1" t="s">
        <v>339</v>
      </c>
      <c r="F64" s="2">
        <f t="shared" si="3"/>
        <v>250000</v>
      </c>
      <c r="G64" s="4">
        <f>+VLOOKUP(C64,Indicadores!B:C,2,FALSE)</f>
        <v>0.78886363636363643</v>
      </c>
      <c r="H64" s="1" t="str">
        <f t="shared" si="4"/>
        <v>No Cumple</v>
      </c>
      <c r="I64" s="4">
        <f>+VLOOKUP(C64,Indicadores!B:F,5,FALSE)</f>
        <v>1</v>
      </c>
      <c r="J64" s="1" t="str">
        <f t="shared" si="5"/>
        <v>Cumple</v>
      </c>
      <c r="K64" s="9">
        <f t="shared" si="14"/>
        <v>150000</v>
      </c>
      <c r="L64" s="4">
        <f>+VLOOKUP(C64,Indicadores!B:P,15,FALSE)</f>
        <v>0.57169999999999999</v>
      </c>
      <c r="M64" s="1" t="str">
        <f t="shared" si="6"/>
        <v>No Cumple</v>
      </c>
      <c r="N64" s="5">
        <f t="shared" si="7"/>
        <v>0</v>
      </c>
      <c r="O64" s="5">
        <f t="shared" si="15"/>
        <v>50000</v>
      </c>
      <c r="P64" s="4">
        <v>0.95</v>
      </c>
      <c r="Q64" s="5" t="str">
        <f t="shared" si="8"/>
        <v>Cumple</v>
      </c>
      <c r="R64" s="5">
        <f t="shared" si="9"/>
        <v>47500</v>
      </c>
      <c r="S64" s="5">
        <f t="shared" si="16"/>
        <v>50000</v>
      </c>
      <c r="T64" s="4">
        <f>+VLOOKUP(C64,Indicadores!B:V,21,FALSE)</f>
        <v>0.99195</v>
      </c>
      <c r="U64" s="35" t="str">
        <f t="shared" si="10"/>
        <v>No Cumple</v>
      </c>
      <c r="V64" s="2">
        <f t="shared" si="11"/>
        <v>0</v>
      </c>
      <c r="W64" s="5" t="str">
        <f t="shared" si="12"/>
        <v>NO</v>
      </c>
      <c r="X64" s="5">
        <f t="shared" si="13"/>
        <v>0</v>
      </c>
      <c r="Y64" s="1"/>
    </row>
    <row r="65" spans="2:25" x14ac:dyDescent="0.25">
      <c r="B65" s="1" t="s">
        <v>234</v>
      </c>
      <c r="C65" s="1" t="s">
        <v>70</v>
      </c>
      <c r="D65" s="1" t="s">
        <v>243</v>
      </c>
      <c r="E65" s="1" t="s">
        <v>339</v>
      </c>
      <c r="F65" s="2">
        <f t="shared" si="3"/>
        <v>250000</v>
      </c>
      <c r="G65" s="4">
        <f>+VLOOKUP(C65,Indicadores!B:C,2,FALSE)</f>
        <v>0.75610909090909084</v>
      </c>
      <c r="H65" s="1" t="str">
        <f t="shared" si="4"/>
        <v>No Cumple</v>
      </c>
      <c r="I65" s="4">
        <f>+VLOOKUP(C65,Indicadores!B:F,5,FALSE)</f>
        <v>1</v>
      </c>
      <c r="J65" s="1" t="str">
        <f t="shared" si="5"/>
        <v>Cumple</v>
      </c>
      <c r="K65" s="9">
        <f t="shared" si="14"/>
        <v>150000</v>
      </c>
      <c r="L65" s="4">
        <f>+VLOOKUP(C65,Indicadores!B:P,15,FALSE)</f>
        <v>0.36493333333333333</v>
      </c>
      <c r="M65" s="1" t="str">
        <f t="shared" si="6"/>
        <v>No Cumple</v>
      </c>
      <c r="N65" s="5">
        <f t="shared" si="7"/>
        <v>0</v>
      </c>
      <c r="O65" s="5">
        <f t="shared" si="15"/>
        <v>50000</v>
      </c>
      <c r="P65" s="4">
        <v>0.95</v>
      </c>
      <c r="Q65" s="5" t="str">
        <f t="shared" si="8"/>
        <v>Cumple</v>
      </c>
      <c r="R65" s="5">
        <f t="shared" si="9"/>
        <v>47500</v>
      </c>
      <c r="S65" s="5">
        <f t="shared" si="16"/>
        <v>50000</v>
      </c>
      <c r="T65" s="4">
        <f>+VLOOKUP(C65,Indicadores!B:V,21,FALSE)</f>
        <v>0.5</v>
      </c>
      <c r="U65" s="35" t="str">
        <f t="shared" si="10"/>
        <v>No Cumple</v>
      </c>
      <c r="V65" s="2">
        <f t="shared" si="11"/>
        <v>0</v>
      </c>
      <c r="W65" s="5" t="str">
        <f t="shared" si="12"/>
        <v>NO</v>
      </c>
      <c r="X65" s="5">
        <f t="shared" si="13"/>
        <v>0</v>
      </c>
      <c r="Y65" s="1"/>
    </row>
    <row r="66" spans="2:25" x14ac:dyDescent="0.25">
      <c r="B66" s="1" t="s">
        <v>234</v>
      </c>
      <c r="C66" s="1" t="s">
        <v>71</v>
      </c>
      <c r="D66" s="1" t="s">
        <v>243</v>
      </c>
      <c r="E66" s="1" t="s">
        <v>339</v>
      </c>
      <c r="F66" s="2">
        <f t="shared" si="3"/>
        <v>250000</v>
      </c>
      <c r="G66" s="4">
        <f>+VLOOKUP(C66,Indicadores!B:C,2,FALSE)</f>
        <v>0.84487272727272711</v>
      </c>
      <c r="H66" s="1" t="str">
        <f t="shared" si="4"/>
        <v>Cumple</v>
      </c>
      <c r="I66" s="4">
        <f>+VLOOKUP(C66,Indicadores!B:F,5,FALSE)</f>
        <v>0.92307692307692313</v>
      </c>
      <c r="J66" s="1" t="str">
        <f t="shared" si="5"/>
        <v>Cumple</v>
      </c>
      <c r="K66" s="9">
        <f t="shared" si="14"/>
        <v>150000</v>
      </c>
      <c r="L66" s="4">
        <f>+VLOOKUP(C66,Indicadores!B:P,15,FALSE)</f>
        <v>0.79596666666666671</v>
      </c>
      <c r="M66" s="1" t="str">
        <f t="shared" si="6"/>
        <v>No Cumple</v>
      </c>
      <c r="N66" s="5">
        <f t="shared" si="7"/>
        <v>0</v>
      </c>
      <c r="O66" s="5">
        <f t="shared" si="15"/>
        <v>50000</v>
      </c>
      <c r="P66" s="4">
        <v>0.95</v>
      </c>
      <c r="Q66" s="5" t="str">
        <f t="shared" si="8"/>
        <v>Cumple</v>
      </c>
      <c r="R66" s="5">
        <f t="shared" si="9"/>
        <v>47500</v>
      </c>
      <c r="S66" s="5">
        <f t="shared" si="16"/>
        <v>50000</v>
      </c>
      <c r="T66" s="4">
        <f>+VLOOKUP(C66,Indicadores!B:V,21,FALSE)</f>
        <v>0.49454999999999999</v>
      </c>
      <c r="U66" s="35" t="str">
        <f t="shared" si="10"/>
        <v>No Cumple</v>
      </c>
      <c r="V66" s="2">
        <f t="shared" si="11"/>
        <v>0</v>
      </c>
      <c r="W66" s="5" t="str">
        <f t="shared" si="12"/>
        <v>SI</v>
      </c>
      <c r="X66" s="5">
        <f t="shared" si="13"/>
        <v>47500</v>
      </c>
      <c r="Y66" s="8"/>
    </row>
    <row r="67" spans="2:25" x14ac:dyDescent="0.25">
      <c r="B67" s="1" t="s">
        <v>234</v>
      </c>
      <c r="C67" s="1" t="s">
        <v>72</v>
      </c>
      <c r="D67" s="1" t="s">
        <v>243</v>
      </c>
      <c r="E67" s="1" t="s">
        <v>339</v>
      </c>
      <c r="F67" s="2">
        <f t="shared" si="3"/>
        <v>250000</v>
      </c>
      <c r="G67" s="4">
        <f>+VLOOKUP(C67,Indicadores!B:C,2,FALSE)</f>
        <v>0.80184545454545464</v>
      </c>
      <c r="H67" s="1" t="str">
        <f t="shared" si="4"/>
        <v>Cumple</v>
      </c>
      <c r="I67" s="4">
        <f>+VLOOKUP(C67,Indicadores!B:F,5,FALSE)</f>
        <v>1</v>
      </c>
      <c r="J67" s="1" t="str">
        <f t="shared" si="5"/>
        <v>Cumple</v>
      </c>
      <c r="K67" s="9">
        <f t="shared" si="14"/>
        <v>150000</v>
      </c>
      <c r="L67" s="4">
        <f>+VLOOKUP(C67,Indicadores!B:P,15,FALSE)</f>
        <v>0.70413333333333339</v>
      </c>
      <c r="M67" s="1" t="str">
        <f t="shared" si="6"/>
        <v>No Cumple</v>
      </c>
      <c r="N67" s="5">
        <f t="shared" si="7"/>
        <v>0</v>
      </c>
      <c r="O67" s="5">
        <f t="shared" si="15"/>
        <v>50000</v>
      </c>
      <c r="P67" s="4">
        <v>0.95</v>
      </c>
      <c r="Q67" s="5" t="str">
        <f t="shared" si="8"/>
        <v>Cumple</v>
      </c>
      <c r="R67" s="5">
        <f t="shared" si="9"/>
        <v>47500</v>
      </c>
      <c r="S67" s="5">
        <f t="shared" si="16"/>
        <v>50000</v>
      </c>
      <c r="T67" s="4">
        <f>+VLOOKUP(C67,Indicadores!B:V,21,FALSE)</f>
        <v>0.5</v>
      </c>
      <c r="U67" s="35" t="str">
        <f t="shared" si="10"/>
        <v>No Cumple</v>
      </c>
      <c r="V67" s="2">
        <f t="shared" si="11"/>
        <v>0</v>
      </c>
      <c r="W67" s="5" t="str">
        <f t="shared" si="12"/>
        <v>SI</v>
      </c>
      <c r="X67" s="5">
        <f t="shared" si="13"/>
        <v>47500</v>
      </c>
      <c r="Y67" s="1"/>
    </row>
    <row r="68" spans="2:25" x14ac:dyDescent="0.25">
      <c r="B68" s="1" t="s">
        <v>235</v>
      </c>
      <c r="C68" s="1" t="s">
        <v>73</v>
      </c>
      <c r="D68" s="1" t="s">
        <v>243</v>
      </c>
      <c r="E68" s="1" t="s">
        <v>340</v>
      </c>
      <c r="F68" s="2">
        <f t="shared" si="3"/>
        <v>250000</v>
      </c>
      <c r="G68" s="4">
        <f>+VLOOKUP(C68,Indicadores!B:C,2,FALSE)</f>
        <v>0.81913636363636355</v>
      </c>
      <c r="H68" s="1" t="str">
        <f t="shared" si="4"/>
        <v>Cumple</v>
      </c>
      <c r="I68" s="4">
        <f>+VLOOKUP(C68,Indicadores!B:F,5,FALSE)</f>
        <v>0.90476190476190477</v>
      </c>
      <c r="J68" s="1" t="str">
        <f t="shared" si="5"/>
        <v>Cumple</v>
      </c>
      <c r="K68" s="9">
        <f t="shared" si="14"/>
        <v>150000</v>
      </c>
      <c r="L68" s="4">
        <f>+VLOOKUP(C68,Indicadores!B:P,15,FALSE)</f>
        <v>0.53403333333333336</v>
      </c>
      <c r="M68" s="1" t="str">
        <f t="shared" si="6"/>
        <v>No Cumple</v>
      </c>
      <c r="N68" s="5">
        <f t="shared" si="7"/>
        <v>0</v>
      </c>
      <c r="O68" s="5">
        <f t="shared" si="15"/>
        <v>50000</v>
      </c>
      <c r="P68" s="4">
        <v>0.95</v>
      </c>
      <c r="Q68" s="5" t="str">
        <f t="shared" si="8"/>
        <v>Cumple</v>
      </c>
      <c r="R68" s="5">
        <f t="shared" si="9"/>
        <v>47500</v>
      </c>
      <c r="S68" s="5">
        <f t="shared" si="16"/>
        <v>50000</v>
      </c>
      <c r="T68" s="4">
        <f>+VLOOKUP(C68,Indicadores!B:V,21,FALSE)</f>
        <v>0.5</v>
      </c>
      <c r="U68" s="35" t="str">
        <f t="shared" si="10"/>
        <v>No Cumple</v>
      </c>
      <c r="V68" s="2">
        <f t="shared" si="11"/>
        <v>0</v>
      </c>
      <c r="W68" s="5" t="str">
        <f t="shared" si="12"/>
        <v>SI</v>
      </c>
      <c r="X68" s="5">
        <f t="shared" si="13"/>
        <v>47500</v>
      </c>
      <c r="Y68" s="1"/>
    </row>
    <row r="69" spans="2:25" x14ac:dyDescent="0.25">
      <c r="B69" s="1" t="s">
        <v>235</v>
      </c>
      <c r="C69" s="1" t="s">
        <v>74</v>
      </c>
      <c r="D69" s="1" t="s">
        <v>243</v>
      </c>
      <c r="E69" s="1" t="s">
        <v>340</v>
      </c>
      <c r="F69" s="2">
        <f t="shared" si="3"/>
        <v>250000</v>
      </c>
      <c r="G69" s="4">
        <f>+VLOOKUP(C69,Indicadores!B:C,2,FALSE)</f>
        <v>0.81587272727272719</v>
      </c>
      <c r="H69" s="1" t="str">
        <f t="shared" si="4"/>
        <v>Cumple</v>
      </c>
      <c r="I69" s="4">
        <f>+VLOOKUP(C69,Indicadores!B:F,5,FALSE)</f>
        <v>0.95454545454545459</v>
      </c>
      <c r="J69" s="1" t="str">
        <f t="shared" si="5"/>
        <v>Cumple</v>
      </c>
      <c r="K69" s="9">
        <f t="shared" si="14"/>
        <v>150000</v>
      </c>
      <c r="L69" s="4">
        <f>+VLOOKUP(C69,Indicadores!B:P,15,FALSE)</f>
        <v>0.5984666666666667</v>
      </c>
      <c r="M69" s="1" t="str">
        <f t="shared" si="6"/>
        <v>No Cumple</v>
      </c>
      <c r="N69" s="5">
        <f t="shared" si="7"/>
        <v>0</v>
      </c>
      <c r="O69" s="5">
        <f t="shared" si="15"/>
        <v>50000</v>
      </c>
      <c r="P69" s="4">
        <v>0.95</v>
      </c>
      <c r="Q69" s="5" t="str">
        <f t="shared" si="8"/>
        <v>Cumple</v>
      </c>
      <c r="R69" s="5">
        <f t="shared" si="9"/>
        <v>47500</v>
      </c>
      <c r="S69" s="5">
        <f t="shared" si="16"/>
        <v>50000</v>
      </c>
      <c r="T69" s="4">
        <f>+VLOOKUP(C69,Indicadores!B:V,21,FALSE)</f>
        <v>0.5</v>
      </c>
      <c r="U69" s="35" t="str">
        <f t="shared" si="10"/>
        <v>No Cumple</v>
      </c>
      <c r="V69" s="2">
        <f t="shared" si="11"/>
        <v>0</v>
      </c>
      <c r="W69" s="5" t="str">
        <f t="shared" si="12"/>
        <v>SI</v>
      </c>
      <c r="X69" s="5">
        <f t="shared" si="13"/>
        <v>47500</v>
      </c>
      <c r="Y69" s="1"/>
    </row>
    <row r="70" spans="2:25" x14ac:dyDescent="0.25">
      <c r="B70" s="1" t="s">
        <v>235</v>
      </c>
      <c r="C70" s="1" t="s">
        <v>75</v>
      </c>
      <c r="D70" s="1" t="s">
        <v>243</v>
      </c>
      <c r="E70" s="1" t="s">
        <v>340</v>
      </c>
      <c r="F70" s="2">
        <f t="shared" si="3"/>
        <v>250000</v>
      </c>
      <c r="G70" s="4">
        <f>+VLOOKUP(C70,Indicadores!B:C,2,FALSE)</f>
        <v>0.88816363636363638</v>
      </c>
      <c r="H70" s="1" t="str">
        <f t="shared" si="4"/>
        <v>Cumple</v>
      </c>
      <c r="I70" s="4">
        <f>+VLOOKUP(C70,Indicadores!B:F,5,FALSE)</f>
        <v>0.9642857142857143</v>
      </c>
      <c r="J70" s="1" t="str">
        <f t="shared" si="5"/>
        <v>Cumple</v>
      </c>
      <c r="K70" s="9">
        <f t="shared" ref="K70:K101" si="17">+$F$4*$K$3</f>
        <v>150000</v>
      </c>
      <c r="L70" s="4">
        <f>+VLOOKUP(C70,Indicadores!B:P,15,FALSE)</f>
        <v>0.91533333333333333</v>
      </c>
      <c r="M70" s="1" t="str">
        <f t="shared" si="6"/>
        <v>Cumple</v>
      </c>
      <c r="N70" s="5">
        <f t="shared" si="7"/>
        <v>135000</v>
      </c>
      <c r="O70" s="5">
        <f t="shared" ref="O70:O101" si="18">+$F$4*$O$3</f>
        <v>50000</v>
      </c>
      <c r="P70" s="4">
        <v>0.95</v>
      </c>
      <c r="Q70" s="5" t="str">
        <f t="shared" si="8"/>
        <v>Cumple</v>
      </c>
      <c r="R70" s="5">
        <f t="shared" si="9"/>
        <v>47500</v>
      </c>
      <c r="S70" s="5">
        <f t="shared" ref="S70:S101" si="19">+$F$4*$S$3</f>
        <v>50000</v>
      </c>
      <c r="T70" s="4">
        <f>+VLOOKUP(C70,Indicadores!B:V,21,FALSE)</f>
        <v>0.5</v>
      </c>
      <c r="U70" s="35" t="str">
        <f t="shared" si="10"/>
        <v>No Cumple</v>
      </c>
      <c r="V70" s="2">
        <f t="shared" si="11"/>
        <v>0</v>
      </c>
      <c r="W70" s="5" t="str">
        <f t="shared" si="12"/>
        <v>SI</v>
      </c>
      <c r="X70" s="5">
        <f t="shared" si="13"/>
        <v>182500</v>
      </c>
      <c r="Y70" s="1"/>
    </row>
    <row r="71" spans="2:25" x14ac:dyDescent="0.25">
      <c r="B71" s="1" t="s">
        <v>235</v>
      </c>
      <c r="C71" s="1" t="s">
        <v>76</v>
      </c>
      <c r="D71" s="1" t="s">
        <v>243</v>
      </c>
      <c r="E71" s="1" t="s">
        <v>340</v>
      </c>
      <c r="F71" s="2">
        <f t="shared" ref="F71:F134" si="20">+$F$4</f>
        <v>250000</v>
      </c>
      <c r="G71" s="4">
        <f>+VLOOKUP(C71,Indicadores!B:C,2,FALSE)</f>
        <v>0.80165454545454551</v>
      </c>
      <c r="H71" s="1" t="str">
        <f t="shared" ref="H71:H134" si="21">IF(G71&gt;=80%,"Cumple","No Cumple")</f>
        <v>Cumple</v>
      </c>
      <c r="I71" s="4">
        <f>+VLOOKUP(C71,Indicadores!B:F,5,FALSE)</f>
        <v>1</v>
      </c>
      <c r="J71" s="1" t="str">
        <f t="shared" ref="J71:J134" si="22">IF(I71&gt;=80%,"Cumple","No Cumple")</f>
        <v>Cumple</v>
      </c>
      <c r="K71" s="9">
        <f t="shared" si="17"/>
        <v>150000</v>
      </c>
      <c r="L71" s="4">
        <f>+VLOOKUP(C71,Indicadores!B:P,15,FALSE)</f>
        <v>0.61340000000000006</v>
      </c>
      <c r="M71" s="1" t="str">
        <f t="shared" ref="M71:M134" si="23">IF(L71&gt;=80%,"Cumple","No Cumple")</f>
        <v>No Cumple</v>
      </c>
      <c r="N71" s="5">
        <f t="shared" ref="N71:N136" si="24">IF(L71=80%,K71*70%,IF(AND(L71&gt;=81%,L71&lt;=90%),K71*80%,IF(AND(L71&gt;=91%,L71&lt;=95%),K71*90%,IF(L71=96%,K71*96%,IF(L71=97%,K71*97%,IF(L71=98%,K71*98%,IF(L71=99%,K71*99%,IF(L71=100%,K71,0))))))))</f>
        <v>0</v>
      </c>
      <c r="O71" s="5">
        <f t="shared" si="18"/>
        <v>50000</v>
      </c>
      <c r="P71" s="4">
        <v>0.95</v>
      </c>
      <c r="Q71" s="5" t="str">
        <f t="shared" ref="Q71:Q134" si="25">IF(P71&gt;=80%,"Cumple","No Cumple")</f>
        <v>Cumple</v>
      </c>
      <c r="R71" s="5">
        <f t="shared" ref="R71:R134" si="26">+O71*95%</f>
        <v>47500</v>
      </c>
      <c r="S71" s="5">
        <f t="shared" si="19"/>
        <v>50000</v>
      </c>
      <c r="T71" s="4">
        <f>+VLOOKUP(C71,Indicadores!B:V,21,FALSE)</f>
        <v>0.5</v>
      </c>
      <c r="U71" s="35" t="str">
        <f t="shared" ref="U71:U134" si="27">IF(T71&gt;=100%,"Cumple","No Cumple")</f>
        <v>No Cumple</v>
      </c>
      <c r="V71" s="2">
        <f t="shared" ref="V71:V134" si="28">IF(T71=100%,S71,0)</f>
        <v>0</v>
      </c>
      <c r="W71" s="5" t="str">
        <f t="shared" ref="W71:W134" si="29">IF(AND(G71&gt;=80%,I71&gt;=80%),"SI","NO")</f>
        <v>SI</v>
      </c>
      <c r="X71" s="5">
        <f t="shared" ref="X71:X134" si="30">+IF(W71="SI",N71+R71+V71,0)</f>
        <v>47500</v>
      </c>
      <c r="Y71" s="1"/>
    </row>
    <row r="72" spans="2:25" x14ac:dyDescent="0.25">
      <c r="B72" s="1" t="s">
        <v>235</v>
      </c>
      <c r="C72" s="1" t="s">
        <v>77</v>
      </c>
      <c r="D72" s="1" t="s">
        <v>243</v>
      </c>
      <c r="E72" s="1" t="s">
        <v>340</v>
      </c>
      <c r="F72" s="2">
        <f t="shared" si="20"/>
        <v>250000</v>
      </c>
      <c r="G72" s="4">
        <f>+VLOOKUP(C72,Indicadores!B:C,2,FALSE)</f>
        <v>0.76715454545454553</v>
      </c>
      <c r="H72" s="1" t="str">
        <f t="shared" si="21"/>
        <v>No Cumple</v>
      </c>
      <c r="I72" s="4">
        <f>+VLOOKUP(C72,Indicadores!B:F,5,FALSE)</f>
        <v>0.88888888888888884</v>
      </c>
      <c r="J72" s="1" t="str">
        <f t="shared" si="22"/>
        <v>Cumple</v>
      </c>
      <c r="K72" s="9">
        <f t="shared" si="17"/>
        <v>150000</v>
      </c>
      <c r="L72" s="4">
        <f>+VLOOKUP(C72,Indicadores!B:P,15,FALSE)</f>
        <v>0.44443333333333329</v>
      </c>
      <c r="M72" s="1" t="str">
        <f t="shared" si="23"/>
        <v>No Cumple</v>
      </c>
      <c r="N72" s="5">
        <f t="shared" si="24"/>
        <v>0</v>
      </c>
      <c r="O72" s="5">
        <f t="shared" si="18"/>
        <v>50000</v>
      </c>
      <c r="P72" s="4">
        <v>0.95</v>
      </c>
      <c r="Q72" s="5" t="str">
        <f t="shared" si="25"/>
        <v>Cumple</v>
      </c>
      <c r="R72" s="5">
        <f t="shared" si="26"/>
        <v>47500</v>
      </c>
      <c r="S72" s="5">
        <f t="shared" si="19"/>
        <v>50000</v>
      </c>
      <c r="T72" s="4">
        <f>+VLOOKUP(C72,Indicadores!B:V,21,FALSE)</f>
        <v>1</v>
      </c>
      <c r="U72" s="35" t="str">
        <f t="shared" si="27"/>
        <v>Cumple</v>
      </c>
      <c r="V72" s="2">
        <f t="shared" si="28"/>
        <v>50000</v>
      </c>
      <c r="W72" s="5" t="str">
        <f t="shared" si="29"/>
        <v>NO</v>
      </c>
      <c r="X72" s="5">
        <f t="shared" si="30"/>
        <v>0</v>
      </c>
      <c r="Y72" s="1"/>
    </row>
    <row r="73" spans="2:25" x14ac:dyDescent="0.25">
      <c r="B73" s="1" t="s">
        <v>236</v>
      </c>
      <c r="C73" s="1" t="s">
        <v>78</v>
      </c>
      <c r="D73" s="1" t="s">
        <v>243</v>
      </c>
      <c r="E73" s="1" t="s">
        <v>340</v>
      </c>
      <c r="F73" s="2">
        <f t="shared" si="20"/>
        <v>250000</v>
      </c>
      <c r="G73" s="4">
        <f>+VLOOKUP(C73,Indicadores!B:C,2,FALSE)</f>
        <v>0.85227272727272729</v>
      </c>
      <c r="H73" s="1" t="str">
        <f t="shared" si="21"/>
        <v>Cumple</v>
      </c>
      <c r="I73" s="4">
        <f>+VLOOKUP(C73,Indicadores!B:F,5,FALSE)</f>
        <v>1</v>
      </c>
      <c r="J73" s="1" t="str">
        <f t="shared" si="22"/>
        <v>Cumple</v>
      </c>
      <c r="K73" s="9">
        <f t="shared" si="17"/>
        <v>150000</v>
      </c>
      <c r="L73" s="4">
        <f>+VLOOKUP(C73,Indicadores!B:P,15,FALSE)</f>
        <v>0.50556666666666672</v>
      </c>
      <c r="M73" s="1" t="str">
        <f t="shared" si="23"/>
        <v>No Cumple</v>
      </c>
      <c r="N73" s="5">
        <f t="shared" si="24"/>
        <v>0</v>
      </c>
      <c r="O73" s="5">
        <f t="shared" si="18"/>
        <v>50000</v>
      </c>
      <c r="P73" s="4">
        <v>0.95</v>
      </c>
      <c r="Q73" s="5" t="str">
        <f t="shared" si="25"/>
        <v>Cumple</v>
      </c>
      <c r="R73" s="5">
        <f t="shared" si="26"/>
        <v>47500</v>
      </c>
      <c r="S73" s="5">
        <f t="shared" si="19"/>
        <v>50000</v>
      </c>
      <c r="T73" s="4">
        <f>+VLOOKUP(C73,Indicadores!B:V,21,FALSE)</f>
        <v>0.5</v>
      </c>
      <c r="U73" s="35" t="str">
        <f t="shared" si="27"/>
        <v>No Cumple</v>
      </c>
      <c r="V73" s="2">
        <f t="shared" si="28"/>
        <v>0</v>
      </c>
      <c r="W73" s="5" t="str">
        <f t="shared" si="29"/>
        <v>SI</v>
      </c>
      <c r="X73" s="5">
        <f t="shared" si="30"/>
        <v>47500</v>
      </c>
      <c r="Y73" s="1"/>
    </row>
    <row r="74" spans="2:25" x14ac:dyDescent="0.25">
      <c r="B74" s="1" t="s">
        <v>236</v>
      </c>
      <c r="C74" s="1" t="s">
        <v>79</v>
      </c>
      <c r="D74" s="1" t="s">
        <v>243</v>
      </c>
      <c r="E74" s="1" t="s">
        <v>340</v>
      </c>
      <c r="F74" s="2">
        <f t="shared" si="20"/>
        <v>250000</v>
      </c>
      <c r="G74" s="4">
        <f>+VLOOKUP(C74,Indicadores!B:C,2,FALSE)</f>
        <v>0.87129090909090923</v>
      </c>
      <c r="H74" s="1" t="str">
        <f t="shared" si="21"/>
        <v>Cumple</v>
      </c>
      <c r="I74" s="4">
        <f>+VLOOKUP(C74,Indicadores!B:F,5,FALSE)</f>
        <v>0.96296296296296291</v>
      </c>
      <c r="J74" s="1" t="str">
        <f t="shared" si="22"/>
        <v>Cumple</v>
      </c>
      <c r="K74" s="9">
        <f t="shared" si="17"/>
        <v>150000</v>
      </c>
      <c r="L74" s="4">
        <f>+VLOOKUP(C74,Indicadores!B:P,15,FALSE)</f>
        <v>0.58183333333333331</v>
      </c>
      <c r="M74" s="1" t="str">
        <f t="shared" si="23"/>
        <v>No Cumple</v>
      </c>
      <c r="N74" s="5">
        <f t="shared" si="24"/>
        <v>0</v>
      </c>
      <c r="O74" s="5">
        <f t="shared" si="18"/>
        <v>50000</v>
      </c>
      <c r="P74" s="4">
        <v>0.95</v>
      </c>
      <c r="Q74" s="5" t="str">
        <f t="shared" si="25"/>
        <v>Cumple</v>
      </c>
      <c r="R74" s="5">
        <f t="shared" si="26"/>
        <v>47500</v>
      </c>
      <c r="S74" s="5">
        <f t="shared" si="19"/>
        <v>50000</v>
      </c>
      <c r="T74" s="4">
        <f>+VLOOKUP(C74,Indicadores!B:V,21,FALSE)</f>
        <v>0.5</v>
      </c>
      <c r="U74" s="35" t="str">
        <f t="shared" si="27"/>
        <v>No Cumple</v>
      </c>
      <c r="V74" s="2">
        <f t="shared" si="28"/>
        <v>0</v>
      </c>
      <c r="W74" s="5" t="str">
        <f t="shared" si="29"/>
        <v>SI</v>
      </c>
      <c r="X74" s="5">
        <f t="shared" si="30"/>
        <v>47500</v>
      </c>
      <c r="Y74" s="1"/>
    </row>
    <row r="75" spans="2:25" x14ac:dyDescent="0.25">
      <c r="B75" s="1" t="s">
        <v>236</v>
      </c>
      <c r="C75" s="1" t="s">
        <v>80</v>
      </c>
      <c r="D75" s="1" t="s">
        <v>243</v>
      </c>
      <c r="E75" s="1" t="s">
        <v>340</v>
      </c>
      <c r="F75" s="2">
        <f t="shared" si="20"/>
        <v>250000</v>
      </c>
      <c r="G75" s="4">
        <f>+VLOOKUP(C75,Indicadores!B:C,2,FALSE)</f>
        <v>0.77189090909090907</v>
      </c>
      <c r="H75" s="1" t="str">
        <f t="shared" si="21"/>
        <v>No Cumple</v>
      </c>
      <c r="I75" s="4">
        <f>+VLOOKUP(C75,Indicadores!B:F,5,FALSE)</f>
        <v>0.96</v>
      </c>
      <c r="J75" s="1" t="str">
        <f t="shared" si="22"/>
        <v>Cumple</v>
      </c>
      <c r="K75" s="9">
        <f t="shared" si="17"/>
        <v>150000</v>
      </c>
      <c r="L75" s="4">
        <f>+VLOOKUP(C75,Indicadores!B:P,15,FALSE)</f>
        <v>0.44980000000000003</v>
      </c>
      <c r="M75" s="1" t="str">
        <f t="shared" si="23"/>
        <v>No Cumple</v>
      </c>
      <c r="N75" s="5">
        <f t="shared" si="24"/>
        <v>0</v>
      </c>
      <c r="O75" s="5">
        <f t="shared" si="18"/>
        <v>50000</v>
      </c>
      <c r="P75" s="4">
        <v>0.95</v>
      </c>
      <c r="Q75" s="5" t="str">
        <f t="shared" si="25"/>
        <v>Cumple</v>
      </c>
      <c r="R75" s="5">
        <f t="shared" si="26"/>
        <v>47500</v>
      </c>
      <c r="S75" s="5">
        <f t="shared" si="19"/>
        <v>50000</v>
      </c>
      <c r="T75" s="4">
        <f>+VLOOKUP(C75,Indicadores!B:V,21,FALSE)</f>
        <v>0.5</v>
      </c>
      <c r="U75" s="35" t="str">
        <f t="shared" si="27"/>
        <v>No Cumple</v>
      </c>
      <c r="V75" s="2">
        <f t="shared" si="28"/>
        <v>0</v>
      </c>
      <c r="W75" s="5" t="str">
        <f t="shared" si="29"/>
        <v>NO</v>
      </c>
      <c r="X75" s="5">
        <f t="shared" si="30"/>
        <v>0</v>
      </c>
      <c r="Y75" s="1"/>
    </row>
    <row r="76" spans="2:25" x14ac:dyDescent="0.25">
      <c r="B76" s="1" t="s">
        <v>236</v>
      </c>
      <c r="C76" s="1" t="s">
        <v>81</v>
      </c>
      <c r="D76" s="1" t="s">
        <v>243</v>
      </c>
      <c r="E76" s="1" t="s">
        <v>340</v>
      </c>
      <c r="F76" s="2">
        <f t="shared" si="20"/>
        <v>250000</v>
      </c>
      <c r="G76" s="4">
        <f>+VLOOKUP(C76,Indicadores!B:C,2,FALSE)</f>
        <v>0.79692727272727271</v>
      </c>
      <c r="H76" s="1" t="str">
        <f t="shared" si="21"/>
        <v>No Cumple</v>
      </c>
      <c r="I76" s="4">
        <f>+VLOOKUP(C76,Indicadores!B:F,5,FALSE)</f>
        <v>1</v>
      </c>
      <c r="J76" s="1" t="str">
        <f t="shared" si="22"/>
        <v>Cumple</v>
      </c>
      <c r="K76" s="9">
        <f t="shared" si="17"/>
        <v>150000</v>
      </c>
      <c r="L76" s="4">
        <f>+VLOOKUP(C76,Indicadores!B:P,15,FALSE)</f>
        <v>0.5949333333333332</v>
      </c>
      <c r="M76" s="1" t="str">
        <f t="shared" si="23"/>
        <v>No Cumple</v>
      </c>
      <c r="N76" s="5">
        <f t="shared" si="24"/>
        <v>0</v>
      </c>
      <c r="O76" s="5">
        <f t="shared" si="18"/>
        <v>50000</v>
      </c>
      <c r="P76" s="4">
        <v>0.95</v>
      </c>
      <c r="Q76" s="5" t="str">
        <f t="shared" si="25"/>
        <v>Cumple</v>
      </c>
      <c r="R76" s="5">
        <f t="shared" si="26"/>
        <v>47500</v>
      </c>
      <c r="S76" s="5">
        <f t="shared" si="19"/>
        <v>50000</v>
      </c>
      <c r="T76" s="4">
        <f>+VLOOKUP(C76,Indicadores!B:V,21,FALSE)</f>
        <v>0.49469999999999997</v>
      </c>
      <c r="U76" s="35" t="str">
        <f t="shared" si="27"/>
        <v>No Cumple</v>
      </c>
      <c r="V76" s="2">
        <f t="shared" si="28"/>
        <v>0</v>
      </c>
      <c r="W76" s="5" t="str">
        <f t="shared" si="29"/>
        <v>NO</v>
      </c>
      <c r="X76" s="5">
        <f t="shared" si="30"/>
        <v>0</v>
      </c>
      <c r="Y76" s="1"/>
    </row>
    <row r="77" spans="2:25" x14ac:dyDescent="0.25">
      <c r="B77" s="1" t="s">
        <v>236</v>
      </c>
      <c r="C77" s="1" t="s">
        <v>82</v>
      </c>
      <c r="D77" s="1" t="s">
        <v>243</v>
      </c>
      <c r="E77" s="1" t="s">
        <v>340</v>
      </c>
      <c r="F77" s="2">
        <f t="shared" si="20"/>
        <v>250000</v>
      </c>
      <c r="G77" s="4">
        <f>+VLOOKUP(C77,Indicadores!B:C,2,FALSE)</f>
        <v>0.76105454545454554</v>
      </c>
      <c r="H77" s="1" t="str">
        <f t="shared" si="21"/>
        <v>No Cumple</v>
      </c>
      <c r="I77" s="4">
        <f>+VLOOKUP(C77,Indicadores!B:F,5,FALSE)</f>
        <v>1</v>
      </c>
      <c r="J77" s="1" t="str">
        <f t="shared" si="22"/>
        <v>Cumple</v>
      </c>
      <c r="K77" s="9">
        <f t="shared" si="17"/>
        <v>150000</v>
      </c>
      <c r="L77" s="4">
        <f>+VLOOKUP(C77,Indicadores!B:P,15,FALSE)</f>
        <v>0.51383333333333336</v>
      </c>
      <c r="M77" s="1" t="str">
        <f t="shared" si="23"/>
        <v>No Cumple</v>
      </c>
      <c r="N77" s="5">
        <f t="shared" si="24"/>
        <v>0</v>
      </c>
      <c r="O77" s="5">
        <f t="shared" si="18"/>
        <v>50000</v>
      </c>
      <c r="P77" s="4">
        <v>0.95</v>
      </c>
      <c r="Q77" s="5" t="str">
        <f t="shared" si="25"/>
        <v>Cumple</v>
      </c>
      <c r="R77" s="5">
        <f t="shared" si="26"/>
        <v>47500</v>
      </c>
      <c r="S77" s="5">
        <f t="shared" si="19"/>
        <v>50000</v>
      </c>
      <c r="T77" s="4">
        <f>+VLOOKUP(C77,Indicadores!B:V,21,FALSE)</f>
        <v>0.5</v>
      </c>
      <c r="U77" s="35" t="str">
        <f t="shared" si="27"/>
        <v>No Cumple</v>
      </c>
      <c r="V77" s="2">
        <f t="shared" si="28"/>
        <v>0</v>
      </c>
      <c r="W77" s="5" t="str">
        <f t="shared" si="29"/>
        <v>NO</v>
      </c>
      <c r="X77" s="5">
        <f t="shared" si="30"/>
        <v>0</v>
      </c>
      <c r="Y77" s="1"/>
    </row>
    <row r="78" spans="2:25" x14ac:dyDescent="0.25">
      <c r="B78" s="1" t="s">
        <v>235</v>
      </c>
      <c r="C78" s="1" t="s">
        <v>83</v>
      </c>
      <c r="D78" s="1" t="s">
        <v>243</v>
      </c>
      <c r="E78" s="1" t="s">
        <v>340</v>
      </c>
      <c r="F78" s="2">
        <f t="shared" si="20"/>
        <v>250000</v>
      </c>
      <c r="G78" s="4">
        <f>+VLOOKUP(C78,Indicadores!B:C,2,FALSE)</f>
        <v>0.79361818181818211</v>
      </c>
      <c r="H78" s="1" t="str">
        <f t="shared" si="21"/>
        <v>No Cumple</v>
      </c>
      <c r="I78" s="4">
        <f>+VLOOKUP(C78,Indicadores!B:F,5,FALSE)</f>
        <v>1</v>
      </c>
      <c r="J78" s="1" t="str">
        <f t="shared" si="22"/>
        <v>Cumple</v>
      </c>
      <c r="K78" s="9">
        <f t="shared" si="17"/>
        <v>150000</v>
      </c>
      <c r="L78" s="4">
        <f>+VLOOKUP(C78,Indicadores!B:P,15,FALSE)</f>
        <v>0.41783333333333333</v>
      </c>
      <c r="M78" s="1" t="str">
        <f t="shared" si="23"/>
        <v>No Cumple</v>
      </c>
      <c r="N78" s="5">
        <f t="shared" si="24"/>
        <v>0</v>
      </c>
      <c r="O78" s="5">
        <f t="shared" si="18"/>
        <v>50000</v>
      </c>
      <c r="P78" s="4">
        <v>0.95</v>
      </c>
      <c r="Q78" s="5" t="str">
        <f t="shared" si="25"/>
        <v>Cumple</v>
      </c>
      <c r="R78" s="5">
        <f t="shared" si="26"/>
        <v>47500</v>
      </c>
      <c r="S78" s="5">
        <f t="shared" si="19"/>
        <v>50000</v>
      </c>
      <c r="T78" s="4">
        <f>+VLOOKUP(C78,Indicadores!B:V,21,FALSE)</f>
        <v>0.99324999999999997</v>
      </c>
      <c r="U78" s="35" t="str">
        <f t="shared" si="27"/>
        <v>No Cumple</v>
      </c>
      <c r="V78" s="2">
        <f t="shared" si="28"/>
        <v>0</v>
      </c>
      <c r="W78" s="5" t="str">
        <f t="shared" si="29"/>
        <v>NO</v>
      </c>
      <c r="X78" s="5">
        <f t="shared" si="30"/>
        <v>0</v>
      </c>
      <c r="Y78" s="1"/>
    </row>
    <row r="79" spans="2:25" x14ac:dyDescent="0.25">
      <c r="B79" s="1" t="s">
        <v>237</v>
      </c>
      <c r="C79" s="1" t="s">
        <v>84</v>
      </c>
      <c r="D79" s="1" t="s">
        <v>242</v>
      </c>
      <c r="E79" s="1" t="s">
        <v>341</v>
      </c>
      <c r="F79" s="2">
        <f t="shared" si="20"/>
        <v>250000</v>
      </c>
      <c r="G79" s="4">
        <f>+VLOOKUP(C79,Indicadores!B:C,2,FALSE)</f>
        <v>0.82598181818181826</v>
      </c>
      <c r="H79" s="1" t="str">
        <f t="shared" si="21"/>
        <v>Cumple</v>
      </c>
      <c r="I79" s="4">
        <f>+VLOOKUP(C79,Indicadores!B:F,5,FALSE)</f>
        <v>0.875</v>
      </c>
      <c r="J79" s="1" t="str">
        <f t="shared" si="22"/>
        <v>Cumple</v>
      </c>
      <c r="K79" s="9">
        <f t="shared" si="17"/>
        <v>150000</v>
      </c>
      <c r="L79" s="4">
        <f>+VLOOKUP(C79,Indicadores!B:P,15,FALSE)</f>
        <v>0.63683333333333336</v>
      </c>
      <c r="M79" s="1" t="str">
        <f t="shared" si="23"/>
        <v>No Cumple</v>
      </c>
      <c r="N79" s="5">
        <f t="shared" si="24"/>
        <v>0</v>
      </c>
      <c r="O79" s="5">
        <f t="shared" si="18"/>
        <v>50000</v>
      </c>
      <c r="P79" s="4">
        <v>0.95</v>
      </c>
      <c r="Q79" s="5" t="str">
        <f t="shared" si="25"/>
        <v>Cumple</v>
      </c>
      <c r="R79" s="5">
        <f t="shared" si="26"/>
        <v>47500</v>
      </c>
      <c r="S79" s="5">
        <f t="shared" si="19"/>
        <v>50000</v>
      </c>
      <c r="T79" s="4">
        <f>+VLOOKUP(C79,Indicadores!B:V,21,FALSE)</f>
        <v>1</v>
      </c>
      <c r="U79" s="35" t="str">
        <f t="shared" si="27"/>
        <v>Cumple</v>
      </c>
      <c r="V79" s="2">
        <f t="shared" si="28"/>
        <v>50000</v>
      </c>
      <c r="W79" s="5" t="str">
        <f t="shared" si="29"/>
        <v>SI</v>
      </c>
      <c r="X79" s="5">
        <f t="shared" si="30"/>
        <v>97500</v>
      </c>
      <c r="Y79" s="1"/>
    </row>
    <row r="80" spans="2:25" x14ac:dyDescent="0.25">
      <c r="B80" s="1" t="s">
        <v>237</v>
      </c>
      <c r="C80" s="1" t="s">
        <v>85</v>
      </c>
      <c r="D80" s="1" t="s">
        <v>242</v>
      </c>
      <c r="E80" s="1" t="s">
        <v>341</v>
      </c>
      <c r="F80" s="2">
        <f t="shared" si="20"/>
        <v>250000</v>
      </c>
      <c r="G80" s="4">
        <f>+VLOOKUP(C80,Indicadores!B:C,2,FALSE)</f>
        <v>0.76119999999999988</v>
      </c>
      <c r="H80" s="1" t="str">
        <f t="shared" si="21"/>
        <v>No Cumple</v>
      </c>
      <c r="I80" s="4">
        <f>+VLOOKUP(C80,Indicadores!B:F,5,FALSE)</f>
        <v>0.77777777777777779</v>
      </c>
      <c r="J80" s="1" t="str">
        <f t="shared" si="22"/>
        <v>No Cumple</v>
      </c>
      <c r="K80" s="9">
        <f t="shared" si="17"/>
        <v>150000</v>
      </c>
      <c r="L80" s="4">
        <f>+VLOOKUP(C80,Indicadores!B:P,15,FALSE)</f>
        <v>0.36109999999999998</v>
      </c>
      <c r="M80" s="1" t="str">
        <f t="shared" si="23"/>
        <v>No Cumple</v>
      </c>
      <c r="N80" s="5">
        <f t="shared" si="24"/>
        <v>0</v>
      </c>
      <c r="O80" s="5">
        <f t="shared" si="18"/>
        <v>50000</v>
      </c>
      <c r="P80" s="4">
        <v>0.95</v>
      </c>
      <c r="Q80" s="5" t="str">
        <f t="shared" si="25"/>
        <v>Cumple</v>
      </c>
      <c r="R80" s="5">
        <f t="shared" si="26"/>
        <v>47500</v>
      </c>
      <c r="S80" s="5">
        <f t="shared" si="19"/>
        <v>50000</v>
      </c>
      <c r="T80" s="4">
        <f>+VLOOKUP(C80,Indicadores!B:V,21,FALSE)</f>
        <v>0.99255000000000004</v>
      </c>
      <c r="U80" s="35" t="str">
        <f t="shared" si="27"/>
        <v>No Cumple</v>
      </c>
      <c r="V80" s="2">
        <f t="shared" si="28"/>
        <v>0</v>
      </c>
      <c r="W80" s="5" t="str">
        <f t="shared" si="29"/>
        <v>NO</v>
      </c>
      <c r="X80" s="5">
        <f t="shared" si="30"/>
        <v>0</v>
      </c>
      <c r="Y80" s="1"/>
    </row>
    <row r="81" spans="2:25" x14ac:dyDescent="0.25">
      <c r="B81" s="1" t="s">
        <v>237</v>
      </c>
      <c r="C81" s="1" t="s">
        <v>86</v>
      </c>
      <c r="D81" s="1" t="s">
        <v>242</v>
      </c>
      <c r="E81" s="1" t="s">
        <v>341</v>
      </c>
      <c r="F81" s="2">
        <f t="shared" si="20"/>
        <v>250000</v>
      </c>
      <c r="G81" s="4">
        <f>+VLOOKUP(C81,Indicadores!B:C,2,FALSE)</f>
        <v>0.82840000000000014</v>
      </c>
      <c r="H81" s="1" t="str">
        <f t="shared" si="21"/>
        <v>Cumple</v>
      </c>
      <c r="I81" s="4">
        <f>+VLOOKUP(C81,Indicadores!B:F,5,FALSE)</f>
        <v>1</v>
      </c>
      <c r="J81" s="1" t="str">
        <f t="shared" si="22"/>
        <v>Cumple</v>
      </c>
      <c r="K81" s="9">
        <f t="shared" si="17"/>
        <v>150000</v>
      </c>
      <c r="L81" s="4">
        <f>+VLOOKUP(C81,Indicadores!B:P,15,FALSE)</f>
        <v>0.76429999999999998</v>
      </c>
      <c r="M81" s="1" t="str">
        <f t="shared" si="23"/>
        <v>No Cumple</v>
      </c>
      <c r="N81" s="5">
        <f t="shared" si="24"/>
        <v>0</v>
      </c>
      <c r="O81" s="5">
        <f t="shared" si="18"/>
        <v>50000</v>
      </c>
      <c r="P81" s="4">
        <v>0.95</v>
      </c>
      <c r="Q81" s="5" t="str">
        <f t="shared" si="25"/>
        <v>Cumple</v>
      </c>
      <c r="R81" s="5">
        <f t="shared" si="26"/>
        <v>47500</v>
      </c>
      <c r="S81" s="5">
        <f t="shared" si="19"/>
        <v>50000</v>
      </c>
      <c r="T81" s="4">
        <f>+VLOOKUP(C81,Indicadores!B:V,21,FALSE)</f>
        <v>1</v>
      </c>
      <c r="U81" s="35" t="str">
        <f t="shared" si="27"/>
        <v>Cumple</v>
      </c>
      <c r="V81" s="2">
        <f t="shared" si="28"/>
        <v>50000</v>
      </c>
      <c r="W81" s="5" t="str">
        <f t="shared" si="29"/>
        <v>SI</v>
      </c>
      <c r="X81" s="5">
        <f t="shared" si="30"/>
        <v>97500</v>
      </c>
      <c r="Y81" s="1"/>
    </row>
    <row r="82" spans="2:25" x14ac:dyDescent="0.25">
      <c r="B82" s="1" t="s">
        <v>237</v>
      </c>
      <c r="C82" s="1" t="s">
        <v>87</v>
      </c>
      <c r="D82" s="1" t="s">
        <v>242</v>
      </c>
      <c r="E82" s="1" t="s">
        <v>341</v>
      </c>
      <c r="F82" s="2">
        <f t="shared" si="20"/>
        <v>250000</v>
      </c>
      <c r="G82" s="4">
        <f>+VLOOKUP(C82,Indicadores!B:C,2,FALSE)</f>
        <v>0.74914545454545456</v>
      </c>
      <c r="H82" s="1" t="str">
        <f t="shared" si="21"/>
        <v>No Cumple</v>
      </c>
      <c r="I82" s="4">
        <f>+VLOOKUP(C82,Indicadores!B:F,5,FALSE)</f>
        <v>0.91666666666666663</v>
      </c>
      <c r="J82" s="1" t="str">
        <f t="shared" si="22"/>
        <v>Cumple</v>
      </c>
      <c r="K82" s="9">
        <f t="shared" si="17"/>
        <v>150000</v>
      </c>
      <c r="L82" s="4">
        <f>+VLOOKUP(C82,Indicadores!B:P,15,FALSE)</f>
        <v>0.39433333333333337</v>
      </c>
      <c r="M82" s="1" t="str">
        <f t="shared" si="23"/>
        <v>No Cumple</v>
      </c>
      <c r="N82" s="5">
        <f t="shared" si="24"/>
        <v>0</v>
      </c>
      <c r="O82" s="5">
        <f t="shared" si="18"/>
        <v>50000</v>
      </c>
      <c r="P82" s="4">
        <v>0.95</v>
      </c>
      <c r="Q82" s="5" t="str">
        <f t="shared" si="25"/>
        <v>Cumple</v>
      </c>
      <c r="R82" s="5">
        <f t="shared" si="26"/>
        <v>47500</v>
      </c>
      <c r="S82" s="5">
        <f t="shared" si="19"/>
        <v>50000</v>
      </c>
      <c r="T82" s="4">
        <f>+VLOOKUP(C82,Indicadores!B:V,21,FALSE)</f>
        <v>0.96199999999999997</v>
      </c>
      <c r="U82" s="35" t="str">
        <f t="shared" si="27"/>
        <v>No Cumple</v>
      </c>
      <c r="V82" s="2">
        <f t="shared" si="28"/>
        <v>0</v>
      </c>
      <c r="W82" s="5" t="str">
        <f t="shared" si="29"/>
        <v>NO</v>
      </c>
      <c r="X82" s="5">
        <f t="shared" si="30"/>
        <v>0</v>
      </c>
      <c r="Y82" s="1"/>
    </row>
    <row r="83" spans="2:25" x14ac:dyDescent="0.25">
      <c r="B83" s="1" t="s">
        <v>237</v>
      </c>
      <c r="C83" s="1" t="s">
        <v>88</v>
      </c>
      <c r="D83" s="1" t="s">
        <v>242</v>
      </c>
      <c r="E83" s="1" t="s">
        <v>341</v>
      </c>
      <c r="F83" s="2">
        <f t="shared" si="20"/>
        <v>250000</v>
      </c>
      <c r="G83" s="4">
        <f>+VLOOKUP(C83,Indicadores!B:C,2,FALSE)</f>
        <v>0.78275454545454548</v>
      </c>
      <c r="H83" s="1" t="str">
        <f t="shared" si="21"/>
        <v>No Cumple</v>
      </c>
      <c r="I83" s="4">
        <f>+VLOOKUP(C83,Indicadores!B:F,5,FALSE)</f>
        <v>0.875</v>
      </c>
      <c r="J83" s="1" t="str">
        <f t="shared" si="22"/>
        <v>Cumple</v>
      </c>
      <c r="K83" s="9">
        <f t="shared" si="17"/>
        <v>150000</v>
      </c>
      <c r="L83" s="4">
        <f>+VLOOKUP(C83,Indicadores!B:P,15,FALSE)</f>
        <v>0.40563333333333335</v>
      </c>
      <c r="M83" s="1" t="str">
        <f t="shared" si="23"/>
        <v>No Cumple</v>
      </c>
      <c r="N83" s="5">
        <f t="shared" si="24"/>
        <v>0</v>
      </c>
      <c r="O83" s="5">
        <f t="shared" si="18"/>
        <v>50000</v>
      </c>
      <c r="P83" s="4">
        <v>0.95</v>
      </c>
      <c r="Q83" s="5" t="str">
        <f t="shared" si="25"/>
        <v>Cumple</v>
      </c>
      <c r="R83" s="5">
        <f t="shared" si="26"/>
        <v>47500</v>
      </c>
      <c r="S83" s="5">
        <f t="shared" si="19"/>
        <v>50000</v>
      </c>
      <c r="T83" s="4">
        <f>+VLOOKUP(C83,Indicadores!B:V,21,FALSE)</f>
        <v>1</v>
      </c>
      <c r="U83" s="35" t="str">
        <f t="shared" si="27"/>
        <v>Cumple</v>
      </c>
      <c r="V83" s="2">
        <f t="shared" si="28"/>
        <v>50000</v>
      </c>
      <c r="W83" s="5" t="str">
        <f t="shared" si="29"/>
        <v>NO</v>
      </c>
      <c r="X83" s="5">
        <f t="shared" si="30"/>
        <v>0</v>
      </c>
      <c r="Y83" s="1"/>
    </row>
    <row r="84" spans="2:25" x14ac:dyDescent="0.25">
      <c r="B84" s="1" t="s">
        <v>237</v>
      </c>
      <c r="C84" s="1" t="s">
        <v>89</v>
      </c>
      <c r="D84" s="1" t="s">
        <v>242</v>
      </c>
      <c r="E84" s="1" t="s">
        <v>341</v>
      </c>
      <c r="F84" s="2">
        <f t="shared" si="20"/>
        <v>250000</v>
      </c>
      <c r="G84" s="4">
        <f>+VLOOKUP(C84,Indicadores!B:C,2,FALSE)</f>
        <v>0.72260000000000002</v>
      </c>
      <c r="H84" s="1" t="str">
        <f t="shared" si="21"/>
        <v>No Cumple</v>
      </c>
      <c r="I84" s="4">
        <f>+VLOOKUP(C84,Indicadores!B:F,5,FALSE)</f>
        <v>0.8</v>
      </c>
      <c r="J84" s="1" t="str">
        <f t="shared" si="22"/>
        <v>Cumple</v>
      </c>
      <c r="K84" s="9">
        <f t="shared" si="17"/>
        <v>150000</v>
      </c>
      <c r="L84" s="4">
        <f>+VLOOKUP(C84,Indicadores!B:P,15,FALSE)</f>
        <v>0.3276</v>
      </c>
      <c r="M84" s="1" t="str">
        <f t="shared" si="23"/>
        <v>No Cumple</v>
      </c>
      <c r="N84" s="5">
        <f t="shared" si="24"/>
        <v>0</v>
      </c>
      <c r="O84" s="5">
        <f t="shared" si="18"/>
        <v>50000</v>
      </c>
      <c r="P84" s="4">
        <v>0.95</v>
      </c>
      <c r="Q84" s="5" t="str">
        <f t="shared" si="25"/>
        <v>Cumple</v>
      </c>
      <c r="R84" s="5">
        <f t="shared" si="26"/>
        <v>47500</v>
      </c>
      <c r="S84" s="5">
        <f t="shared" si="19"/>
        <v>50000</v>
      </c>
      <c r="T84" s="4">
        <f>+VLOOKUP(C84,Indicadores!B:V,21,FALSE)</f>
        <v>0.98280000000000001</v>
      </c>
      <c r="U84" s="35" t="str">
        <f t="shared" si="27"/>
        <v>No Cumple</v>
      </c>
      <c r="V84" s="2">
        <f t="shared" si="28"/>
        <v>0</v>
      </c>
      <c r="W84" s="5" t="str">
        <f t="shared" si="29"/>
        <v>NO</v>
      </c>
      <c r="X84" s="5">
        <f t="shared" si="30"/>
        <v>0</v>
      </c>
      <c r="Y84" s="1"/>
    </row>
    <row r="85" spans="2:25" x14ac:dyDescent="0.25">
      <c r="B85" s="1" t="s">
        <v>237</v>
      </c>
      <c r="C85" s="1" t="s">
        <v>90</v>
      </c>
      <c r="D85" s="1" t="s">
        <v>242</v>
      </c>
      <c r="E85" s="1" t="s">
        <v>341</v>
      </c>
      <c r="F85" s="2">
        <f t="shared" si="20"/>
        <v>250000</v>
      </c>
      <c r="G85" s="4">
        <f>+VLOOKUP(C85,Indicadores!B:C,2,FALSE)</f>
        <v>0.74503636363636361</v>
      </c>
      <c r="H85" s="1" t="str">
        <f t="shared" si="21"/>
        <v>No Cumple</v>
      </c>
      <c r="I85" s="4">
        <f>+VLOOKUP(C85,Indicadores!B:F,5,FALSE)</f>
        <v>0.94117647058823528</v>
      </c>
      <c r="J85" s="1" t="str">
        <f t="shared" si="22"/>
        <v>Cumple</v>
      </c>
      <c r="K85" s="9">
        <f t="shared" si="17"/>
        <v>150000</v>
      </c>
      <c r="L85" s="4">
        <f>+VLOOKUP(C85,Indicadores!B:P,15,FALSE)</f>
        <v>0.33333333333333331</v>
      </c>
      <c r="M85" s="1" t="str">
        <f t="shared" si="23"/>
        <v>No Cumple</v>
      </c>
      <c r="N85" s="5">
        <f t="shared" si="24"/>
        <v>0</v>
      </c>
      <c r="O85" s="5">
        <f t="shared" si="18"/>
        <v>50000</v>
      </c>
      <c r="P85" s="4">
        <v>0.95</v>
      </c>
      <c r="Q85" s="5" t="str">
        <f t="shared" si="25"/>
        <v>Cumple</v>
      </c>
      <c r="R85" s="5">
        <f t="shared" si="26"/>
        <v>47500</v>
      </c>
      <c r="S85" s="5">
        <f t="shared" si="19"/>
        <v>50000</v>
      </c>
      <c r="T85" s="4">
        <f>+VLOOKUP(C85,Indicadores!B:V,21,FALSE)</f>
        <v>1</v>
      </c>
      <c r="U85" s="35" t="str">
        <f t="shared" si="27"/>
        <v>Cumple</v>
      </c>
      <c r="V85" s="2">
        <f t="shared" si="28"/>
        <v>50000</v>
      </c>
      <c r="W85" s="5" t="str">
        <f t="shared" si="29"/>
        <v>NO</v>
      </c>
      <c r="X85" s="5">
        <f t="shared" si="30"/>
        <v>0</v>
      </c>
      <c r="Y85" s="1"/>
    </row>
    <row r="86" spans="2:25" x14ac:dyDescent="0.25">
      <c r="B86" s="1" t="s">
        <v>237</v>
      </c>
      <c r="C86" s="1" t="s">
        <v>91</v>
      </c>
      <c r="D86" s="1" t="s">
        <v>242</v>
      </c>
      <c r="E86" s="1" t="s">
        <v>341</v>
      </c>
      <c r="F86" s="2">
        <f t="shared" si="20"/>
        <v>250000</v>
      </c>
      <c r="G86" s="4">
        <f>+VLOOKUP(C86,Indicadores!B:C,2,FALSE)</f>
        <v>0.79571818181818188</v>
      </c>
      <c r="H86" s="1" t="str">
        <f t="shared" si="21"/>
        <v>No Cumple</v>
      </c>
      <c r="I86" s="4">
        <f>+VLOOKUP(C86,Indicadores!B:F,5,FALSE)</f>
        <v>0.94117647058823528</v>
      </c>
      <c r="J86" s="1" t="str">
        <f t="shared" si="22"/>
        <v>Cumple</v>
      </c>
      <c r="K86" s="9">
        <f t="shared" si="17"/>
        <v>150000</v>
      </c>
      <c r="L86" s="4">
        <f>+VLOOKUP(C86,Indicadores!B:P,15,FALSE)</f>
        <v>0.42996666666666666</v>
      </c>
      <c r="M86" s="1" t="str">
        <f t="shared" si="23"/>
        <v>No Cumple</v>
      </c>
      <c r="N86" s="5">
        <f t="shared" si="24"/>
        <v>0</v>
      </c>
      <c r="O86" s="5">
        <f t="shared" si="18"/>
        <v>50000</v>
      </c>
      <c r="P86" s="4">
        <v>0.95</v>
      </c>
      <c r="Q86" s="5" t="str">
        <f t="shared" si="25"/>
        <v>Cumple</v>
      </c>
      <c r="R86" s="5">
        <f t="shared" si="26"/>
        <v>47500</v>
      </c>
      <c r="S86" s="5">
        <f t="shared" si="19"/>
        <v>50000</v>
      </c>
      <c r="T86" s="4">
        <f>+VLOOKUP(C86,Indicadores!B:V,21,FALSE)</f>
        <v>1</v>
      </c>
      <c r="U86" s="35" t="str">
        <f t="shared" si="27"/>
        <v>Cumple</v>
      </c>
      <c r="V86" s="2">
        <f t="shared" si="28"/>
        <v>50000</v>
      </c>
      <c r="W86" s="5" t="str">
        <f t="shared" si="29"/>
        <v>NO</v>
      </c>
      <c r="X86" s="5">
        <f t="shared" si="30"/>
        <v>0</v>
      </c>
      <c r="Y86" s="1"/>
    </row>
    <row r="87" spans="2:25" x14ac:dyDescent="0.25">
      <c r="B87" s="1" t="s">
        <v>237</v>
      </c>
      <c r="C87" s="1" t="s">
        <v>92</v>
      </c>
      <c r="D87" s="1" t="s">
        <v>242</v>
      </c>
      <c r="E87" s="1" t="s">
        <v>341</v>
      </c>
      <c r="F87" s="2">
        <f t="shared" si="20"/>
        <v>250000</v>
      </c>
      <c r="G87" s="4">
        <f>+VLOOKUP(C87,Indicadores!B:C,2,FALSE)</f>
        <v>0.82714545454545452</v>
      </c>
      <c r="H87" s="1" t="str">
        <f t="shared" si="21"/>
        <v>Cumple</v>
      </c>
      <c r="I87" s="4">
        <f>+VLOOKUP(C87,Indicadores!B:F,5,FALSE)</f>
        <v>0.84615384615384615</v>
      </c>
      <c r="J87" s="1" t="str">
        <f t="shared" si="22"/>
        <v>Cumple</v>
      </c>
      <c r="K87" s="9">
        <f t="shared" si="17"/>
        <v>150000</v>
      </c>
      <c r="L87" s="4">
        <f>+VLOOKUP(C87,Indicadores!B:P,15,FALSE)</f>
        <v>0.42756666666666665</v>
      </c>
      <c r="M87" s="1" t="str">
        <f t="shared" si="23"/>
        <v>No Cumple</v>
      </c>
      <c r="N87" s="5">
        <f t="shared" si="24"/>
        <v>0</v>
      </c>
      <c r="O87" s="5">
        <f t="shared" si="18"/>
        <v>50000</v>
      </c>
      <c r="P87" s="4">
        <v>0.95</v>
      </c>
      <c r="Q87" s="5" t="str">
        <f t="shared" si="25"/>
        <v>Cumple</v>
      </c>
      <c r="R87" s="5">
        <f t="shared" si="26"/>
        <v>47500</v>
      </c>
      <c r="S87" s="5">
        <f t="shared" si="19"/>
        <v>50000</v>
      </c>
      <c r="T87" s="4">
        <f>+VLOOKUP(C87,Indicadores!B:V,21,FALSE)</f>
        <v>1</v>
      </c>
      <c r="U87" s="35" t="str">
        <f t="shared" si="27"/>
        <v>Cumple</v>
      </c>
      <c r="V87" s="2">
        <f t="shared" si="28"/>
        <v>50000</v>
      </c>
      <c r="W87" s="5" t="str">
        <f t="shared" si="29"/>
        <v>SI</v>
      </c>
      <c r="X87" s="5">
        <f t="shared" si="30"/>
        <v>97500</v>
      </c>
      <c r="Y87" s="1"/>
    </row>
    <row r="88" spans="2:25" x14ac:dyDescent="0.25">
      <c r="B88" s="1" t="s">
        <v>237</v>
      </c>
      <c r="C88" s="1" t="s">
        <v>93</v>
      </c>
      <c r="D88" s="1" t="s">
        <v>242</v>
      </c>
      <c r="E88" s="1" t="s">
        <v>341</v>
      </c>
      <c r="F88" s="2">
        <f t="shared" si="20"/>
        <v>250000</v>
      </c>
      <c r="G88" s="4">
        <f>+VLOOKUP(C88,Indicadores!B:C,2,FALSE)</f>
        <v>0.86898181818181797</v>
      </c>
      <c r="H88" s="1" t="str">
        <f t="shared" si="21"/>
        <v>Cumple</v>
      </c>
      <c r="I88" s="4">
        <f>+VLOOKUP(C88,Indicadores!B:F,5,FALSE)</f>
        <v>1</v>
      </c>
      <c r="J88" s="1" t="str">
        <f t="shared" si="22"/>
        <v>Cumple</v>
      </c>
      <c r="K88" s="9">
        <f t="shared" si="17"/>
        <v>150000</v>
      </c>
      <c r="L88" s="4">
        <f>+VLOOKUP(C88,Indicadores!B:P,15,FALSE)</f>
        <v>0.85293333333333321</v>
      </c>
      <c r="M88" s="1" t="str">
        <f t="shared" si="23"/>
        <v>Cumple</v>
      </c>
      <c r="N88" s="5">
        <f t="shared" si="24"/>
        <v>120000</v>
      </c>
      <c r="O88" s="5">
        <f t="shared" si="18"/>
        <v>50000</v>
      </c>
      <c r="P88" s="4">
        <v>0.95</v>
      </c>
      <c r="Q88" s="5" t="str">
        <f t="shared" si="25"/>
        <v>Cumple</v>
      </c>
      <c r="R88" s="5">
        <f t="shared" si="26"/>
        <v>47500</v>
      </c>
      <c r="S88" s="5">
        <f t="shared" si="19"/>
        <v>50000</v>
      </c>
      <c r="T88" s="4">
        <f>+VLOOKUP(C88,Indicadores!B:V,21,FALSE)</f>
        <v>1</v>
      </c>
      <c r="U88" s="35" t="str">
        <f t="shared" si="27"/>
        <v>Cumple</v>
      </c>
      <c r="V88" s="2">
        <f t="shared" si="28"/>
        <v>50000</v>
      </c>
      <c r="W88" s="5" t="str">
        <f t="shared" si="29"/>
        <v>SI</v>
      </c>
      <c r="X88" s="5">
        <f t="shared" si="30"/>
        <v>217500</v>
      </c>
      <c r="Y88" s="1"/>
    </row>
    <row r="89" spans="2:25" x14ac:dyDescent="0.25">
      <c r="B89" s="1" t="s">
        <v>237</v>
      </c>
      <c r="C89" s="1" t="s">
        <v>94</v>
      </c>
      <c r="D89" s="1" t="s">
        <v>242</v>
      </c>
      <c r="E89" s="1" t="s">
        <v>341</v>
      </c>
      <c r="F89" s="2">
        <f t="shared" si="20"/>
        <v>250000</v>
      </c>
      <c r="G89" s="4">
        <f>+VLOOKUP(C89,Indicadores!B:C,2,FALSE)</f>
        <v>0.74595454545454554</v>
      </c>
      <c r="H89" s="1" t="str">
        <f t="shared" si="21"/>
        <v>No Cumple</v>
      </c>
      <c r="I89" s="4">
        <f>+VLOOKUP(C89,Indicadores!B:F,5,FALSE)</f>
        <v>1</v>
      </c>
      <c r="J89" s="1" t="str">
        <f t="shared" si="22"/>
        <v>Cumple</v>
      </c>
      <c r="K89" s="9">
        <f t="shared" si="17"/>
        <v>150000</v>
      </c>
      <c r="L89" s="4">
        <f>+VLOOKUP(C89,Indicadores!B:P,15,FALSE)</f>
        <v>0.37683333333333335</v>
      </c>
      <c r="M89" s="1" t="str">
        <f t="shared" si="23"/>
        <v>No Cumple</v>
      </c>
      <c r="N89" s="5">
        <f t="shared" si="24"/>
        <v>0</v>
      </c>
      <c r="O89" s="5">
        <f t="shared" si="18"/>
        <v>50000</v>
      </c>
      <c r="P89" s="4">
        <v>0.95</v>
      </c>
      <c r="Q89" s="5" t="str">
        <f t="shared" si="25"/>
        <v>Cumple</v>
      </c>
      <c r="R89" s="5">
        <f t="shared" si="26"/>
        <v>47500</v>
      </c>
      <c r="S89" s="5">
        <f t="shared" si="19"/>
        <v>50000</v>
      </c>
      <c r="T89" s="4">
        <f>+VLOOKUP(C89,Indicadores!B:V,21,FALSE)</f>
        <v>1</v>
      </c>
      <c r="U89" s="35" t="str">
        <f t="shared" si="27"/>
        <v>Cumple</v>
      </c>
      <c r="V89" s="2">
        <f t="shared" si="28"/>
        <v>50000</v>
      </c>
      <c r="W89" s="5" t="str">
        <f t="shared" si="29"/>
        <v>NO</v>
      </c>
      <c r="X89" s="5">
        <f t="shared" si="30"/>
        <v>0</v>
      </c>
      <c r="Y89" s="1"/>
    </row>
    <row r="90" spans="2:25" x14ac:dyDescent="0.25">
      <c r="B90" s="1" t="s">
        <v>237</v>
      </c>
      <c r="C90" s="1" t="s">
        <v>95</v>
      </c>
      <c r="D90" s="1" t="s">
        <v>242</v>
      </c>
      <c r="E90" s="1" t="s">
        <v>341</v>
      </c>
      <c r="F90" s="2">
        <f t="shared" si="20"/>
        <v>250000</v>
      </c>
      <c r="G90" s="4">
        <f>+VLOOKUP(C90,Indicadores!B:C,2,FALSE)</f>
        <v>0.67727272727272714</v>
      </c>
      <c r="H90" s="1" t="str">
        <f t="shared" si="21"/>
        <v>No Cumple</v>
      </c>
      <c r="I90" s="4">
        <f>+VLOOKUP(C90,Indicadores!B:F,5,FALSE)</f>
        <v>1</v>
      </c>
      <c r="J90" s="1" t="str">
        <f t="shared" si="22"/>
        <v>Cumple</v>
      </c>
      <c r="K90" s="9">
        <f t="shared" si="17"/>
        <v>150000</v>
      </c>
      <c r="L90" s="4">
        <f>+VLOOKUP(C90,Indicadores!B:P,15,FALSE)</f>
        <v>0.31109999999999999</v>
      </c>
      <c r="M90" s="1" t="str">
        <f t="shared" si="23"/>
        <v>No Cumple</v>
      </c>
      <c r="N90" s="5">
        <f t="shared" si="24"/>
        <v>0</v>
      </c>
      <c r="O90" s="5">
        <f t="shared" si="18"/>
        <v>50000</v>
      </c>
      <c r="P90" s="4">
        <v>0.95</v>
      </c>
      <c r="Q90" s="5" t="str">
        <f t="shared" si="25"/>
        <v>Cumple</v>
      </c>
      <c r="R90" s="5">
        <f t="shared" si="26"/>
        <v>47500</v>
      </c>
      <c r="S90" s="5">
        <f t="shared" si="19"/>
        <v>50000</v>
      </c>
      <c r="T90" s="4">
        <f>+VLOOKUP(C90,Indicadores!B:V,21,FALSE)</f>
        <v>0.97499999999999998</v>
      </c>
      <c r="U90" s="35" t="str">
        <f t="shared" si="27"/>
        <v>No Cumple</v>
      </c>
      <c r="V90" s="2">
        <f t="shared" si="28"/>
        <v>0</v>
      </c>
      <c r="W90" s="5" t="str">
        <f t="shared" si="29"/>
        <v>NO</v>
      </c>
      <c r="X90" s="5">
        <f t="shared" si="30"/>
        <v>0</v>
      </c>
      <c r="Y90" s="1"/>
    </row>
    <row r="91" spans="2:25" x14ac:dyDescent="0.25">
      <c r="B91" s="1" t="s">
        <v>237</v>
      </c>
      <c r="C91" s="1" t="s">
        <v>96</v>
      </c>
      <c r="D91" s="1" t="s">
        <v>242</v>
      </c>
      <c r="E91" s="1" t="s">
        <v>341</v>
      </c>
      <c r="F91" s="2">
        <f t="shared" si="20"/>
        <v>250000</v>
      </c>
      <c r="G91" s="4">
        <f>+VLOOKUP(C91,Indicadores!B:C,2,FALSE)</f>
        <v>0.38425454545454546</v>
      </c>
      <c r="H91" s="1" t="str">
        <f t="shared" si="21"/>
        <v>No Cumple</v>
      </c>
      <c r="I91" s="4">
        <f>+VLOOKUP(C91,Indicadores!B:F,5,FALSE)</f>
        <v>0.88235294117647056</v>
      </c>
      <c r="J91" s="1" t="str">
        <f t="shared" si="22"/>
        <v>Cumple</v>
      </c>
      <c r="K91" s="9">
        <f t="shared" si="17"/>
        <v>150000</v>
      </c>
      <c r="L91" s="4">
        <f>+VLOOKUP(C91,Indicadores!B:P,15,FALSE)</f>
        <v>0.17169999999999999</v>
      </c>
      <c r="M91" s="1" t="str">
        <f t="shared" si="23"/>
        <v>No Cumple</v>
      </c>
      <c r="N91" s="5">
        <f t="shared" si="24"/>
        <v>0</v>
      </c>
      <c r="O91" s="5">
        <f t="shared" si="18"/>
        <v>50000</v>
      </c>
      <c r="P91" s="4">
        <v>0.95</v>
      </c>
      <c r="Q91" s="5" t="str">
        <f t="shared" si="25"/>
        <v>Cumple</v>
      </c>
      <c r="R91" s="5">
        <f t="shared" si="26"/>
        <v>47500</v>
      </c>
      <c r="S91" s="5">
        <f t="shared" si="19"/>
        <v>50000</v>
      </c>
      <c r="T91" s="4">
        <f>+VLOOKUP(C91,Indicadores!B:V,21,FALSE)</f>
        <v>0.94664999999999999</v>
      </c>
      <c r="U91" s="35" t="str">
        <f t="shared" si="27"/>
        <v>No Cumple</v>
      </c>
      <c r="V91" s="2">
        <f t="shared" si="28"/>
        <v>0</v>
      </c>
      <c r="W91" s="5" t="str">
        <f t="shared" si="29"/>
        <v>NO</v>
      </c>
      <c r="X91" s="5">
        <f t="shared" si="30"/>
        <v>0</v>
      </c>
      <c r="Y91" s="1"/>
    </row>
    <row r="92" spans="2:25" x14ac:dyDescent="0.25">
      <c r="B92" s="1" t="s">
        <v>237</v>
      </c>
      <c r="C92" s="1" t="s">
        <v>97</v>
      </c>
      <c r="D92" s="1" t="s">
        <v>242</v>
      </c>
      <c r="E92" s="1" t="s">
        <v>341</v>
      </c>
      <c r="F92" s="2">
        <f t="shared" si="20"/>
        <v>250000</v>
      </c>
      <c r="G92" s="4">
        <f>+VLOOKUP(C92,Indicadores!B:C,2,FALSE)</f>
        <v>0.82099999999999984</v>
      </c>
      <c r="H92" s="1" t="str">
        <f t="shared" si="21"/>
        <v>Cumple</v>
      </c>
      <c r="I92" s="4">
        <f>+VLOOKUP(C92,Indicadores!B:F,5,FALSE)</f>
        <v>1</v>
      </c>
      <c r="J92" s="1" t="str">
        <f t="shared" si="22"/>
        <v>Cumple</v>
      </c>
      <c r="K92" s="9">
        <f t="shared" si="17"/>
        <v>150000</v>
      </c>
      <c r="L92" s="4">
        <f>+VLOOKUP(C92,Indicadores!B:P,15,FALSE)</f>
        <v>0.68066666666666664</v>
      </c>
      <c r="M92" s="1" t="str">
        <f t="shared" si="23"/>
        <v>No Cumple</v>
      </c>
      <c r="N92" s="5">
        <f t="shared" si="24"/>
        <v>0</v>
      </c>
      <c r="O92" s="5">
        <f t="shared" si="18"/>
        <v>50000</v>
      </c>
      <c r="P92" s="4">
        <v>0.95</v>
      </c>
      <c r="Q92" s="5" t="str">
        <f t="shared" si="25"/>
        <v>Cumple</v>
      </c>
      <c r="R92" s="5">
        <f t="shared" si="26"/>
        <v>47500</v>
      </c>
      <c r="S92" s="5">
        <f t="shared" si="19"/>
        <v>50000</v>
      </c>
      <c r="T92" s="4">
        <f>+VLOOKUP(C92,Indicadores!B:V,21,FALSE)</f>
        <v>1</v>
      </c>
      <c r="U92" s="35" t="str">
        <f t="shared" si="27"/>
        <v>Cumple</v>
      </c>
      <c r="V92" s="2">
        <f t="shared" si="28"/>
        <v>50000</v>
      </c>
      <c r="W92" s="5" t="str">
        <f t="shared" si="29"/>
        <v>SI</v>
      </c>
      <c r="X92" s="5">
        <f t="shared" si="30"/>
        <v>97500</v>
      </c>
      <c r="Y92" s="1"/>
    </row>
    <row r="93" spans="2:25" x14ac:dyDescent="0.25">
      <c r="B93" s="1" t="s">
        <v>237</v>
      </c>
      <c r="C93" s="1" t="s">
        <v>98</v>
      </c>
      <c r="D93" s="1" t="s">
        <v>242</v>
      </c>
      <c r="E93" s="1" t="s">
        <v>341</v>
      </c>
      <c r="F93" s="2">
        <f t="shared" si="20"/>
        <v>250000</v>
      </c>
      <c r="G93" s="4">
        <f>+VLOOKUP(C93,Indicadores!B:C,2,FALSE)</f>
        <v>0.76918181818181819</v>
      </c>
      <c r="H93" s="1" t="str">
        <f t="shared" si="21"/>
        <v>No Cumple</v>
      </c>
      <c r="I93" s="4">
        <f>+VLOOKUP(C93,Indicadores!B:F,5,FALSE)</f>
        <v>1</v>
      </c>
      <c r="J93" s="1" t="str">
        <f t="shared" si="22"/>
        <v>Cumple</v>
      </c>
      <c r="K93" s="9">
        <f t="shared" si="17"/>
        <v>150000</v>
      </c>
      <c r="L93" s="4">
        <f>+VLOOKUP(C93,Indicadores!B:P,15,FALSE)</f>
        <v>0.59393333333333331</v>
      </c>
      <c r="M93" s="1" t="str">
        <f t="shared" si="23"/>
        <v>No Cumple</v>
      </c>
      <c r="N93" s="5">
        <f t="shared" si="24"/>
        <v>0</v>
      </c>
      <c r="O93" s="5">
        <f t="shared" si="18"/>
        <v>50000</v>
      </c>
      <c r="P93" s="4">
        <v>0.95</v>
      </c>
      <c r="Q93" s="5" t="str">
        <f t="shared" si="25"/>
        <v>Cumple</v>
      </c>
      <c r="R93" s="5">
        <f t="shared" si="26"/>
        <v>47500</v>
      </c>
      <c r="S93" s="5">
        <f t="shared" si="19"/>
        <v>50000</v>
      </c>
      <c r="T93" s="4">
        <f>+VLOOKUP(C93,Indicadores!B:V,21,FALSE)</f>
        <v>1</v>
      </c>
      <c r="U93" s="35" t="str">
        <f t="shared" si="27"/>
        <v>Cumple</v>
      </c>
      <c r="V93" s="2">
        <f t="shared" si="28"/>
        <v>50000</v>
      </c>
      <c r="W93" s="5" t="str">
        <f t="shared" si="29"/>
        <v>NO</v>
      </c>
      <c r="X93" s="5">
        <f t="shared" si="30"/>
        <v>0</v>
      </c>
      <c r="Y93" s="1"/>
    </row>
    <row r="94" spans="2:25" x14ac:dyDescent="0.25">
      <c r="B94" s="1" t="s">
        <v>237</v>
      </c>
      <c r="C94" s="1" t="s">
        <v>99</v>
      </c>
      <c r="D94" s="1" t="s">
        <v>242</v>
      </c>
      <c r="E94" s="1" t="s">
        <v>341</v>
      </c>
      <c r="F94" s="2">
        <f t="shared" si="20"/>
        <v>250000</v>
      </c>
      <c r="G94" s="4">
        <f>+VLOOKUP(C94,Indicadores!B:C,2,FALSE)</f>
        <v>0.79091818181818185</v>
      </c>
      <c r="H94" s="1" t="str">
        <f t="shared" si="21"/>
        <v>No Cumple</v>
      </c>
      <c r="I94" s="4">
        <f>+VLOOKUP(C94,Indicadores!B:F,5,FALSE)</f>
        <v>0.9</v>
      </c>
      <c r="J94" s="1" t="str">
        <f t="shared" si="22"/>
        <v>Cumple</v>
      </c>
      <c r="K94" s="9">
        <f t="shared" si="17"/>
        <v>150000</v>
      </c>
      <c r="L94" s="4">
        <f>+VLOOKUP(C94,Indicadores!B:P,15,FALSE)</f>
        <v>0.33333333333333331</v>
      </c>
      <c r="M94" s="1" t="str">
        <f t="shared" si="23"/>
        <v>No Cumple</v>
      </c>
      <c r="N94" s="5">
        <f t="shared" si="24"/>
        <v>0</v>
      </c>
      <c r="O94" s="5">
        <f t="shared" si="18"/>
        <v>50000</v>
      </c>
      <c r="P94" s="4">
        <v>0.95</v>
      </c>
      <c r="Q94" s="5" t="str">
        <f t="shared" si="25"/>
        <v>Cumple</v>
      </c>
      <c r="R94" s="5">
        <f t="shared" si="26"/>
        <v>47500</v>
      </c>
      <c r="S94" s="5">
        <f t="shared" si="19"/>
        <v>50000</v>
      </c>
      <c r="T94" s="4">
        <f>+VLOOKUP(C94,Indicadores!B:V,21,FALSE)</f>
        <v>1</v>
      </c>
      <c r="U94" s="35" t="str">
        <f t="shared" si="27"/>
        <v>Cumple</v>
      </c>
      <c r="V94" s="2">
        <f t="shared" si="28"/>
        <v>50000</v>
      </c>
      <c r="W94" s="5" t="str">
        <f t="shared" si="29"/>
        <v>NO</v>
      </c>
      <c r="X94" s="5">
        <f t="shared" si="30"/>
        <v>0</v>
      </c>
      <c r="Y94" s="1"/>
    </row>
    <row r="95" spans="2:25" x14ac:dyDescent="0.25">
      <c r="B95" s="1" t="s">
        <v>237</v>
      </c>
      <c r="C95" s="1" t="s">
        <v>100</v>
      </c>
      <c r="D95" s="1" t="s">
        <v>242</v>
      </c>
      <c r="E95" s="1" t="s">
        <v>341</v>
      </c>
      <c r="F95" s="2">
        <f t="shared" si="20"/>
        <v>250000</v>
      </c>
      <c r="G95" s="4">
        <f>+VLOOKUP(C95,Indicadores!B:C,2,FALSE)</f>
        <v>0.54912727272727269</v>
      </c>
      <c r="H95" s="1" t="str">
        <f t="shared" si="21"/>
        <v>No Cumple</v>
      </c>
      <c r="I95" s="4">
        <f>+VLOOKUP(C95,Indicadores!B:F,5,FALSE)</f>
        <v>1</v>
      </c>
      <c r="J95" s="1" t="str">
        <f t="shared" si="22"/>
        <v>Cumple</v>
      </c>
      <c r="K95" s="9">
        <f t="shared" si="17"/>
        <v>150000</v>
      </c>
      <c r="L95" s="4">
        <f>+VLOOKUP(C95,Indicadores!B:P,15,FALSE)</f>
        <v>0.32163333333333333</v>
      </c>
      <c r="M95" s="1" t="str">
        <f t="shared" si="23"/>
        <v>No Cumple</v>
      </c>
      <c r="N95" s="5">
        <f t="shared" si="24"/>
        <v>0</v>
      </c>
      <c r="O95" s="5">
        <f t="shared" si="18"/>
        <v>50000</v>
      </c>
      <c r="P95" s="4">
        <v>0.95</v>
      </c>
      <c r="Q95" s="5" t="str">
        <f t="shared" si="25"/>
        <v>Cumple</v>
      </c>
      <c r="R95" s="5">
        <f t="shared" si="26"/>
        <v>47500</v>
      </c>
      <c r="S95" s="5">
        <f t="shared" si="19"/>
        <v>50000</v>
      </c>
      <c r="T95" s="4">
        <f>+VLOOKUP(C95,Indicadores!B:V,21,FALSE)</f>
        <v>0.80200000000000005</v>
      </c>
      <c r="U95" s="35" t="str">
        <f t="shared" si="27"/>
        <v>No Cumple</v>
      </c>
      <c r="V95" s="2">
        <f t="shared" si="28"/>
        <v>0</v>
      </c>
      <c r="W95" s="5" t="str">
        <f t="shared" si="29"/>
        <v>NO</v>
      </c>
      <c r="X95" s="5">
        <f t="shared" si="30"/>
        <v>0</v>
      </c>
      <c r="Y95" s="1"/>
    </row>
    <row r="96" spans="2:25" x14ac:dyDescent="0.25">
      <c r="B96" s="1" t="s">
        <v>238</v>
      </c>
      <c r="C96" s="1" t="s">
        <v>101</v>
      </c>
      <c r="D96" s="1" t="s">
        <v>243</v>
      </c>
      <c r="E96" s="1" t="s">
        <v>342</v>
      </c>
      <c r="F96" s="2">
        <f t="shared" si="20"/>
        <v>250000</v>
      </c>
      <c r="G96" s="4">
        <f>+VLOOKUP(C96,Indicadores!B:C,2,FALSE)</f>
        <v>0.79049090909090902</v>
      </c>
      <c r="H96" s="1" t="str">
        <f t="shared" si="21"/>
        <v>No Cumple</v>
      </c>
      <c r="I96" s="4">
        <v>0.9</v>
      </c>
      <c r="J96" s="1" t="str">
        <f t="shared" si="22"/>
        <v>Cumple</v>
      </c>
      <c r="K96" s="9">
        <f t="shared" si="17"/>
        <v>150000</v>
      </c>
      <c r="L96" s="4">
        <f>+VLOOKUP(C96,Indicadores!B:P,15,FALSE)</f>
        <v>0.71229999999999993</v>
      </c>
      <c r="M96" s="1" t="str">
        <f t="shared" si="23"/>
        <v>No Cumple</v>
      </c>
      <c r="N96" s="5">
        <f t="shared" si="24"/>
        <v>0</v>
      </c>
      <c r="O96" s="5">
        <f t="shared" si="18"/>
        <v>50000</v>
      </c>
      <c r="P96" s="4">
        <v>0.95</v>
      </c>
      <c r="Q96" s="5" t="str">
        <f t="shared" si="25"/>
        <v>Cumple</v>
      </c>
      <c r="R96" s="5">
        <f t="shared" si="26"/>
        <v>47500</v>
      </c>
      <c r="S96" s="5">
        <f t="shared" si="19"/>
        <v>50000</v>
      </c>
      <c r="T96" s="4">
        <f>+VLOOKUP(C96,Indicadores!B:V,21,FALSE)</f>
        <v>0.5</v>
      </c>
      <c r="U96" s="35" t="str">
        <f t="shared" si="27"/>
        <v>No Cumple</v>
      </c>
      <c r="V96" s="2">
        <f t="shared" si="28"/>
        <v>0</v>
      </c>
      <c r="W96" s="5" t="str">
        <f t="shared" si="29"/>
        <v>NO</v>
      </c>
      <c r="X96" s="5">
        <f t="shared" si="30"/>
        <v>0</v>
      </c>
      <c r="Y96" s="1"/>
    </row>
    <row r="97" spans="2:25" x14ac:dyDescent="0.25">
      <c r="B97" s="1" t="s">
        <v>238</v>
      </c>
      <c r="C97" s="1" t="s">
        <v>102</v>
      </c>
      <c r="D97" s="1" t="s">
        <v>243</v>
      </c>
      <c r="E97" s="1" t="s">
        <v>342</v>
      </c>
      <c r="F97" s="2">
        <f t="shared" si="20"/>
        <v>250000</v>
      </c>
      <c r="G97" s="4">
        <f>+VLOOKUP(C97,Indicadores!B:C,2,FALSE)</f>
        <v>0.80227272727272725</v>
      </c>
      <c r="H97" s="1" t="str">
        <f t="shared" si="21"/>
        <v>Cumple</v>
      </c>
      <c r="I97" s="4">
        <v>0.9</v>
      </c>
      <c r="J97" s="1" t="str">
        <f t="shared" si="22"/>
        <v>Cumple</v>
      </c>
      <c r="K97" s="9">
        <f t="shared" si="17"/>
        <v>150000</v>
      </c>
      <c r="L97" s="4">
        <f>+VLOOKUP(C97,Indicadores!B:P,15,FALSE)</f>
        <v>0.71583333333333332</v>
      </c>
      <c r="M97" s="1" t="str">
        <f t="shared" si="23"/>
        <v>No Cumple</v>
      </c>
      <c r="N97" s="5">
        <f t="shared" si="24"/>
        <v>0</v>
      </c>
      <c r="O97" s="5">
        <f t="shared" si="18"/>
        <v>50000</v>
      </c>
      <c r="P97" s="4">
        <v>0.95</v>
      </c>
      <c r="Q97" s="5" t="str">
        <f t="shared" si="25"/>
        <v>Cumple</v>
      </c>
      <c r="R97" s="5">
        <f t="shared" si="26"/>
        <v>47500</v>
      </c>
      <c r="S97" s="5">
        <f t="shared" si="19"/>
        <v>50000</v>
      </c>
      <c r="T97" s="4">
        <f>+VLOOKUP(C97,Indicadores!B:V,21,FALSE)</f>
        <v>0.5</v>
      </c>
      <c r="U97" s="35" t="str">
        <f t="shared" si="27"/>
        <v>No Cumple</v>
      </c>
      <c r="V97" s="2">
        <f t="shared" si="28"/>
        <v>0</v>
      </c>
      <c r="W97" s="5" t="str">
        <f t="shared" si="29"/>
        <v>SI</v>
      </c>
      <c r="X97" s="5">
        <f t="shared" si="30"/>
        <v>47500</v>
      </c>
      <c r="Y97" s="1"/>
    </row>
    <row r="98" spans="2:25" x14ac:dyDescent="0.25">
      <c r="B98" s="1" t="s">
        <v>238</v>
      </c>
      <c r="C98" s="1" t="s">
        <v>103</v>
      </c>
      <c r="D98" s="1" t="s">
        <v>243</v>
      </c>
      <c r="E98" s="1" t="s">
        <v>342</v>
      </c>
      <c r="F98" s="2">
        <f t="shared" si="20"/>
        <v>250000</v>
      </c>
      <c r="G98" s="4">
        <f>+VLOOKUP(C98,Indicadores!B:C,2,FALSE)</f>
        <v>0.77805454545454533</v>
      </c>
      <c r="H98" s="1" t="str">
        <f t="shared" si="21"/>
        <v>No Cumple</v>
      </c>
      <c r="I98" s="4">
        <f>+VLOOKUP(C98,Indicadores!B:F,5,FALSE)</f>
        <v>0.94736842105263153</v>
      </c>
      <c r="J98" s="1" t="str">
        <f t="shared" si="22"/>
        <v>Cumple</v>
      </c>
      <c r="K98" s="9">
        <f t="shared" si="17"/>
        <v>150000</v>
      </c>
      <c r="L98" s="4">
        <f>+VLOOKUP(C98,Indicadores!B:P,15,FALSE)</f>
        <v>0.70289999999999997</v>
      </c>
      <c r="M98" s="1" t="str">
        <f t="shared" si="23"/>
        <v>No Cumple</v>
      </c>
      <c r="N98" s="5">
        <f t="shared" si="24"/>
        <v>0</v>
      </c>
      <c r="O98" s="5">
        <f t="shared" si="18"/>
        <v>50000</v>
      </c>
      <c r="P98" s="4">
        <v>0.95</v>
      </c>
      <c r="Q98" s="5" t="str">
        <f t="shared" si="25"/>
        <v>Cumple</v>
      </c>
      <c r="R98" s="5">
        <f t="shared" si="26"/>
        <v>47500</v>
      </c>
      <c r="S98" s="5">
        <f t="shared" si="19"/>
        <v>50000</v>
      </c>
      <c r="T98" s="4">
        <f>+VLOOKUP(C98,Indicadores!B:V,21,FALSE)</f>
        <v>0.5</v>
      </c>
      <c r="U98" s="35" t="str">
        <f t="shared" si="27"/>
        <v>No Cumple</v>
      </c>
      <c r="V98" s="2">
        <f t="shared" si="28"/>
        <v>0</v>
      </c>
      <c r="W98" s="5" t="str">
        <f t="shared" si="29"/>
        <v>NO</v>
      </c>
      <c r="X98" s="5">
        <f t="shared" si="30"/>
        <v>0</v>
      </c>
      <c r="Y98" s="1"/>
    </row>
    <row r="99" spans="2:25" x14ac:dyDescent="0.25">
      <c r="B99" s="1" t="s">
        <v>238</v>
      </c>
      <c r="C99" s="1" t="s">
        <v>104</v>
      </c>
      <c r="D99" s="1" t="s">
        <v>243</v>
      </c>
      <c r="E99" s="1" t="s">
        <v>342</v>
      </c>
      <c r="F99" s="2">
        <f t="shared" si="20"/>
        <v>250000</v>
      </c>
      <c r="G99" s="4">
        <f>+VLOOKUP(C99,Indicadores!B:C,2,FALSE)</f>
        <v>0.53720909090909086</v>
      </c>
      <c r="H99" s="1" t="str">
        <f t="shared" si="21"/>
        <v>No Cumple</v>
      </c>
      <c r="I99" s="4">
        <f>+VLOOKUP(C99,Indicadores!B:F,5,FALSE)</f>
        <v>1</v>
      </c>
      <c r="J99" s="1" t="str">
        <f t="shared" si="22"/>
        <v>Cumple</v>
      </c>
      <c r="K99" s="9">
        <f t="shared" si="17"/>
        <v>150000</v>
      </c>
      <c r="L99" s="4">
        <f>+VLOOKUP(C99,Indicadores!B:P,15,FALSE)</f>
        <v>0.57576666666666665</v>
      </c>
      <c r="M99" s="1" t="str">
        <f t="shared" si="23"/>
        <v>No Cumple</v>
      </c>
      <c r="N99" s="5">
        <f t="shared" si="24"/>
        <v>0</v>
      </c>
      <c r="O99" s="5">
        <f t="shared" si="18"/>
        <v>50000</v>
      </c>
      <c r="P99" s="4">
        <v>0.95</v>
      </c>
      <c r="Q99" s="5" t="str">
        <f t="shared" si="25"/>
        <v>Cumple</v>
      </c>
      <c r="R99" s="5">
        <f t="shared" si="26"/>
        <v>47500</v>
      </c>
      <c r="S99" s="5">
        <f t="shared" si="19"/>
        <v>50000</v>
      </c>
      <c r="T99" s="4">
        <f>+VLOOKUP(C99,Indicadores!B:V,21,FALSE)</f>
        <v>0.72729999999999995</v>
      </c>
      <c r="U99" s="35" t="str">
        <f t="shared" si="27"/>
        <v>No Cumple</v>
      </c>
      <c r="V99" s="2">
        <f t="shared" si="28"/>
        <v>0</v>
      </c>
      <c r="W99" s="5" t="str">
        <f t="shared" si="29"/>
        <v>NO</v>
      </c>
      <c r="X99" s="5">
        <f t="shared" si="30"/>
        <v>0</v>
      </c>
      <c r="Y99" s="1"/>
    </row>
    <row r="100" spans="2:25" x14ac:dyDescent="0.25">
      <c r="B100" s="1" t="s">
        <v>238</v>
      </c>
      <c r="C100" s="1" t="s">
        <v>105</v>
      </c>
      <c r="D100" s="1" t="s">
        <v>243</v>
      </c>
      <c r="E100" s="1" t="s">
        <v>342</v>
      </c>
      <c r="F100" s="2">
        <f t="shared" si="20"/>
        <v>250000</v>
      </c>
      <c r="G100" s="4">
        <f>+VLOOKUP(C100,Indicadores!B:C,2,FALSE)</f>
        <v>0.78260909090909081</v>
      </c>
      <c r="H100" s="1" t="str">
        <f t="shared" si="21"/>
        <v>No Cumple</v>
      </c>
      <c r="I100" s="4">
        <f>+VLOOKUP(C100,Indicadores!B:F,5,FALSE)</f>
        <v>0.88235294117647056</v>
      </c>
      <c r="J100" s="1" t="str">
        <f t="shared" si="22"/>
        <v>Cumple</v>
      </c>
      <c r="K100" s="9">
        <f t="shared" si="17"/>
        <v>150000</v>
      </c>
      <c r="L100" s="4">
        <f>+VLOOKUP(C100,Indicadores!B:P,15,FALSE)</f>
        <v>0.51633333333333331</v>
      </c>
      <c r="M100" s="1" t="str">
        <f t="shared" si="23"/>
        <v>No Cumple</v>
      </c>
      <c r="N100" s="5">
        <f t="shared" si="24"/>
        <v>0</v>
      </c>
      <c r="O100" s="5">
        <f t="shared" si="18"/>
        <v>50000</v>
      </c>
      <c r="P100" s="4">
        <v>0.95</v>
      </c>
      <c r="Q100" s="5" t="str">
        <f t="shared" si="25"/>
        <v>Cumple</v>
      </c>
      <c r="R100" s="5">
        <f t="shared" si="26"/>
        <v>47500</v>
      </c>
      <c r="S100" s="5">
        <f t="shared" si="19"/>
        <v>50000</v>
      </c>
      <c r="T100" s="4">
        <f>+VLOOKUP(C100,Indicadores!B:V,21,FALSE)</f>
        <v>0.5</v>
      </c>
      <c r="U100" s="35" t="str">
        <f t="shared" si="27"/>
        <v>No Cumple</v>
      </c>
      <c r="V100" s="2">
        <f t="shared" si="28"/>
        <v>0</v>
      </c>
      <c r="W100" s="5" t="str">
        <f t="shared" si="29"/>
        <v>NO</v>
      </c>
      <c r="X100" s="5">
        <f t="shared" si="30"/>
        <v>0</v>
      </c>
      <c r="Y100" s="1"/>
    </row>
    <row r="101" spans="2:25" x14ac:dyDescent="0.25">
      <c r="B101" s="1" t="s">
        <v>238</v>
      </c>
      <c r="C101" s="1" t="s">
        <v>106</v>
      </c>
      <c r="D101" s="1" t="s">
        <v>243</v>
      </c>
      <c r="E101" s="1" t="s">
        <v>342</v>
      </c>
      <c r="F101" s="2">
        <f t="shared" si="20"/>
        <v>250000</v>
      </c>
      <c r="G101" s="4">
        <f>+VLOOKUP(C101,Indicadores!B:C,2,FALSE)</f>
        <v>0.8538</v>
      </c>
      <c r="H101" s="1" t="str">
        <f t="shared" si="21"/>
        <v>Cumple</v>
      </c>
      <c r="I101" s="4">
        <f>+VLOOKUP(C101,Indicadores!B:F,5,FALSE)</f>
        <v>0.94736842105263153</v>
      </c>
      <c r="J101" s="1" t="str">
        <f t="shared" si="22"/>
        <v>Cumple</v>
      </c>
      <c r="K101" s="9">
        <f t="shared" si="17"/>
        <v>150000</v>
      </c>
      <c r="L101" s="4">
        <f>+VLOOKUP(C101,Indicadores!B:P,15,FALSE)</f>
        <v>0.84723333333333339</v>
      </c>
      <c r="M101" s="1" t="str">
        <f t="shared" si="23"/>
        <v>Cumple</v>
      </c>
      <c r="N101" s="5">
        <f t="shared" si="24"/>
        <v>120000</v>
      </c>
      <c r="O101" s="5">
        <f t="shared" si="18"/>
        <v>50000</v>
      </c>
      <c r="P101" s="4">
        <v>0.95</v>
      </c>
      <c r="Q101" s="5" t="str">
        <f t="shared" si="25"/>
        <v>Cumple</v>
      </c>
      <c r="R101" s="5">
        <f t="shared" si="26"/>
        <v>47500</v>
      </c>
      <c r="S101" s="5">
        <f t="shared" si="19"/>
        <v>50000</v>
      </c>
      <c r="T101" s="4">
        <f>+VLOOKUP(C101,Indicadores!B:V,21,FALSE)</f>
        <v>0.5</v>
      </c>
      <c r="U101" s="35" t="str">
        <f t="shared" si="27"/>
        <v>No Cumple</v>
      </c>
      <c r="V101" s="2">
        <f t="shared" si="28"/>
        <v>0</v>
      </c>
      <c r="W101" s="5" t="str">
        <f t="shared" si="29"/>
        <v>SI</v>
      </c>
      <c r="X101" s="5">
        <f t="shared" si="30"/>
        <v>167500</v>
      </c>
      <c r="Y101" s="1"/>
    </row>
    <row r="102" spans="2:25" x14ac:dyDescent="0.25">
      <c r="B102" s="1" t="s">
        <v>238</v>
      </c>
      <c r="C102" s="1" t="s">
        <v>107</v>
      </c>
      <c r="D102" s="1" t="s">
        <v>243</v>
      </c>
      <c r="E102" s="1" t="s">
        <v>342</v>
      </c>
      <c r="F102" s="2">
        <f t="shared" si="20"/>
        <v>250000</v>
      </c>
      <c r="G102" s="4">
        <f>+VLOOKUP(C102,Indicadores!B:C,2,FALSE)</f>
        <v>0.7662363636363636</v>
      </c>
      <c r="H102" s="1" t="str">
        <f t="shared" si="21"/>
        <v>No Cumple</v>
      </c>
      <c r="I102" s="4">
        <f>+VLOOKUP(C102,Indicadores!B:F,5,FALSE)</f>
        <v>0.94444444444444442</v>
      </c>
      <c r="J102" s="1" t="str">
        <f t="shared" si="22"/>
        <v>Cumple</v>
      </c>
      <c r="K102" s="9">
        <f t="shared" ref="K102:K133" si="31">+$F$4*$K$3</f>
        <v>150000</v>
      </c>
      <c r="L102" s="4">
        <f>+VLOOKUP(C102,Indicadores!B:P,15,FALSE)</f>
        <v>0.60383333333333333</v>
      </c>
      <c r="M102" s="1" t="str">
        <f t="shared" si="23"/>
        <v>No Cumple</v>
      </c>
      <c r="N102" s="5">
        <f t="shared" si="24"/>
        <v>0</v>
      </c>
      <c r="O102" s="5">
        <f t="shared" ref="O102:O133" si="32">+$F$4*$O$3</f>
        <v>50000</v>
      </c>
      <c r="P102" s="4">
        <v>0.95</v>
      </c>
      <c r="Q102" s="5" t="str">
        <f t="shared" si="25"/>
        <v>Cumple</v>
      </c>
      <c r="R102" s="5">
        <f t="shared" si="26"/>
        <v>47500</v>
      </c>
      <c r="S102" s="5">
        <f t="shared" ref="S102:S133" si="33">+$F$4*$S$3</f>
        <v>50000</v>
      </c>
      <c r="T102" s="4">
        <f>+VLOOKUP(C102,Indicadores!B:V,21,FALSE)</f>
        <v>0.5</v>
      </c>
      <c r="U102" s="35" t="str">
        <f t="shared" si="27"/>
        <v>No Cumple</v>
      </c>
      <c r="V102" s="2">
        <f t="shared" si="28"/>
        <v>0</v>
      </c>
      <c r="W102" s="5" t="str">
        <f t="shared" si="29"/>
        <v>NO</v>
      </c>
      <c r="X102" s="5">
        <f t="shared" si="30"/>
        <v>0</v>
      </c>
      <c r="Y102" s="1"/>
    </row>
    <row r="103" spans="2:25" x14ac:dyDescent="0.25">
      <c r="B103" s="1" t="s">
        <v>238</v>
      </c>
      <c r="C103" s="1" t="s">
        <v>108</v>
      </c>
      <c r="D103" s="1" t="s">
        <v>243</v>
      </c>
      <c r="E103" s="1" t="s">
        <v>342</v>
      </c>
      <c r="F103" s="2">
        <f t="shared" si="20"/>
        <v>250000</v>
      </c>
      <c r="G103" s="4">
        <f>+VLOOKUP(C103,Indicadores!B:C,2,FALSE)</f>
        <v>0.79444545454545434</v>
      </c>
      <c r="H103" s="1" t="str">
        <f t="shared" si="21"/>
        <v>No Cumple</v>
      </c>
      <c r="I103" s="4">
        <f>+VLOOKUP(C103,Indicadores!B:F,5,FALSE)</f>
        <v>0.88235294117647056</v>
      </c>
      <c r="J103" s="1" t="str">
        <f t="shared" si="22"/>
        <v>Cumple</v>
      </c>
      <c r="K103" s="9">
        <f t="shared" si="31"/>
        <v>150000</v>
      </c>
      <c r="L103" s="4">
        <f>+VLOOKUP(C103,Indicadores!B:P,15,FALSE)</f>
        <v>0.61863333333333337</v>
      </c>
      <c r="M103" s="1" t="str">
        <f t="shared" si="23"/>
        <v>No Cumple</v>
      </c>
      <c r="N103" s="5">
        <f t="shared" si="24"/>
        <v>0</v>
      </c>
      <c r="O103" s="5">
        <f t="shared" si="32"/>
        <v>50000</v>
      </c>
      <c r="P103" s="4">
        <v>0.95</v>
      </c>
      <c r="Q103" s="5" t="str">
        <f t="shared" si="25"/>
        <v>Cumple</v>
      </c>
      <c r="R103" s="5">
        <f t="shared" si="26"/>
        <v>47500</v>
      </c>
      <c r="S103" s="5">
        <f t="shared" si="33"/>
        <v>50000</v>
      </c>
      <c r="T103" s="4">
        <f>+VLOOKUP(C103,Indicadores!B:V,21,FALSE)</f>
        <v>0.99099999999999999</v>
      </c>
      <c r="U103" s="35" t="str">
        <f t="shared" si="27"/>
        <v>No Cumple</v>
      </c>
      <c r="V103" s="2">
        <f t="shared" si="28"/>
        <v>0</v>
      </c>
      <c r="W103" s="5" t="str">
        <f t="shared" si="29"/>
        <v>NO</v>
      </c>
      <c r="X103" s="5">
        <f t="shared" si="30"/>
        <v>0</v>
      </c>
      <c r="Y103" s="1"/>
    </row>
    <row r="104" spans="2:25" x14ac:dyDescent="0.25">
      <c r="B104" s="1" t="s">
        <v>238</v>
      </c>
      <c r="C104" s="1" t="s">
        <v>109</v>
      </c>
      <c r="D104" s="1" t="s">
        <v>243</v>
      </c>
      <c r="E104" s="1" t="s">
        <v>342</v>
      </c>
      <c r="F104" s="2">
        <f t="shared" si="20"/>
        <v>250000</v>
      </c>
      <c r="G104" s="4">
        <f>+VLOOKUP(C104,Indicadores!B:C,2,FALSE)</f>
        <v>0.75879090909090907</v>
      </c>
      <c r="H104" s="1" t="str">
        <f t="shared" si="21"/>
        <v>No Cumple</v>
      </c>
      <c r="I104" s="4">
        <f>+VLOOKUP(C104,Indicadores!B:F,5,FALSE)</f>
        <v>1</v>
      </c>
      <c r="J104" s="1" t="str">
        <f t="shared" si="22"/>
        <v>Cumple</v>
      </c>
      <c r="K104" s="9">
        <f t="shared" si="31"/>
        <v>150000</v>
      </c>
      <c r="L104" s="4">
        <f>+VLOOKUP(C104,Indicadores!B:P,15,FALSE)</f>
        <v>0.62816666666666665</v>
      </c>
      <c r="M104" s="1" t="str">
        <f t="shared" si="23"/>
        <v>No Cumple</v>
      </c>
      <c r="N104" s="5">
        <f t="shared" si="24"/>
        <v>0</v>
      </c>
      <c r="O104" s="5">
        <f t="shared" si="32"/>
        <v>50000</v>
      </c>
      <c r="P104" s="4">
        <v>0.95</v>
      </c>
      <c r="Q104" s="5" t="str">
        <f t="shared" si="25"/>
        <v>Cumple</v>
      </c>
      <c r="R104" s="5">
        <f t="shared" si="26"/>
        <v>47500</v>
      </c>
      <c r="S104" s="5">
        <f t="shared" si="33"/>
        <v>50000</v>
      </c>
      <c r="T104" s="4">
        <f>+VLOOKUP(C104,Indicadores!B:V,21,FALSE)</f>
        <v>0.5</v>
      </c>
      <c r="U104" s="35" t="str">
        <f t="shared" si="27"/>
        <v>No Cumple</v>
      </c>
      <c r="V104" s="2">
        <f t="shared" si="28"/>
        <v>0</v>
      </c>
      <c r="W104" s="5" t="str">
        <f t="shared" si="29"/>
        <v>NO</v>
      </c>
      <c r="X104" s="5">
        <f t="shared" si="30"/>
        <v>0</v>
      </c>
      <c r="Y104" s="1"/>
    </row>
    <row r="105" spans="2:25" x14ac:dyDescent="0.25">
      <c r="B105" s="1" t="s">
        <v>238</v>
      </c>
      <c r="C105" s="1" t="s">
        <v>110</v>
      </c>
      <c r="D105" s="1" t="s">
        <v>243</v>
      </c>
      <c r="E105" s="1" t="s">
        <v>342</v>
      </c>
      <c r="F105" s="2">
        <f t="shared" si="20"/>
        <v>250000</v>
      </c>
      <c r="G105" s="4">
        <f>+VLOOKUP(C105,Indicadores!B:C,2,FALSE)</f>
        <v>0.76104545454545469</v>
      </c>
      <c r="H105" s="1" t="str">
        <f t="shared" si="21"/>
        <v>No Cumple</v>
      </c>
      <c r="I105" s="4">
        <f>+VLOOKUP(C105,Indicadores!B:F,5,FALSE)</f>
        <v>1</v>
      </c>
      <c r="J105" s="1" t="str">
        <f t="shared" si="22"/>
        <v>Cumple</v>
      </c>
      <c r="K105" s="9">
        <f t="shared" si="31"/>
        <v>150000</v>
      </c>
      <c r="L105" s="4">
        <f>+VLOOKUP(C105,Indicadores!B:P,15,FALSE)</f>
        <v>0.59576666666666667</v>
      </c>
      <c r="M105" s="1" t="str">
        <f t="shared" si="23"/>
        <v>No Cumple</v>
      </c>
      <c r="N105" s="5">
        <f t="shared" si="24"/>
        <v>0</v>
      </c>
      <c r="O105" s="5">
        <f t="shared" si="32"/>
        <v>50000</v>
      </c>
      <c r="P105" s="4">
        <v>0.95</v>
      </c>
      <c r="Q105" s="5" t="str">
        <f t="shared" si="25"/>
        <v>Cumple</v>
      </c>
      <c r="R105" s="5">
        <f t="shared" si="26"/>
        <v>47500</v>
      </c>
      <c r="S105" s="5">
        <f t="shared" si="33"/>
        <v>50000</v>
      </c>
      <c r="T105" s="4">
        <f>+VLOOKUP(C105,Indicadores!B:V,21,FALSE)</f>
        <v>0.5</v>
      </c>
      <c r="U105" s="35" t="str">
        <f t="shared" si="27"/>
        <v>No Cumple</v>
      </c>
      <c r="V105" s="2">
        <f t="shared" si="28"/>
        <v>0</v>
      </c>
      <c r="W105" s="5" t="str">
        <f t="shared" si="29"/>
        <v>NO</v>
      </c>
      <c r="X105" s="5">
        <f t="shared" si="30"/>
        <v>0</v>
      </c>
      <c r="Y105" s="1"/>
    </row>
    <row r="106" spans="2:25" x14ac:dyDescent="0.25">
      <c r="B106" s="1" t="s">
        <v>239</v>
      </c>
      <c r="C106" s="1" t="s">
        <v>111</v>
      </c>
      <c r="D106" s="1" t="s">
        <v>243</v>
      </c>
      <c r="E106" s="1" t="s">
        <v>343</v>
      </c>
      <c r="F106" s="2">
        <f t="shared" si="20"/>
        <v>250000</v>
      </c>
      <c r="G106" s="4">
        <f>+VLOOKUP(C106,Indicadores!B:C,2,FALSE)</f>
        <v>0.78153636363636358</v>
      </c>
      <c r="H106" s="1" t="str">
        <f t="shared" si="21"/>
        <v>No Cumple</v>
      </c>
      <c r="I106" s="4">
        <f>+VLOOKUP(C106,Indicadores!B:F,5,FALSE)</f>
        <v>0.92307692307692313</v>
      </c>
      <c r="J106" s="1" t="str">
        <f t="shared" si="22"/>
        <v>Cumple</v>
      </c>
      <c r="K106" s="9">
        <f t="shared" si="31"/>
        <v>150000</v>
      </c>
      <c r="L106" s="4">
        <f>+VLOOKUP(C106,Indicadores!B:P,15,FALSE)</f>
        <v>0.38013333333333338</v>
      </c>
      <c r="M106" s="1" t="str">
        <f t="shared" si="23"/>
        <v>No Cumple</v>
      </c>
      <c r="N106" s="5">
        <f t="shared" si="24"/>
        <v>0</v>
      </c>
      <c r="O106" s="5">
        <f t="shared" si="32"/>
        <v>50000</v>
      </c>
      <c r="P106" s="4">
        <v>0.95</v>
      </c>
      <c r="Q106" s="5" t="str">
        <f t="shared" si="25"/>
        <v>Cumple</v>
      </c>
      <c r="R106" s="5">
        <f t="shared" si="26"/>
        <v>47500</v>
      </c>
      <c r="S106" s="5">
        <f t="shared" si="33"/>
        <v>50000</v>
      </c>
      <c r="T106" s="4">
        <f>+VLOOKUP(C106,Indicadores!B:V,21,FALSE)</f>
        <v>0.98250000000000004</v>
      </c>
      <c r="U106" s="35" t="str">
        <f t="shared" si="27"/>
        <v>No Cumple</v>
      </c>
      <c r="V106" s="2">
        <f t="shared" si="28"/>
        <v>0</v>
      </c>
      <c r="W106" s="5" t="str">
        <f t="shared" si="29"/>
        <v>NO</v>
      </c>
      <c r="X106" s="5">
        <f t="shared" si="30"/>
        <v>0</v>
      </c>
      <c r="Y106" s="1"/>
    </row>
    <row r="107" spans="2:25" x14ac:dyDescent="0.25">
      <c r="B107" s="1" t="s">
        <v>239</v>
      </c>
      <c r="C107" s="1" t="s">
        <v>112</v>
      </c>
      <c r="D107" s="1" t="s">
        <v>243</v>
      </c>
      <c r="E107" s="1" t="s">
        <v>343</v>
      </c>
      <c r="F107" s="2">
        <f t="shared" si="20"/>
        <v>250000</v>
      </c>
      <c r="G107" s="4">
        <f>+VLOOKUP(C107,Indicadores!B:C,2,FALSE)</f>
        <v>0.73636363636363633</v>
      </c>
      <c r="H107" s="1" t="str">
        <f t="shared" si="21"/>
        <v>No Cumple</v>
      </c>
      <c r="I107" s="4">
        <f>+VLOOKUP(C107,Indicadores!B:F,5,FALSE)</f>
        <v>0.66666666666666663</v>
      </c>
      <c r="J107" s="1" t="str">
        <f t="shared" si="22"/>
        <v>No Cumple</v>
      </c>
      <c r="K107" s="9">
        <f t="shared" si="31"/>
        <v>150000</v>
      </c>
      <c r="L107" s="4">
        <f>+VLOOKUP(C107,Indicadores!B:P,15,FALSE)</f>
        <v>0.36109999999999998</v>
      </c>
      <c r="M107" s="1" t="str">
        <f t="shared" si="23"/>
        <v>No Cumple</v>
      </c>
      <c r="N107" s="5">
        <f t="shared" si="24"/>
        <v>0</v>
      </c>
      <c r="O107" s="5">
        <f t="shared" si="32"/>
        <v>50000</v>
      </c>
      <c r="P107" s="4">
        <v>0.95</v>
      </c>
      <c r="Q107" s="5" t="str">
        <f t="shared" si="25"/>
        <v>Cumple</v>
      </c>
      <c r="R107" s="5">
        <f t="shared" si="26"/>
        <v>47500</v>
      </c>
      <c r="S107" s="5">
        <f t="shared" si="33"/>
        <v>50000</v>
      </c>
      <c r="T107" s="4">
        <f>+VLOOKUP(C107,Indicadores!B:V,21,FALSE)</f>
        <v>1</v>
      </c>
      <c r="U107" s="35" t="str">
        <f t="shared" si="27"/>
        <v>Cumple</v>
      </c>
      <c r="V107" s="2">
        <f t="shared" si="28"/>
        <v>50000</v>
      </c>
      <c r="W107" s="5" t="str">
        <f t="shared" si="29"/>
        <v>NO</v>
      </c>
      <c r="X107" s="5">
        <f t="shared" si="30"/>
        <v>0</v>
      </c>
      <c r="Y107" s="1"/>
    </row>
    <row r="108" spans="2:25" x14ac:dyDescent="0.25">
      <c r="B108" s="1" t="s">
        <v>239</v>
      </c>
      <c r="C108" s="1" t="s">
        <v>113</v>
      </c>
      <c r="D108" s="1" t="s">
        <v>243</v>
      </c>
      <c r="E108" s="1" t="s">
        <v>343</v>
      </c>
      <c r="F108" s="2">
        <f t="shared" si="20"/>
        <v>250000</v>
      </c>
      <c r="G108" s="4">
        <f>+VLOOKUP(C108,Indicadores!B:C,2,FALSE)</f>
        <v>0.8077545454545455</v>
      </c>
      <c r="H108" s="1" t="str">
        <f t="shared" si="21"/>
        <v>Cumple</v>
      </c>
      <c r="I108" s="4">
        <f>+VLOOKUP(C108,Indicadores!B:F,5,FALSE)</f>
        <v>1</v>
      </c>
      <c r="J108" s="1" t="str">
        <f t="shared" si="22"/>
        <v>Cumple</v>
      </c>
      <c r="K108" s="9">
        <f t="shared" si="31"/>
        <v>150000</v>
      </c>
      <c r="L108" s="4">
        <f>+VLOOKUP(C108,Indicadores!B:P,15,FALSE)</f>
        <v>0.35520000000000002</v>
      </c>
      <c r="M108" s="1" t="str">
        <f t="shared" si="23"/>
        <v>No Cumple</v>
      </c>
      <c r="N108" s="5">
        <f t="shared" si="24"/>
        <v>0</v>
      </c>
      <c r="O108" s="5">
        <f t="shared" si="32"/>
        <v>50000</v>
      </c>
      <c r="P108" s="4">
        <v>0.95</v>
      </c>
      <c r="Q108" s="5" t="str">
        <f t="shared" si="25"/>
        <v>Cumple</v>
      </c>
      <c r="R108" s="5">
        <f t="shared" si="26"/>
        <v>47500</v>
      </c>
      <c r="S108" s="5">
        <f t="shared" si="33"/>
        <v>50000</v>
      </c>
      <c r="T108" s="4">
        <f>+VLOOKUP(C108,Indicadores!B:V,21,FALSE)</f>
        <v>0.5</v>
      </c>
      <c r="U108" s="35" t="str">
        <f t="shared" si="27"/>
        <v>No Cumple</v>
      </c>
      <c r="V108" s="2">
        <f t="shared" si="28"/>
        <v>0</v>
      </c>
      <c r="W108" s="5" t="str">
        <f t="shared" si="29"/>
        <v>SI</v>
      </c>
      <c r="X108" s="5">
        <f t="shared" si="30"/>
        <v>47500</v>
      </c>
      <c r="Y108" s="1"/>
    </row>
    <row r="109" spans="2:25" x14ac:dyDescent="0.25">
      <c r="B109" s="1" t="s">
        <v>239</v>
      </c>
      <c r="C109" s="1" t="s">
        <v>114</v>
      </c>
      <c r="D109" s="1" t="s">
        <v>243</v>
      </c>
      <c r="E109" s="1" t="s">
        <v>343</v>
      </c>
      <c r="F109" s="2">
        <f t="shared" si="20"/>
        <v>250000</v>
      </c>
      <c r="G109" s="4">
        <f>+VLOOKUP(C109,Indicadores!B:C,2,FALSE)</f>
        <v>0.77181818181818196</v>
      </c>
      <c r="H109" s="1" t="str">
        <f t="shared" si="21"/>
        <v>No Cumple</v>
      </c>
      <c r="I109" s="4">
        <f>+VLOOKUP(C109,Indicadores!B:F,5,FALSE)</f>
        <v>1</v>
      </c>
      <c r="J109" s="1" t="str">
        <f t="shared" si="22"/>
        <v>Cumple</v>
      </c>
      <c r="K109" s="9">
        <f t="shared" si="31"/>
        <v>150000</v>
      </c>
      <c r="L109" s="4">
        <f>+VLOOKUP(C109,Indicadores!B:P,15,FALSE)</f>
        <v>0.4129666666666667</v>
      </c>
      <c r="M109" s="1" t="str">
        <f t="shared" si="23"/>
        <v>No Cumple</v>
      </c>
      <c r="N109" s="5">
        <f t="shared" si="24"/>
        <v>0</v>
      </c>
      <c r="O109" s="5">
        <f t="shared" si="32"/>
        <v>50000</v>
      </c>
      <c r="P109" s="4">
        <v>0.95</v>
      </c>
      <c r="Q109" s="5" t="str">
        <f t="shared" si="25"/>
        <v>Cumple</v>
      </c>
      <c r="R109" s="5">
        <f t="shared" si="26"/>
        <v>47500</v>
      </c>
      <c r="S109" s="5">
        <f t="shared" si="33"/>
        <v>50000</v>
      </c>
      <c r="T109" s="4">
        <f>+VLOOKUP(C109,Indicadores!B:V,21,FALSE)</f>
        <v>1</v>
      </c>
      <c r="U109" s="35" t="str">
        <f t="shared" si="27"/>
        <v>Cumple</v>
      </c>
      <c r="V109" s="2">
        <f t="shared" si="28"/>
        <v>50000</v>
      </c>
      <c r="W109" s="5" t="str">
        <f t="shared" si="29"/>
        <v>NO</v>
      </c>
      <c r="X109" s="5">
        <f t="shared" si="30"/>
        <v>0</v>
      </c>
      <c r="Y109" s="1"/>
    </row>
    <row r="110" spans="2:25" x14ac:dyDescent="0.25">
      <c r="B110" s="1" t="s">
        <v>239</v>
      </c>
      <c r="C110" s="1" t="s">
        <v>115</v>
      </c>
      <c r="D110" s="1" t="s">
        <v>243</v>
      </c>
      <c r="E110" s="1" t="s">
        <v>343</v>
      </c>
      <c r="F110" s="2">
        <f t="shared" si="20"/>
        <v>250000</v>
      </c>
      <c r="G110" s="4">
        <f>+VLOOKUP(C110,Indicadores!B:C,2,FALSE)</f>
        <v>0.75952727272727261</v>
      </c>
      <c r="H110" s="1" t="str">
        <f t="shared" si="21"/>
        <v>No Cumple</v>
      </c>
      <c r="I110" s="4">
        <f>+VLOOKUP(C110,Indicadores!B:F,5,FALSE)</f>
        <v>1</v>
      </c>
      <c r="J110" s="1" t="str">
        <f t="shared" si="22"/>
        <v>Cumple</v>
      </c>
      <c r="K110" s="9">
        <f t="shared" si="31"/>
        <v>150000</v>
      </c>
      <c r="L110" s="4">
        <f>+VLOOKUP(C110,Indicadores!B:P,15,FALSE)</f>
        <v>0.36210000000000003</v>
      </c>
      <c r="M110" s="1" t="str">
        <f t="shared" si="23"/>
        <v>No Cumple</v>
      </c>
      <c r="N110" s="5">
        <f t="shared" si="24"/>
        <v>0</v>
      </c>
      <c r="O110" s="5">
        <f t="shared" si="32"/>
        <v>50000</v>
      </c>
      <c r="P110" s="4">
        <v>0.95</v>
      </c>
      <c r="Q110" s="5" t="str">
        <f t="shared" si="25"/>
        <v>Cumple</v>
      </c>
      <c r="R110" s="5">
        <f t="shared" si="26"/>
        <v>47500</v>
      </c>
      <c r="S110" s="5">
        <f t="shared" si="33"/>
        <v>50000</v>
      </c>
      <c r="T110" s="4">
        <f>+VLOOKUP(C110,Indicadores!B:V,21,FALSE)</f>
        <v>0.5</v>
      </c>
      <c r="U110" s="35" t="str">
        <f t="shared" si="27"/>
        <v>No Cumple</v>
      </c>
      <c r="V110" s="2">
        <f t="shared" si="28"/>
        <v>0</v>
      </c>
      <c r="W110" s="5" t="str">
        <f t="shared" si="29"/>
        <v>NO</v>
      </c>
      <c r="X110" s="5">
        <f t="shared" si="30"/>
        <v>0</v>
      </c>
      <c r="Y110" s="1"/>
    </row>
    <row r="111" spans="2:25" x14ac:dyDescent="0.25">
      <c r="B111" s="1" t="s">
        <v>239</v>
      </c>
      <c r="C111" s="1" t="s">
        <v>116</v>
      </c>
      <c r="D111" s="1" t="s">
        <v>243</v>
      </c>
      <c r="E111" s="1" t="s">
        <v>343</v>
      </c>
      <c r="F111" s="2">
        <f t="shared" si="20"/>
        <v>250000</v>
      </c>
      <c r="G111" s="4">
        <f>+VLOOKUP(C111,Indicadores!B:C,2,FALSE)</f>
        <v>0.74268181818181811</v>
      </c>
      <c r="H111" s="1" t="str">
        <f t="shared" si="21"/>
        <v>No Cumple</v>
      </c>
      <c r="I111" s="4">
        <f>+VLOOKUP(C111,Indicadores!B:F,5,FALSE)</f>
        <v>1</v>
      </c>
      <c r="J111" s="1" t="str">
        <f t="shared" si="22"/>
        <v>Cumple</v>
      </c>
      <c r="K111" s="9">
        <f t="shared" si="31"/>
        <v>150000</v>
      </c>
      <c r="L111" s="4">
        <f>+VLOOKUP(C111,Indicadores!B:P,15,FALSE)</f>
        <v>0.48333333333333334</v>
      </c>
      <c r="M111" s="1" t="str">
        <f t="shared" si="23"/>
        <v>No Cumple</v>
      </c>
      <c r="N111" s="5">
        <f t="shared" si="24"/>
        <v>0</v>
      </c>
      <c r="O111" s="5">
        <f t="shared" si="32"/>
        <v>50000</v>
      </c>
      <c r="P111" s="4">
        <v>0.95</v>
      </c>
      <c r="Q111" s="5" t="str">
        <f t="shared" si="25"/>
        <v>Cumple</v>
      </c>
      <c r="R111" s="5">
        <f t="shared" si="26"/>
        <v>47500</v>
      </c>
      <c r="S111" s="5">
        <f t="shared" si="33"/>
        <v>50000</v>
      </c>
      <c r="T111" s="4">
        <f>+VLOOKUP(C111,Indicadores!B:V,21,FALSE)</f>
        <v>0.48304999999999998</v>
      </c>
      <c r="U111" s="35" t="str">
        <f t="shared" si="27"/>
        <v>No Cumple</v>
      </c>
      <c r="V111" s="2">
        <f t="shared" si="28"/>
        <v>0</v>
      </c>
      <c r="W111" s="5" t="str">
        <f t="shared" si="29"/>
        <v>NO</v>
      </c>
      <c r="X111" s="5">
        <f t="shared" si="30"/>
        <v>0</v>
      </c>
      <c r="Y111" s="1"/>
    </row>
    <row r="112" spans="2:25" x14ac:dyDescent="0.25">
      <c r="B112" s="1" t="s">
        <v>239</v>
      </c>
      <c r="C112" s="1" t="s">
        <v>117</v>
      </c>
      <c r="D112" s="1" t="s">
        <v>243</v>
      </c>
      <c r="E112" s="1" t="s">
        <v>343</v>
      </c>
      <c r="F112" s="2">
        <f t="shared" si="20"/>
        <v>250000</v>
      </c>
      <c r="G112" s="4">
        <f>+VLOOKUP(C112,Indicadores!B:C,2,FALSE)</f>
        <v>0.76329999999999998</v>
      </c>
      <c r="H112" s="1" t="str">
        <f t="shared" si="21"/>
        <v>No Cumple</v>
      </c>
      <c r="I112" s="4">
        <f>+VLOOKUP(C112,Indicadores!B:F,5,FALSE)</f>
        <v>0.8</v>
      </c>
      <c r="J112" s="1" t="str">
        <f t="shared" si="22"/>
        <v>Cumple</v>
      </c>
      <c r="K112" s="9">
        <f t="shared" si="31"/>
        <v>150000</v>
      </c>
      <c r="L112" s="4">
        <f>+VLOOKUP(C112,Indicadores!B:P,15,FALSE)</f>
        <v>0.33333333333333331</v>
      </c>
      <c r="M112" s="1" t="str">
        <f t="shared" si="23"/>
        <v>No Cumple</v>
      </c>
      <c r="N112" s="5">
        <f t="shared" si="24"/>
        <v>0</v>
      </c>
      <c r="O112" s="5">
        <f t="shared" si="32"/>
        <v>50000</v>
      </c>
      <c r="P112" s="4">
        <v>0.95</v>
      </c>
      <c r="Q112" s="5" t="str">
        <f t="shared" si="25"/>
        <v>Cumple</v>
      </c>
      <c r="R112" s="5">
        <f t="shared" si="26"/>
        <v>47500</v>
      </c>
      <c r="S112" s="5">
        <f t="shared" si="33"/>
        <v>50000</v>
      </c>
      <c r="T112" s="4">
        <f>+VLOOKUP(C112,Indicadores!B:V,21,FALSE)</f>
        <v>1</v>
      </c>
      <c r="U112" s="35" t="str">
        <f t="shared" si="27"/>
        <v>Cumple</v>
      </c>
      <c r="V112" s="2">
        <f t="shared" si="28"/>
        <v>50000</v>
      </c>
      <c r="W112" s="5" t="str">
        <f t="shared" si="29"/>
        <v>NO</v>
      </c>
      <c r="X112" s="5">
        <f t="shared" si="30"/>
        <v>0</v>
      </c>
      <c r="Y112" s="1"/>
    </row>
    <row r="113" spans="2:25" x14ac:dyDescent="0.25">
      <c r="B113" s="1" t="s">
        <v>239</v>
      </c>
      <c r="C113" s="1" t="s">
        <v>118</v>
      </c>
      <c r="D113" s="1" t="s">
        <v>243</v>
      </c>
      <c r="E113" s="1" t="s">
        <v>343</v>
      </c>
      <c r="F113" s="2">
        <f t="shared" si="20"/>
        <v>250000</v>
      </c>
      <c r="G113" s="4">
        <f>+VLOOKUP(C113,Indicadores!B:C,2,FALSE)</f>
        <v>0.48588181818181814</v>
      </c>
      <c r="H113" s="1" t="str">
        <f t="shared" si="21"/>
        <v>No Cumple</v>
      </c>
      <c r="I113" s="4">
        <f>+VLOOKUP(C113,Indicadores!B:F,5,FALSE)</f>
        <v>0.6</v>
      </c>
      <c r="J113" s="1" t="str">
        <f t="shared" si="22"/>
        <v>No Cumple</v>
      </c>
      <c r="K113" s="9">
        <f t="shared" si="31"/>
        <v>150000</v>
      </c>
      <c r="L113" s="4">
        <f>+VLOOKUP(C113,Indicadores!B:P,15,FALSE)</f>
        <v>0.47746666666666665</v>
      </c>
      <c r="M113" s="1" t="str">
        <f t="shared" si="23"/>
        <v>No Cumple</v>
      </c>
      <c r="N113" s="5">
        <f t="shared" si="24"/>
        <v>0</v>
      </c>
      <c r="O113" s="5">
        <f t="shared" si="32"/>
        <v>50000</v>
      </c>
      <c r="P113" s="4">
        <v>0.95</v>
      </c>
      <c r="Q113" s="5" t="str">
        <f t="shared" si="25"/>
        <v>Cumple</v>
      </c>
      <c r="R113" s="5">
        <f t="shared" si="26"/>
        <v>47500</v>
      </c>
      <c r="S113" s="5">
        <f t="shared" si="33"/>
        <v>50000</v>
      </c>
      <c r="T113" s="4">
        <f>+VLOOKUP(C113,Indicadores!B:V,21,FALSE)</f>
        <v>0.58620000000000005</v>
      </c>
      <c r="U113" s="35" t="str">
        <f t="shared" si="27"/>
        <v>No Cumple</v>
      </c>
      <c r="V113" s="2">
        <f t="shared" si="28"/>
        <v>0</v>
      </c>
      <c r="W113" s="5" t="str">
        <f t="shared" si="29"/>
        <v>NO</v>
      </c>
      <c r="X113" s="5">
        <f t="shared" si="30"/>
        <v>0</v>
      </c>
      <c r="Y113" s="1"/>
    </row>
    <row r="114" spans="2:25" x14ac:dyDescent="0.25">
      <c r="B114" s="1" t="s">
        <v>239</v>
      </c>
      <c r="C114" s="1" t="s">
        <v>119</v>
      </c>
      <c r="D114" s="1" t="s">
        <v>243</v>
      </c>
      <c r="E114" s="1" t="s">
        <v>343</v>
      </c>
      <c r="F114" s="2">
        <f t="shared" si="20"/>
        <v>250000</v>
      </c>
      <c r="G114" s="4">
        <f>+VLOOKUP(C114,Indicadores!B:C,2,FALSE)</f>
        <v>0.73012727272727274</v>
      </c>
      <c r="H114" s="1" t="str">
        <f t="shared" si="21"/>
        <v>No Cumple</v>
      </c>
      <c r="I114" s="4">
        <f>+VLOOKUP(C114,Indicadores!B:F,5,FALSE)</f>
        <v>1</v>
      </c>
      <c r="J114" s="1" t="str">
        <f t="shared" si="22"/>
        <v>Cumple</v>
      </c>
      <c r="K114" s="9">
        <f t="shared" si="31"/>
        <v>150000</v>
      </c>
      <c r="L114" s="4">
        <f>+VLOOKUP(C114,Indicadores!B:P,15,FALSE)</f>
        <v>0.3404666666666667</v>
      </c>
      <c r="M114" s="1" t="str">
        <f t="shared" si="23"/>
        <v>No Cumple</v>
      </c>
      <c r="N114" s="5">
        <f t="shared" si="24"/>
        <v>0</v>
      </c>
      <c r="O114" s="5">
        <f t="shared" si="32"/>
        <v>50000</v>
      </c>
      <c r="P114" s="4">
        <v>0.95</v>
      </c>
      <c r="Q114" s="5" t="str">
        <f t="shared" si="25"/>
        <v>Cumple</v>
      </c>
      <c r="R114" s="5">
        <f t="shared" si="26"/>
        <v>47500</v>
      </c>
      <c r="S114" s="5">
        <f t="shared" si="33"/>
        <v>50000</v>
      </c>
      <c r="T114" s="4">
        <f>+VLOOKUP(C114,Indicadores!B:V,21,FALSE)</f>
        <v>0.98440000000000005</v>
      </c>
      <c r="U114" s="35" t="str">
        <f t="shared" si="27"/>
        <v>No Cumple</v>
      </c>
      <c r="V114" s="2">
        <f t="shared" si="28"/>
        <v>0</v>
      </c>
      <c r="W114" s="5" t="str">
        <f t="shared" si="29"/>
        <v>NO</v>
      </c>
      <c r="X114" s="5">
        <f t="shared" si="30"/>
        <v>0</v>
      </c>
      <c r="Y114" s="8"/>
    </row>
    <row r="115" spans="2:25" x14ac:dyDescent="0.25">
      <c r="B115" s="1" t="s">
        <v>239</v>
      </c>
      <c r="C115" s="1" t="s">
        <v>120</v>
      </c>
      <c r="D115" s="1" t="s">
        <v>243</v>
      </c>
      <c r="E115" s="1" t="s">
        <v>343</v>
      </c>
      <c r="F115" s="2">
        <f t="shared" si="20"/>
        <v>250000</v>
      </c>
      <c r="G115" s="4">
        <f>+VLOOKUP(C115,Indicadores!B:C,2,FALSE)</f>
        <v>0.76107272727272735</v>
      </c>
      <c r="H115" s="1" t="str">
        <f t="shared" si="21"/>
        <v>No Cumple</v>
      </c>
      <c r="I115" s="4">
        <f>+VLOOKUP(C115,Indicadores!B:F,5,FALSE)</f>
        <v>0.88888888888888884</v>
      </c>
      <c r="J115" s="1" t="str">
        <f t="shared" si="22"/>
        <v>Cumple</v>
      </c>
      <c r="K115" s="9">
        <f t="shared" si="31"/>
        <v>150000</v>
      </c>
      <c r="L115" s="4">
        <f>+VLOOKUP(C115,Indicadores!B:P,15,FALSE)</f>
        <v>0.52253333333333341</v>
      </c>
      <c r="M115" s="1" t="str">
        <f t="shared" si="23"/>
        <v>No Cumple</v>
      </c>
      <c r="N115" s="5">
        <f t="shared" si="24"/>
        <v>0</v>
      </c>
      <c r="O115" s="5">
        <f t="shared" si="32"/>
        <v>50000</v>
      </c>
      <c r="P115" s="4">
        <v>0.95</v>
      </c>
      <c r="Q115" s="5" t="str">
        <f t="shared" si="25"/>
        <v>Cumple</v>
      </c>
      <c r="R115" s="5">
        <f t="shared" si="26"/>
        <v>47500</v>
      </c>
      <c r="S115" s="5">
        <f t="shared" si="33"/>
        <v>50000</v>
      </c>
      <c r="T115" s="4">
        <f>+VLOOKUP(C115,Indicadores!B:V,21,FALSE)</f>
        <v>0.97670000000000001</v>
      </c>
      <c r="U115" s="35" t="str">
        <f t="shared" si="27"/>
        <v>No Cumple</v>
      </c>
      <c r="V115" s="2">
        <f t="shared" si="28"/>
        <v>0</v>
      </c>
      <c r="W115" s="5" t="str">
        <f t="shared" si="29"/>
        <v>NO</v>
      </c>
      <c r="X115" s="5">
        <f t="shared" si="30"/>
        <v>0</v>
      </c>
      <c r="Y115" s="1"/>
    </row>
    <row r="116" spans="2:25" x14ac:dyDescent="0.25">
      <c r="B116" s="1" t="s">
        <v>239</v>
      </c>
      <c r="C116" s="1" t="s">
        <v>121</v>
      </c>
      <c r="D116" s="1" t="s">
        <v>243</v>
      </c>
      <c r="E116" s="1" t="s">
        <v>343</v>
      </c>
      <c r="F116" s="2">
        <f t="shared" si="20"/>
        <v>250000</v>
      </c>
      <c r="G116" s="4">
        <f>+VLOOKUP(C116,Indicadores!B:C,2,FALSE)</f>
        <v>0.81439090909090905</v>
      </c>
      <c r="H116" s="1" t="str">
        <f t="shared" si="21"/>
        <v>Cumple</v>
      </c>
      <c r="I116" s="4">
        <f>+VLOOKUP(C116,Indicadores!B:F,5,FALSE)</f>
        <v>0.83333333333333337</v>
      </c>
      <c r="J116" s="1" t="str">
        <f t="shared" si="22"/>
        <v>Cumple</v>
      </c>
      <c r="K116" s="9">
        <f t="shared" si="31"/>
        <v>150000</v>
      </c>
      <c r="L116" s="4">
        <f>+VLOOKUP(C116,Indicadores!B:P,15,FALSE)</f>
        <v>0.41310000000000002</v>
      </c>
      <c r="M116" s="1" t="str">
        <f t="shared" si="23"/>
        <v>No Cumple</v>
      </c>
      <c r="N116" s="5">
        <f t="shared" si="24"/>
        <v>0</v>
      </c>
      <c r="O116" s="5">
        <f t="shared" si="32"/>
        <v>50000</v>
      </c>
      <c r="P116" s="4">
        <v>0.95</v>
      </c>
      <c r="Q116" s="5" t="str">
        <f t="shared" si="25"/>
        <v>Cumple</v>
      </c>
      <c r="R116" s="5">
        <f t="shared" si="26"/>
        <v>47500</v>
      </c>
      <c r="S116" s="5">
        <f t="shared" si="33"/>
        <v>50000</v>
      </c>
      <c r="T116" s="4">
        <f>+VLOOKUP(C116,Indicadores!B:V,21,FALSE)</f>
        <v>0.5</v>
      </c>
      <c r="U116" s="35" t="str">
        <f t="shared" si="27"/>
        <v>No Cumple</v>
      </c>
      <c r="V116" s="2">
        <f t="shared" si="28"/>
        <v>0</v>
      </c>
      <c r="W116" s="5" t="str">
        <f t="shared" si="29"/>
        <v>SI</v>
      </c>
      <c r="X116" s="5">
        <f t="shared" si="30"/>
        <v>47500</v>
      </c>
      <c r="Y116" s="1"/>
    </row>
    <row r="117" spans="2:25" x14ac:dyDescent="0.25">
      <c r="B117" s="1" t="s">
        <v>239</v>
      </c>
      <c r="C117" s="1" t="s">
        <v>122</v>
      </c>
      <c r="D117" s="1" t="s">
        <v>243</v>
      </c>
      <c r="E117" s="1" t="s">
        <v>343</v>
      </c>
      <c r="F117" s="2">
        <f t="shared" si="20"/>
        <v>250000</v>
      </c>
      <c r="G117" s="4">
        <f>+VLOOKUP(C117,Indicadores!B:C,2,FALSE)</f>
        <v>0.81191818181818176</v>
      </c>
      <c r="H117" s="1" t="str">
        <f t="shared" si="21"/>
        <v>Cumple</v>
      </c>
      <c r="I117" s="4">
        <f>+VLOOKUP(C117,Indicadores!B:F,5,FALSE)</f>
        <v>1</v>
      </c>
      <c r="J117" s="1" t="str">
        <f t="shared" si="22"/>
        <v>Cumple</v>
      </c>
      <c r="K117" s="9">
        <f t="shared" si="31"/>
        <v>150000</v>
      </c>
      <c r="L117" s="4">
        <f>+VLOOKUP(C117,Indicadores!B:P,15,FALSE)</f>
        <v>0.46429999999999999</v>
      </c>
      <c r="M117" s="1" t="str">
        <f t="shared" si="23"/>
        <v>No Cumple</v>
      </c>
      <c r="N117" s="5">
        <f t="shared" si="24"/>
        <v>0</v>
      </c>
      <c r="O117" s="5">
        <f t="shared" si="32"/>
        <v>50000</v>
      </c>
      <c r="P117" s="4">
        <v>0.95</v>
      </c>
      <c r="Q117" s="5" t="str">
        <f t="shared" si="25"/>
        <v>Cumple</v>
      </c>
      <c r="R117" s="5">
        <f t="shared" si="26"/>
        <v>47500</v>
      </c>
      <c r="S117" s="5">
        <f t="shared" si="33"/>
        <v>50000</v>
      </c>
      <c r="T117" s="4">
        <f>+VLOOKUP(C117,Indicadores!B:V,21,FALSE)</f>
        <v>1</v>
      </c>
      <c r="U117" s="35" t="str">
        <f t="shared" si="27"/>
        <v>Cumple</v>
      </c>
      <c r="V117" s="2">
        <f t="shared" si="28"/>
        <v>50000</v>
      </c>
      <c r="W117" s="5" t="str">
        <f t="shared" si="29"/>
        <v>SI</v>
      </c>
      <c r="X117" s="5">
        <f t="shared" si="30"/>
        <v>97500</v>
      </c>
      <c r="Y117" s="1"/>
    </row>
    <row r="118" spans="2:25" x14ac:dyDescent="0.25">
      <c r="B118" s="1" t="s">
        <v>239</v>
      </c>
      <c r="C118" s="1" t="s">
        <v>123</v>
      </c>
      <c r="D118" s="1" t="s">
        <v>243</v>
      </c>
      <c r="E118" s="1" t="s">
        <v>343</v>
      </c>
      <c r="F118" s="2">
        <f t="shared" si="20"/>
        <v>250000</v>
      </c>
      <c r="G118" s="4">
        <f>+VLOOKUP(C118,Indicadores!B:C,2,FALSE)</f>
        <v>0.75828181818181806</v>
      </c>
      <c r="H118" s="1" t="str">
        <f t="shared" si="21"/>
        <v>No Cumple</v>
      </c>
      <c r="I118" s="4">
        <f>+VLOOKUP(C118,Indicadores!B:F,5,FALSE)</f>
        <v>1</v>
      </c>
      <c r="J118" s="1" t="str">
        <f t="shared" si="22"/>
        <v>Cumple</v>
      </c>
      <c r="K118" s="9">
        <f t="shared" si="31"/>
        <v>150000</v>
      </c>
      <c r="L118" s="4">
        <f>+VLOOKUP(C118,Indicadores!B:P,15,FALSE)</f>
        <v>0.3358666666666667</v>
      </c>
      <c r="M118" s="1" t="str">
        <f t="shared" si="23"/>
        <v>No Cumple</v>
      </c>
      <c r="N118" s="5">
        <f t="shared" si="24"/>
        <v>0</v>
      </c>
      <c r="O118" s="5">
        <f t="shared" si="32"/>
        <v>50000</v>
      </c>
      <c r="P118" s="4">
        <v>0.95</v>
      </c>
      <c r="Q118" s="5" t="str">
        <f t="shared" si="25"/>
        <v>Cumple</v>
      </c>
      <c r="R118" s="5">
        <f t="shared" si="26"/>
        <v>47500</v>
      </c>
      <c r="S118" s="5">
        <f t="shared" si="33"/>
        <v>50000</v>
      </c>
      <c r="T118" s="4">
        <f>+VLOOKUP(C118,Indicadores!B:V,21,FALSE)</f>
        <v>0.97729999999999995</v>
      </c>
      <c r="U118" s="35" t="str">
        <f t="shared" si="27"/>
        <v>No Cumple</v>
      </c>
      <c r="V118" s="2">
        <f t="shared" si="28"/>
        <v>0</v>
      </c>
      <c r="W118" s="5" t="str">
        <f t="shared" si="29"/>
        <v>NO</v>
      </c>
      <c r="X118" s="5">
        <f t="shared" si="30"/>
        <v>0</v>
      </c>
      <c r="Y118" s="1"/>
    </row>
    <row r="119" spans="2:25" x14ac:dyDescent="0.25">
      <c r="B119" s="1" t="s">
        <v>233</v>
      </c>
      <c r="C119" s="1" t="s">
        <v>124</v>
      </c>
      <c r="D119" s="1" t="s">
        <v>241</v>
      </c>
      <c r="E119" s="1" t="s">
        <v>338</v>
      </c>
      <c r="F119" s="2">
        <f t="shared" si="20"/>
        <v>250000</v>
      </c>
      <c r="G119" s="4">
        <f>+VLOOKUP(C119,Indicadores!B:C,2,FALSE)</f>
        <v>0.77711818181818171</v>
      </c>
      <c r="H119" s="1" t="str">
        <f t="shared" si="21"/>
        <v>No Cumple</v>
      </c>
      <c r="I119" s="4">
        <f>+VLOOKUP(C119,Indicadores!B:F,5,FALSE)</f>
        <v>1</v>
      </c>
      <c r="J119" s="1" t="str">
        <f t="shared" si="22"/>
        <v>Cumple</v>
      </c>
      <c r="K119" s="9">
        <f t="shared" si="31"/>
        <v>150000</v>
      </c>
      <c r="L119" s="4">
        <f>+VLOOKUP(C119,Indicadores!B:P,15,FALSE)</f>
        <v>0.59856666666666669</v>
      </c>
      <c r="M119" s="1" t="str">
        <f t="shared" si="23"/>
        <v>No Cumple</v>
      </c>
      <c r="N119" s="5">
        <f t="shared" si="24"/>
        <v>0</v>
      </c>
      <c r="O119" s="5">
        <f t="shared" si="32"/>
        <v>50000</v>
      </c>
      <c r="P119" s="4">
        <v>0.95</v>
      </c>
      <c r="Q119" s="5" t="str">
        <f t="shared" si="25"/>
        <v>Cumple</v>
      </c>
      <c r="R119" s="5">
        <f t="shared" si="26"/>
        <v>47500</v>
      </c>
      <c r="S119" s="5">
        <f t="shared" si="33"/>
        <v>50000</v>
      </c>
      <c r="T119" s="4">
        <f>+VLOOKUP(C119,Indicadores!B:V,21,FALSE)</f>
        <v>0.5</v>
      </c>
      <c r="U119" s="35" t="str">
        <f t="shared" si="27"/>
        <v>No Cumple</v>
      </c>
      <c r="V119" s="2">
        <f t="shared" si="28"/>
        <v>0</v>
      </c>
      <c r="W119" s="5" t="str">
        <f t="shared" si="29"/>
        <v>NO</v>
      </c>
      <c r="X119" s="5">
        <f t="shared" si="30"/>
        <v>0</v>
      </c>
      <c r="Y119" s="1"/>
    </row>
    <row r="120" spans="2:25" x14ac:dyDescent="0.25">
      <c r="B120" s="1" t="s">
        <v>233</v>
      </c>
      <c r="C120" s="1" t="s">
        <v>125</v>
      </c>
      <c r="D120" s="1" t="s">
        <v>241</v>
      </c>
      <c r="E120" s="1" t="s">
        <v>338</v>
      </c>
      <c r="F120" s="2">
        <f t="shared" si="20"/>
        <v>250000</v>
      </c>
      <c r="G120" s="4">
        <f>+VLOOKUP(C120,Indicadores!B:C,2,FALSE)</f>
        <v>0.82110909090909101</v>
      </c>
      <c r="H120" s="1" t="str">
        <f t="shared" si="21"/>
        <v>Cumple</v>
      </c>
      <c r="I120" s="4">
        <f>+VLOOKUP(C120,Indicadores!B:F,5,FALSE)</f>
        <v>1</v>
      </c>
      <c r="J120" s="1" t="str">
        <f t="shared" si="22"/>
        <v>Cumple</v>
      </c>
      <c r="K120" s="9">
        <f t="shared" si="31"/>
        <v>150000</v>
      </c>
      <c r="L120" s="4">
        <f>+VLOOKUP(C120,Indicadores!B:P,15,FALSE)</f>
        <v>0.7161333333333334</v>
      </c>
      <c r="M120" s="1" t="str">
        <f t="shared" si="23"/>
        <v>No Cumple</v>
      </c>
      <c r="N120" s="5">
        <f t="shared" si="24"/>
        <v>0</v>
      </c>
      <c r="O120" s="5">
        <f t="shared" si="32"/>
        <v>50000</v>
      </c>
      <c r="P120" s="4">
        <v>0.95</v>
      </c>
      <c r="Q120" s="5" t="str">
        <f t="shared" si="25"/>
        <v>Cumple</v>
      </c>
      <c r="R120" s="5">
        <f t="shared" si="26"/>
        <v>47500</v>
      </c>
      <c r="S120" s="5">
        <f t="shared" si="33"/>
        <v>50000</v>
      </c>
      <c r="T120" s="4">
        <f>+VLOOKUP(C120,Indicadores!B:V,21,FALSE)</f>
        <v>0.5</v>
      </c>
      <c r="U120" s="35" t="str">
        <f t="shared" si="27"/>
        <v>No Cumple</v>
      </c>
      <c r="V120" s="2">
        <f t="shared" si="28"/>
        <v>0</v>
      </c>
      <c r="W120" s="5" t="str">
        <f t="shared" si="29"/>
        <v>SI</v>
      </c>
      <c r="X120" s="5">
        <f t="shared" si="30"/>
        <v>47500</v>
      </c>
      <c r="Y120" s="1"/>
    </row>
    <row r="121" spans="2:25" x14ac:dyDescent="0.25">
      <c r="B121" s="1" t="s">
        <v>233</v>
      </c>
      <c r="C121" s="1" t="s">
        <v>126</v>
      </c>
      <c r="D121" s="1" t="s">
        <v>241</v>
      </c>
      <c r="E121" s="1" t="s">
        <v>338</v>
      </c>
      <c r="F121" s="2">
        <f t="shared" si="20"/>
        <v>250000</v>
      </c>
      <c r="G121" s="4">
        <f>+VLOOKUP(C121,Indicadores!B:C,2,FALSE)</f>
        <v>0.7461363636363636</v>
      </c>
      <c r="H121" s="1" t="str">
        <f t="shared" si="21"/>
        <v>No Cumple</v>
      </c>
      <c r="I121" s="4">
        <f>+VLOOKUP(C121,Indicadores!B:F,5,FALSE)</f>
        <v>1</v>
      </c>
      <c r="J121" s="1" t="str">
        <f t="shared" si="22"/>
        <v>Cumple</v>
      </c>
      <c r="K121" s="9">
        <f t="shared" si="31"/>
        <v>150000</v>
      </c>
      <c r="L121" s="4">
        <f>+VLOOKUP(C121,Indicadores!B:P,15,FALSE)</f>
        <v>0.68493333333333328</v>
      </c>
      <c r="M121" s="1" t="str">
        <f t="shared" si="23"/>
        <v>No Cumple</v>
      </c>
      <c r="N121" s="5">
        <f t="shared" si="24"/>
        <v>0</v>
      </c>
      <c r="O121" s="5">
        <f t="shared" si="32"/>
        <v>50000</v>
      </c>
      <c r="P121" s="4">
        <v>0.95</v>
      </c>
      <c r="Q121" s="5" t="str">
        <f t="shared" si="25"/>
        <v>Cumple</v>
      </c>
      <c r="R121" s="5">
        <f t="shared" si="26"/>
        <v>47500</v>
      </c>
      <c r="S121" s="5">
        <f t="shared" si="33"/>
        <v>50000</v>
      </c>
      <c r="T121" s="4">
        <f>+VLOOKUP(C121,Indicadores!B:V,21,FALSE)</f>
        <v>0.93504999999999994</v>
      </c>
      <c r="U121" s="35" t="str">
        <f t="shared" si="27"/>
        <v>No Cumple</v>
      </c>
      <c r="V121" s="2">
        <f t="shared" si="28"/>
        <v>0</v>
      </c>
      <c r="W121" s="5" t="str">
        <f t="shared" si="29"/>
        <v>NO</v>
      </c>
      <c r="X121" s="5">
        <f t="shared" si="30"/>
        <v>0</v>
      </c>
      <c r="Y121" s="1"/>
    </row>
    <row r="122" spans="2:25" x14ac:dyDescent="0.25">
      <c r="B122" s="1" t="s">
        <v>233</v>
      </c>
      <c r="C122" s="1" t="s">
        <v>127</v>
      </c>
      <c r="D122" s="1" t="s">
        <v>241</v>
      </c>
      <c r="E122" s="1" t="s">
        <v>338</v>
      </c>
      <c r="F122" s="2">
        <f t="shared" si="20"/>
        <v>250000</v>
      </c>
      <c r="G122" s="4">
        <f>+VLOOKUP(C122,Indicadores!B:C,2,FALSE)</f>
        <v>0.80471818181818189</v>
      </c>
      <c r="H122" s="1" t="str">
        <f t="shared" si="21"/>
        <v>Cumple</v>
      </c>
      <c r="I122" s="4">
        <f>+VLOOKUP(C122,Indicadores!B:F,5,FALSE)</f>
        <v>1</v>
      </c>
      <c r="J122" s="1" t="str">
        <f t="shared" si="22"/>
        <v>Cumple</v>
      </c>
      <c r="K122" s="9">
        <f t="shared" si="31"/>
        <v>150000</v>
      </c>
      <c r="L122" s="4">
        <f>+VLOOKUP(C122,Indicadores!B:P,15,FALSE)</f>
        <v>0.35803333333333337</v>
      </c>
      <c r="M122" s="1" t="str">
        <f t="shared" si="23"/>
        <v>No Cumple</v>
      </c>
      <c r="N122" s="5">
        <f t="shared" si="24"/>
        <v>0</v>
      </c>
      <c r="O122" s="5">
        <f t="shared" si="32"/>
        <v>50000</v>
      </c>
      <c r="P122" s="4">
        <v>0.95</v>
      </c>
      <c r="Q122" s="5" t="str">
        <f t="shared" si="25"/>
        <v>Cumple</v>
      </c>
      <c r="R122" s="5">
        <f t="shared" si="26"/>
        <v>47500</v>
      </c>
      <c r="S122" s="5">
        <f t="shared" si="33"/>
        <v>50000</v>
      </c>
      <c r="T122" s="4">
        <f>+VLOOKUP(C122,Indicadores!B:V,21,FALSE)</f>
        <v>1</v>
      </c>
      <c r="U122" s="35" t="str">
        <f t="shared" si="27"/>
        <v>Cumple</v>
      </c>
      <c r="V122" s="2">
        <f t="shared" si="28"/>
        <v>50000</v>
      </c>
      <c r="W122" s="5" t="str">
        <f t="shared" si="29"/>
        <v>SI</v>
      </c>
      <c r="X122" s="5">
        <f t="shared" si="30"/>
        <v>97500</v>
      </c>
      <c r="Y122" s="1"/>
    </row>
    <row r="123" spans="2:25" x14ac:dyDescent="0.25">
      <c r="B123" s="1" t="s">
        <v>233</v>
      </c>
      <c r="C123" s="1" t="s">
        <v>128</v>
      </c>
      <c r="D123" s="1" t="s">
        <v>241</v>
      </c>
      <c r="E123" s="1" t="s">
        <v>338</v>
      </c>
      <c r="F123" s="2">
        <f t="shared" si="20"/>
        <v>250000</v>
      </c>
      <c r="G123" s="4">
        <f>+VLOOKUP(C123,Indicadores!B:C,2,FALSE)</f>
        <v>0.8561727272727272</v>
      </c>
      <c r="H123" s="1" t="str">
        <f t="shared" si="21"/>
        <v>Cumple</v>
      </c>
      <c r="I123" s="4">
        <f>+VLOOKUP(C123,Indicadores!B:F,5,FALSE)</f>
        <v>1</v>
      </c>
      <c r="J123" s="1" t="str">
        <f t="shared" si="22"/>
        <v>Cumple</v>
      </c>
      <c r="K123" s="9">
        <f t="shared" si="31"/>
        <v>150000</v>
      </c>
      <c r="L123" s="4">
        <f>+VLOOKUP(C123,Indicadores!B:P,15,FALSE)</f>
        <v>0.65063333333333329</v>
      </c>
      <c r="M123" s="1" t="str">
        <f t="shared" si="23"/>
        <v>No Cumple</v>
      </c>
      <c r="N123" s="5">
        <f t="shared" si="24"/>
        <v>0</v>
      </c>
      <c r="O123" s="5">
        <f t="shared" si="32"/>
        <v>50000</v>
      </c>
      <c r="P123" s="4">
        <v>0.95</v>
      </c>
      <c r="Q123" s="5" t="str">
        <f t="shared" si="25"/>
        <v>Cumple</v>
      </c>
      <c r="R123" s="5">
        <f t="shared" si="26"/>
        <v>47500</v>
      </c>
      <c r="S123" s="5">
        <f t="shared" si="33"/>
        <v>50000</v>
      </c>
      <c r="T123" s="4">
        <f>+VLOOKUP(C123,Indicadores!B:V,21,FALSE)</f>
        <v>1</v>
      </c>
      <c r="U123" s="35" t="str">
        <f t="shared" si="27"/>
        <v>Cumple</v>
      </c>
      <c r="V123" s="2">
        <f t="shared" si="28"/>
        <v>50000</v>
      </c>
      <c r="W123" s="5" t="str">
        <f t="shared" si="29"/>
        <v>SI</v>
      </c>
      <c r="X123" s="5">
        <f t="shared" si="30"/>
        <v>97500</v>
      </c>
      <c r="Y123" s="1"/>
    </row>
    <row r="124" spans="2:25" x14ac:dyDescent="0.25">
      <c r="B124" s="1" t="s">
        <v>233</v>
      </c>
      <c r="C124" s="1" t="s">
        <v>129</v>
      </c>
      <c r="D124" s="1" t="s">
        <v>241</v>
      </c>
      <c r="E124" s="1" t="s">
        <v>338</v>
      </c>
      <c r="F124" s="2">
        <f t="shared" si="20"/>
        <v>250000</v>
      </c>
      <c r="G124" s="4">
        <f>+VLOOKUP(C124,Indicadores!B:C,2,FALSE)</f>
        <v>0.75589090909090906</v>
      </c>
      <c r="H124" s="1" t="str">
        <f t="shared" si="21"/>
        <v>No Cumple</v>
      </c>
      <c r="I124" s="4">
        <f>+VLOOKUP(C124,Indicadores!B:F,5,FALSE)</f>
        <v>1</v>
      </c>
      <c r="J124" s="1" t="str">
        <f t="shared" si="22"/>
        <v>Cumple</v>
      </c>
      <c r="K124" s="9">
        <f t="shared" si="31"/>
        <v>150000</v>
      </c>
      <c r="L124" s="4">
        <f>+VLOOKUP(C124,Indicadores!B:P,15,FALSE)</f>
        <v>0.49806666666666666</v>
      </c>
      <c r="M124" s="1" t="str">
        <f t="shared" si="23"/>
        <v>No Cumple</v>
      </c>
      <c r="N124" s="5">
        <f t="shared" si="24"/>
        <v>0</v>
      </c>
      <c r="O124" s="5">
        <f t="shared" si="32"/>
        <v>50000</v>
      </c>
      <c r="P124" s="4">
        <v>0.95</v>
      </c>
      <c r="Q124" s="5" t="str">
        <f t="shared" si="25"/>
        <v>Cumple</v>
      </c>
      <c r="R124" s="5">
        <f t="shared" si="26"/>
        <v>47500</v>
      </c>
      <c r="S124" s="5">
        <f t="shared" si="33"/>
        <v>50000</v>
      </c>
      <c r="T124" s="4">
        <f>+VLOOKUP(C124,Indicadores!B:V,21,FALSE)</f>
        <v>0.98609999999999998</v>
      </c>
      <c r="U124" s="35" t="str">
        <f t="shared" si="27"/>
        <v>No Cumple</v>
      </c>
      <c r="V124" s="2">
        <f t="shared" si="28"/>
        <v>0</v>
      </c>
      <c r="W124" s="5" t="str">
        <f t="shared" si="29"/>
        <v>NO</v>
      </c>
      <c r="X124" s="5">
        <f t="shared" si="30"/>
        <v>0</v>
      </c>
      <c r="Y124" s="1"/>
    </row>
    <row r="125" spans="2:25" x14ac:dyDescent="0.25">
      <c r="B125" s="1" t="s">
        <v>233</v>
      </c>
      <c r="C125" s="1" t="s">
        <v>130</v>
      </c>
      <c r="D125" s="1" t="s">
        <v>241</v>
      </c>
      <c r="E125" s="1" t="s">
        <v>338</v>
      </c>
      <c r="F125" s="2">
        <f t="shared" si="20"/>
        <v>250000</v>
      </c>
      <c r="G125" s="4">
        <f>+VLOOKUP(C125,Indicadores!B:C,2,FALSE)</f>
        <v>0.75394545454545459</v>
      </c>
      <c r="H125" s="1" t="str">
        <f t="shared" si="21"/>
        <v>No Cumple</v>
      </c>
      <c r="I125" s="4">
        <f>+VLOOKUP(C125,Indicadores!B:F,5,FALSE)</f>
        <v>1</v>
      </c>
      <c r="J125" s="1" t="str">
        <f t="shared" si="22"/>
        <v>Cumple</v>
      </c>
      <c r="K125" s="9">
        <f t="shared" si="31"/>
        <v>150000</v>
      </c>
      <c r="L125" s="4">
        <f>+VLOOKUP(C125,Indicadores!B:P,15,FALSE)</f>
        <v>0.63406666666666667</v>
      </c>
      <c r="M125" s="1" t="str">
        <f t="shared" si="23"/>
        <v>No Cumple</v>
      </c>
      <c r="N125" s="5">
        <f t="shared" si="24"/>
        <v>0</v>
      </c>
      <c r="O125" s="5">
        <f t="shared" si="32"/>
        <v>50000</v>
      </c>
      <c r="P125" s="4">
        <v>0.95</v>
      </c>
      <c r="Q125" s="5" t="str">
        <f t="shared" si="25"/>
        <v>Cumple</v>
      </c>
      <c r="R125" s="5">
        <f t="shared" si="26"/>
        <v>47500</v>
      </c>
      <c r="S125" s="5">
        <f t="shared" si="33"/>
        <v>50000</v>
      </c>
      <c r="T125" s="4">
        <f>+VLOOKUP(C125,Indicadores!B:V,21,FALSE)</f>
        <v>0.99334999999999996</v>
      </c>
      <c r="U125" s="35" t="str">
        <f t="shared" si="27"/>
        <v>No Cumple</v>
      </c>
      <c r="V125" s="2">
        <f t="shared" si="28"/>
        <v>0</v>
      </c>
      <c r="W125" s="5" t="str">
        <f t="shared" si="29"/>
        <v>NO</v>
      </c>
      <c r="X125" s="5">
        <f t="shared" si="30"/>
        <v>0</v>
      </c>
      <c r="Y125" s="1"/>
    </row>
    <row r="126" spans="2:25" x14ac:dyDescent="0.25">
      <c r="B126" s="1" t="s">
        <v>233</v>
      </c>
      <c r="C126" s="1" t="s">
        <v>131</v>
      </c>
      <c r="D126" s="1" t="s">
        <v>241</v>
      </c>
      <c r="E126" s="1" t="s">
        <v>338</v>
      </c>
      <c r="F126" s="2">
        <f t="shared" si="20"/>
        <v>250000</v>
      </c>
      <c r="G126" s="4">
        <f>+VLOOKUP(C126,Indicadores!B:C,2,FALSE)</f>
        <v>0.77742727272727274</v>
      </c>
      <c r="H126" s="1" t="str">
        <f t="shared" si="21"/>
        <v>No Cumple</v>
      </c>
      <c r="I126" s="4">
        <f>+VLOOKUP(C126,Indicadores!B:F,5,FALSE)</f>
        <v>1</v>
      </c>
      <c r="J126" s="1" t="str">
        <f t="shared" si="22"/>
        <v>Cumple</v>
      </c>
      <c r="K126" s="9">
        <f t="shared" si="31"/>
        <v>150000</v>
      </c>
      <c r="L126" s="4">
        <f>+VLOOKUP(C126,Indicadores!B:P,15,FALSE)</f>
        <v>0.46743333333333331</v>
      </c>
      <c r="M126" s="1" t="str">
        <f t="shared" si="23"/>
        <v>No Cumple</v>
      </c>
      <c r="N126" s="5">
        <f t="shared" si="24"/>
        <v>0</v>
      </c>
      <c r="O126" s="5">
        <f t="shared" si="32"/>
        <v>50000</v>
      </c>
      <c r="P126" s="4">
        <v>0.95</v>
      </c>
      <c r="Q126" s="5" t="str">
        <f t="shared" si="25"/>
        <v>Cumple</v>
      </c>
      <c r="R126" s="5">
        <f t="shared" si="26"/>
        <v>47500</v>
      </c>
      <c r="S126" s="5">
        <f t="shared" si="33"/>
        <v>50000</v>
      </c>
      <c r="T126" s="4">
        <f>+VLOOKUP(C126,Indicadores!B:V,21,FALSE)</f>
        <v>1</v>
      </c>
      <c r="U126" s="35" t="str">
        <f t="shared" si="27"/>
        <v>Cumple</v>
      </c>
      <c r="V126" s="2">
        <f t="shared" si="28"/>
        <v>50000</v>
      </c>
      <c r="W126" s="5" t="str">
        <f t="shared" si="29"/>
        <v>NO</v>
      </c>
      <c r="X126" s="5">
        <f t="shared" si="30"/>
        <v>0</v>
      </c>
      <c r="Y126" s="1"/>
    </row>
    <row r="127" spans="2:25" x14ac:dyDescent="0.25">
      <c r="B127" s="1" t="s">
        <v>233</v>
      </c>
      <c r="C127" s="1" t="s">
        <v>132</v>
      </c>
      <c r="D127" s="1" t="s">
        <v>241</v>
      </c>
      <c r="E127" s="1" t="s">
        <v>338</v>
      </c>
      <c r="F127" s="2">
        <f t="shared" si="20"/>
        <v>250000</v>
      </c>
      <c r="G127" s="4">
        <f>+VLOOKUP(C127,Indicadores!B:C,2,FALSE)</f>
        <v>0.77994545454545472</v>
      </c>
      <c r="H127" s="1" t="str">
        <f t="shared" si="21"/>
        <v>No Cumple</v>
      </c>
      <c r="I127" s="4">
        <f>+VLOOKUP(C127,Indicadores!B:F,5,FALSE)</f>
        <v>1</v>
      </c>
      <c r="J127" s="1" t="str">
        <f t="shared" si="22"/>
        <v>Cumple</v>
      </c>
      <c r="K127" s="9">
        <f t="shared" si="31"/>
        <v>150000</v>
      </c>
      <c r="L127" s="4">
        <f>+VLOOKUP(C127,Indicadores!B:P,15,FALSE)</f>
        <v>0.57589999999999997</v>
      </c>
      <c r="M127" s="1" t="str">
        <f t="shared" si="23"/>
        <v>No Cumple</v>
      </c>
      <c r="N127" s="5">
        <f t="shared" si="24"/>
        <v>0</v>
      </c>
      <c r="O127" s="5">
        <f t="shared" si="32"/>
        <v>50000</v>
      </c>
      <c r="P127" s="4">
        <v>0.95</v>
      </c>
      <c r="Q127" s="5" t="str">
        <f t="shared" si="25"/>
        <v>Cumple</v>
      </c>
      <c r="R127" s="5">
        <f t="shared" si="26"/>
        <v>47500</v>
      </c>
      <c r="S127" s="5">
        <f t="shared" si="33"/>
        <v>50000</v>
      </c>
      <c r="T127" s="4">
        <f>+VLOOKUP(C127,Indicadores!B:V,21,FALSE)</f>
        <v>1</v>
      </c>
      <c r="U127" s="35" t="str">
        <f t="shared" si="27"/>
        <v>Cumple</v>
      </c>
      <c r="V127" s="2">
        <f t="shared" si="28"/>
        <v>50000</v>
      </c>
      <c r="W127" s="5" t="str">
        <f t="shared" si="29"/>
        <v>NO</v>
      </c>
      <c r="X127" s="5">
        <f t="shared" si="30"/>
        <v>0</v>
      </c>
      <c r="Y127" s="1"/>
    </row>
    <row r="128" spans="2:25" x14ac:dyDescent="0.25">
      <c r="B128" s="1" t="s">
        <v>233</v>
      </c>
      <c r="C128" s="1" t="s">
        <v>133</v>
      </c>
      <c r="D128" s="1" t="s">
        <v>241</v>
      </c>
      <c r="E128" s="1" t="s">
        <v>338</v>
      </c>
      <c r="F128" s="2">
        <f t="shared" si="20"/>
        <v>250000</v>
      </c>
      <c r="G128" s="4">
        <f>+VLOOKUP(C128,Indicadores!B:C,2,FALSE)</f>
        <v>0.80043636363636361</v>
      </c>
      <c r="H128" s="1" t="str">
        <f t="shared" si="21"/>
        <v>Cumple</v>
      </c>
      <c r="I128" s="4">
        <f>+VLOOKUP(C128,Indicadores!B:F,5,FALSE)</f>
        <v>1</v>
      </c>
      <c r="J128" s="1" t="str">
        <f t="shared" si="22"/>
        <v>Cumple</v>
      </c>
      <c r="K128" s="9">
        <f t="shared" si="31"/>
        <v>150000</v>
      </c>
      <c r="L128" s="4">
        <f>+VLOOKUP(C128,Indicadores!B:P,15,FALSE)</f>
        <v>0.53599999999999992</v>
      </c>
      <c r="M128" s="1" t="str">
        <f t="shared" si="23"/>
        <v>No Cumple</v>
      </c>
      <c r="N128" s="5">
        <f t="shared" si="24"/>
        <v>0</v>
      </c>
      <c r="O128" s="5">
        <f t="shared" si="32"/>
        <v>50000</v>
      </c>
      <c r="P128" s="4">
        <v>0.95</v>
      </c>
      <c r="Q128" s="5" t="str">
        <f t="shared" si="25"/>
        <v>Cumple</v>
      </c>
      <c r="R128" s="5">
        <f t="shared" si="26"/>
        <v>47500</v>
      </c>
      <c r="S128" s="5">
        <f t="shared" si="33"/>
        <v>50000</v>
      </c>
      <c r="T128" s="4">
        <f>+VLOOKUP(C128,Indicadores!B:V,21,FALSE)</f>
        <v>1</v>
      </c>
      <c r="U128" s="35" t="str">
        <f t="shared" si="27"/>
        <v>Cumple</v>
      </c>
      <c r="V128" s="2">
        <f t="shared" si="28"/>
        <v>50000</v>
      </c>
      <c r="W128" s="5" t="str">
        <f t="shared" si="29"/>
        <v>SI</v>
      </c>
      <c r="X128" s="5">
        <f t="shared" si="30"/>
        <v>97500</v>
      </c>
      <c r="Y128" s="1"/>
    </row>
    <row r="129" spans="2:25" x14ac:dyDescent="0.25">
      <c r="B129" s="1" t="s">
        <v>233</v>
      </c>
      <c r="C129" s="1" t="s">
        <v>134</v>
      </c>
      <c r="D129" s="1" t="s">
        <v>241</v>
      </c>
      <c r="E129" s="1" t="s">
        <v>338</v>
      </c>
      <c r="F129" s="2">
        <f t="shared" si="20"/>
        <v>250000</v>
      </c>
      <c r="G129" s="4">
        <f>+VLOOKUP(C129,Indicadores!B:C,2,FALSE)</f>
        <v>0.762709090909091</v>
      </c>
      <c r="H129" s="1" t="str">
        <f t="shared" si="21"/>
        <v>No Cumple</v>
      </c>
      <c r="I129" s="4">
        <f>+VLOOKUP(C129,Indicadores!B:F,5,FALSE)</f>
        <v>1</v>
      </c>
      <c r="J129" s="1" t="str">
        <f t="shared" si="22"/>
        <v>Cumple</v>
      </c>
      <c r="K129" s="9">
        <f t="shared" si="31"/>
        <v>150000</v>
      </c>
      <c r="L129" s="4">
        <f>+VLOOKUP(C129,Indicadores!B:P,15,FALSE)</f>
        <v>0.51129999999999998</v>
      </c>
      <c r="M129" s="1" t="str">
        <f t="shared" si="23"/>
        <v>No Cumple</v>
      </c>
      <c r="N129" s="5">
        <f t="shared" si="24"/>
        <v>0</v>
      </c>
      <c r="O129" s="5">
        <f t="shared" si="32"/>
        <v>50000</v>
      </c>
      <c r="P129" s="4">
        <v>0.95</v>
      </c>
      <c r="Q129" s="5" t="str">
        <f t="shared" si="25"/>
        <v>Cumple</v>
      </c>
      <c r="R129" s="5">
        <f t="shared" si="26"/>
        <v>47500</v>
      </c>
      <c r="S129" s="5">
        <f t="shared" si="33"/>
        <v>50000</v>
      </c>
      <c r="T129" s="4">
        <f>+VLOOKUP(C129,Indicadores!B:V,21,FALSE)</f>
        <v>1</v>
      </c>
      <c r="U129" s="35" t="str">
        <f t="shared" si="27"/>
        <v>Cumple</v>
      </c>
      <c r="V129" s="2">
        <f t="shared" si="28"/>
        <v>50000</v>
      </c>
      <c r="W129" s="5" t="str">
        <f t="shared" si="29"/>
        <v>NO</v>
      </c>
      <c r="X129" s="5">
        <f t="shared" si="30"/>
        <v>0</v>
      </c>
      <c r="Y129" s="1"/>
    </row>
    <row r="130" spans="2:25" x14ac:dyDescent="0.25">
      <c r="B130" s="1" t="s">
        <v>233</v>
      </c>
      <c r="C130" s="1" t="s">
        <v>135</v>
      </c>
      <c r="D130" s="1" t="s">
        <v>241</v>
      </c>
      <c r="E130" s="1" t="s">
        <v>338</v>
      </c>
      <c r="F130" s="2">
        <f t="shared" si="20"/>
        <v>250000</v>
      </c>
      <c r="G130" s="4">
        <f>+VLOOKUP(C130,Indicadores!B:C,2,FALSE)</f>
        <v>0.76290909090909098</v>
      </c>
      <c r="H130" s="1" t="str">
        <f t="shared" si="21"/>
        <v>No Cumple</v>
      </c>
      <c r="I130" s="4">
        <f>+VLOOKUP(C130,Indicadores!B:F,5,FALSE)</f>
        <v>0.77777777777777779</v>
      </c>
      <c r="J130" s="1" t="str">
        <f t="shared" si="22"/>
        <v>No Cumple</v>
      </c>
      <c r="K130" s="9">
        <f t="shared" si="31"/>
        <v>150000</v>
      </c>
      <c r="L130" s="4">
        <f>+VLOOKUP(C130,Indicadores!B:P,15,FALSE)</f>
        <v>0.42280000000000006</v>
      </c>
      <c r="M130" s="1" t="str">
        <f t="shared" si="23"/>
        <v>No Cumple</v>
      </c>
      <c r="N130" s="5">
        <f t="shared" si="24"/>
        <v>0</v>
      </c>
      <c r="O130" s="5">
        <f t="shared" si="32"/>
        <v>50000</v>
      </c>
      <c r="P130" s="4">
        <v>0.95</v>
      </c>
      <c r="Q130" s="5" t="str">
        <f t="shared" si="25"/>
        <v>Cumple</v>
      </c>
      <c r="R130" s="5">
        <f t="shared" si="26"/>
        <v>47500</v>
      </c>
      <c r="S130" s="5">
        <f t="shared" si="33"/>
        <v>50000</v>
      </c>
      <c r="T130" s="4">
        <f>+VLOOKUP(C130,Indicadores!B:V,21,FALSE)</f>
        <v>0.99324999999999997</v>
      </c>
      <c r="U130" s="35" t="str">
        <f t="shared" si="27"/>
        <v>No Cumple</v>
      </c>
      <c r="V130" s="2">
        <f t="shared" si="28"/>
        <v>0</v>
      </c>
      <c r="W130" s="5" t="str">
        <f t="shared" si="29"/>
        <v>NO</v>
      </c>
      <c r="X130" s="5">
        <f t="shared" si="30"/>
        <v>0</v>
      </c>
      <c r="Y130" s="1"/>
    </row>
    <row r="131" spans="2:25" x14ac:dyDescent="0.25">
      <c r="B131" s="1" t="s">
        <v>233</v>
      </c>
      <c r="C131" s="1" t="s">
        <v>136</v>
      </c>
      <c r="D131" s="1" t="s">
        <v>241</v>
      </c>
      <c r="E131" s="1" t="s">
        <v>338</v>
      </c>
      <c r="F131" s="2">
        <f t="shared" si="20"/>
        <v>250000</v>
      </c>
      <c r="G131" s="4">
        <f>+VLOOKUP(C131,Indicadores!B:C,2,FALSE)</f>
        <v>0.85074545454545458</v>
      </c>
      <c r="H131" s="1" t="str">
        <f t="shared" si="21"/>
        <v>Cumple</v>
      </c>
      <c r="I131" s="4">
        <f>+VLOOKUP(C131,Indicadores!B:F,5,FALSE)</f>
        <v>1</v>
      </c>
      <c r="J131" s="1" t="str">
        <f t="shared" si="22"/>
        <v>Cumple</v>
      </c>
      <c r="K131" s="9">
        <f t="shared" si="31"/>
        <v>150000</v>
      </c>
      <c r="L131" s="4">
        <f>+VLOOKUP(C131,Indicadores!B:P,15,FALSE)</f>
        <v>0.74256666666666671</v>
      </c>
      <c r="M131" s="1" t="str">
        <f t="shared" si="23"/>
        <v>No Cumple</v>
      </c>
      <c r="N131" s="5">
        <f t="shared" si="24"/>
        <v>0</v>
      </c>
      <c r="O131" s="5">
        <f t="shared" si="32"/>
        <v>50000</v>
      </c>
      <c r="P131" s="4">
        <v>0.95</v>
      </c>
      <c r="Q131" s="5" t="str">
        <f t="shared" si="25"/>
        <v>Cumple</v>
      </c>
      <c r="R131" s="5">
        <f t="shared" si="26"/>
        <v>47500</v>
      </c>
      <c r="S131" s="5">
        <f t="shared" si="33"/>
        <v>50000</v>
      </c>
      <c r="T131" s="4">
        <f>+VLOOKUP(C131,Indicadores!B:V,21,FALSE)</f>
        <v>1</v>
      </c>
      <c r="U131" s="35" t="str">
        <f t="shared" si="27"/>
        <v>Cumple</v>
      </c>
      <c r="V131" s="2">
        <f t="shared" si="28"/>
        <v>50000</v>
      </c>
      <c r="W131" s="5" t="str">
        <f t="shared" si="29"/>
        <v>SI</v>
      </c>
      <c r="X131" s="5">
        <f t="shared" si="30"/>
        <v>97500</v>
      </c>
      <c r="Y131" s="8"/>
    </row>
    <row r="132" spans="2:25" x14ac:dyDescent="0.25">
      <c r="B132" s="1" t="s">
        <v>233</v>
      </c>
      <c r="C132" s="1" t="s">
        <v>137</v>
      </c>
      <c r="D132" s="1" t="s">
        <v>241</v>
      </c>
      <c r="E132" s="1" t="s">
        <v>338</v>
      </c>
      <c r="F132" s="2">
        <f t="shared" si="20"/>
        <v>250000</v>
      </c>
      <c r="G132" s="4">
        <f>+VLOOKUP(C132,Indicadores!B:C,2,FALSE)</f>
        <v>0.80537272727272724</v>
      </c>
      <c r="H132" s="1" t="str">
        <f t="shared" si="21"/>
        <v>Cumple</v>
      </c>
      <c r="I132" s="4">
        <f>+VLOOKUP(C132,Indicadores!B:F,5,FALSE)</f>
        <v>1</v>
      </c>
      <c r="J132" s="1" t="str">
        <f t="shared" si="22"/>
        <v>Cumple</v>
      </c>
      <c r="K132" s="9">
        <f t="shared" si="31"/>
        <v>150000</v>
      </c>
      <c r="L132" s="4">
        <f>+VLOOKUP(C132,Indicadores!B:P,15,FALSE)</f>
        <v>0.58450000000000002</v>
      </c>
      <c r="M132" s="1" t="str">
        <f t="shared" si="23"/>
        <v>No Cumple</v>
      </c>
      <c r="N132" s="5">
        <f t="shared" si="24"/>
        <v>0</v>
      </c>
      <c r="O132" s="5">
        <f t="shared" si="32"/>
        <v>50000</v>
      </c>
      <c r="P132" s="4">
        <v>0.95</v>
      </c>
      <c r="Q132" s="5" t="str">
        <f t="shared" si="25"/>
        <v>Cumple</v>
      </c>
      <c r="R132" s="5">
        <f t="shared" si="26"/>
        <v>47500</v>
      </c>
      <c r="S132" s="5">
        <f t="shared" si="33"/>
        <v>50000</v>
      </c>
      <c r="T132" s="4">
        <f>+VLOOKUP(C132,Indicadores!B:V,21,FALSE)</f>
        <v>1</v>
      </c>
      <c r="U132" s="35" t="str">
        <f t="shared" si="27"/>
        <v>Cumple</v>
      </c>
      <c r="V132" s="2">
        <f t="shared" si="28"/>
        <v>50000</v>
      </c>
      <c r="W132" s="5" t="str">
        <f t="shared" si="29"/>
        <v>SI</v>
      </c>
      <c r="X132" s="5">
        <f t="shared" si="30"/>
        <v>97500</v>
      </c>
      <c r="Y132" s="1"/>
    </row>
    <row r="133" spans="2:25" x14ac:dyDescent="0.25">
      <c r="B133" s="1" t="s">
        <v>233</v>
      </c>
      <c r="C133" s="1" t="s">
        <v>138</v>
      </c>
      <c r="D133" s="1" t="s">
        <v>241</v>
      </c>
      <c r="E133" s="1" t="s">
        <v>338</v>
      </c>
      <c r="F133" s="2">
        <f t="shared" si="20"/>
        <v>250000</v>
      </c>
      <c r="G133" s="4">
        <f>+VLOOKUP(C133,Indicadores!B:C,2,FALSE)</f>
        <v>0.91861818181818178</v>
      </c>
      <c r="H133" s="1" t="str">
        <f t="shared" si="21"/>
        <v>Cumple</v>
      </c>
      <c r="I133" s="4">
        <v>0.95</v>
      </c>
      <c r="J133" s="1" t="str">
        <f t="shared" si="22"/>
        <v>Cumple</v>
      </c>
      <c r="K133" s="9">
        <f t="shared" si="31"/>
        <v>150000</v>
      </c>
      <c r="L133" s="4">
        <f>+VLOOKUP(C133,Indicadores!B:P,15,FALSE)</f>
        <v>0.9345</v>
      </c>
      <c r="M133" s="1" t="str">
        <f t="shared" si="23"/>
        <v>Cumple</v>
      </c>
      <c r="N133" s="5">
        <f t="shared" si="24"/>
        <v>135000</v>
      </c>
      <c r="O133" s="5">
        <f t="shared" si="32"/>
        <v>50000</v>
      </c>
      <c r="P133" s="4">
        <v>0.95</v>
      </c>
      <c r="Q133" s="5" t="str">
        <f t="shared" si="25"/>
        <v>Cumple</v>
      </c>
      <c r="R133" s="5">
        <f t="shared" si="26"/>
        <v>47500</v>
      </c>
      <c r="S133" s="5">
        <f t="shared" si="33"/>
        <v>50000</v>
      </c>
      <c r="T133" s="4">
        <f>+VLOOKUP(C133,Indicadores!B:V,21,FALSE)</f>
        <v>1</v>
      </c>
      <c r="U133" s="35" t="str">
        <f t="shared" si="27"/>
        <v>Cumple</v>
      </c>
      <c r="V133" s="2">
        <f t="shared" si="28"/>
        <v>50000</v>
      </c>
      <c r="W133" s="5" t="str">
        <f t="shared" si="29"/>
        <v>SI</v>
      </c>
      <c r="X133" s="5">
        <f t="shared" si="30"/>
        <v>232500</v>
      </c>
      <c r="Y133" s="1"/>
    </row>
    <row r="134" spans="2:25" x14ac:dyDescent="0.25">
      <c r="B134" s="1" t="s">
        <v>233</v>
      </c>
      <c r="C134" s="1" t="s">
        <v>139</v>
      </c>
      <c r="D134" s="1" t="s">
        <v>241</v>
      </c>
      <c r="E134" s="1" t="s">
        <v>338</v>
      </c>
      <c r="F134" s="2">
        <f t="shared" si="20"/>
        <v>250000</v>
      </c>
      <c r="G134" s="4">
        <f>+VLOOKUP(C134,Indicadores!B:C,2,FALSE)</f>
        <v>0.79864545454545455</v>
      </c>
      <c r="H134" s="1" t="str">
        <f t="shared" si="21"/>
        <v>No Cumple</v>
      </c>
      <c r="I134" s="4">
        <f>+VLOOKUP(C134,Indicadores!B:F,5,FALSE)</f>
        <v>0.95652173913043481</v>
      </c>
      <c r="J134" s="1" t="str">
        <f t="shared" si="22"/>
        <v>Cumple</v>
      </c>
      <c r="K134" s="9">
        <f t="shared" ref="K134:K165" si="34">+$F$4*$K$3</f>
        <v>150000</v>
      </c>
      <c r="L134" s="4">
        <f>+VLOOKUP(C134,Indicadores!B:P,15,FALSE)</f>
        <v>0.53230000000000011</v>
      </c>
      <c r="M134" s="1" t="str">
        <f t="shared" si="23"/>
        <v>No Cumple</v>
      </c>
      <c r="N134" s="5">
        <f t="shared" si="24"/>
        <v>0</v>
      </c>
      <c r="O134" s="5">
        <f t="shared" ref="O134:O165" si="35">+$F$4*$O$3</f>
        <v>50000</v>
      </c>
      <c r="P134" s="4">
        <v>0.95</v>
      </c>
      <c r="Q134" s="5" t="str">
        <f t="shared" si="25"/>
        <v>Cumple</v>
      </c>
      <c r="R134" s="5">
        <f t="shared" si="26"/>
        <v>47500</v>
      </c>
      <c r="S134" s="5">
        <f t="shared" ref="S134:S165" si="36">+$F$4*$S$3</f>
        <v>50000</v>
      </c>
      <c r="T134" s="4">
        <f>+VLOOKUP(C134,Indicadores!B:V,21,FALSE)</f>
        <v>1</v>
      </c>
      <c r="U134" s="35" t="str">
        <f t="shared" si="27"/>
        <v>Cumple</v>
      </c>
      <c r="V134" s="2">
        <f t="shared" si="28"/>
        <v>50000</v>
      </c>
      <c r="W134" s="5" t="str">
        <f t="shared" si="29"/>
        <v>NO</v>
      </c>
      <c r="X134" s="5">
        <f t="shared" si="30"/>
        <v>0</v>
      </c>
      <c r="Y134" s="1"/>
    </row>
    <row r="135" spans="2:25" x14ac:dyDescent="0.25">
      <c r="B135" s="1" t="s">
        <v>233</v>
      </c>
      <c r="C135" s="1" t="s">
        <v>140</v>
      </c>
      <c r="D135" s="1" t="s">
        <v>241</v>
      </c>
      <c r="E135" s="1" t="s">
        <v>338</v>
      </c>
      <c r="F135" s="2">
        <f t="shared" ref="F135:F193" si="37">+$F$4</f>
        <v>250000</v>
      </c>
      <c r="G135" s="4">
        <f>+VLOOKUP(C135,Indicadores!B:C,2,FALSE)</f>
        <v>0.7474727272727274</v>
      </c>
      <c r="H135" s="1" t="str">
        <f t="shared" ref="H135:H193" si="38">IF(G135&gt;=80%,"Cumple","No Cumple")</f>
        <v>No Cumple</v>
      </c>
      <c r="I135" s="4">
        <f>+VLOOKUP(C135,Indicadores!B:F,5,FALSE)</f>
        <v>0.9375</v>
      </c>
      <c r="J135" s="1" t="str">
        <f t="shared" ref="J135:J193" si="39">IF(I135&gt;=80%,"Cumple","No Cumple")</f>
        <v>Cumple</v>
      </c>
      <c r="K135" s="9">
        <f t="shared" si="34"/>
        <v>150000</v>
      </c>
      <c r="L135" s="4">
        <f>+VLOOKUP(C135,Indicadores!B:P,15,FALSE)</f>
        <v>0.50306666666666666</v>
      </c>
      <c r="M135" s="1" t="str">
        <f t="shared" ref="M135:M193" si="40">IF(L135&gt;=80%,"Cumple","No Cumple")</f>
        <v>No Cumple</v>
      </c>
      <c r="N135" s="5">
        <f t="shared" si="24"/>
        <v>0</v>
      </c>
      <c r="O135" s="5">
        <f t="shared" si="35"/>
        <v>50000</v>
      </c>
      <c r="P135" s="4">
        <v>0.95</v>
      </c>
      <c r="Q135" s="5" t="str">
        <f t="shared" ref="Q135:Q193" si="41">IF(P135&gt;=80%,"Cumple","No Cumple")</f>
        <v>Cumple</v>
      </c>
      <c r="R135" s="5">
        <f t="shared" ref="R135:R193" si="42">+O135*95%</f>
        <v>47500</v>
      </c>
      <c r="S135" s="5">
        <f t="shared" si="36"/>
        <v>50000</v>
      </c>
      <c r="T135" s="4">
        <f>+VLOOKUP(C135,Indicadores!B:V,21,FALSE)</f>
        <v>0.9899</v>
      </c>
      <c r="U135" s="35" t="str">
        <f t="shared" ref="U135:U193" si="43">IF(T135&gt;=100%,"Cumple","No Cumple")</f>
        <v>No Cumple</v>
      </c>
      <c r="V135" s="2">
        <f t="shared" ref="V135:V193" si="44">IF(T135=100%,S135,0)</f>
        <v>0</v>
      </c>
      <c r="W135" s="5" t="str">
        <f t="shared" ref="W135:W193" si="45">IF(AND(G135&gt;=80%,I135&gt;=80%),"SI","NO")</f>
        <v>NO</v>
      </c>
      <c r="X135" s="5">
        <f t="shared" ref="X135:X193" si="46">+IF(W135="SI",N135+R135+V135,0)</f>
        <v>0</v>
      </c>
      <c r="Y135" s="1"/>
    </row>
    <row r="136" spans="2:25" x14ac:dyDescent="0.25">
      <c r="B136" s="1" t="s">
        <v>233</v>
      </c>
      <c r="C136" s="1" t="s">
        <v>141</v>
      </c>
      <c r="D136" s="1" t="s">
        <v>241</v>
      </c>
      <c r="E136" s="1" t="s">
        <v>338</v>
      </c>
      <c r="F136" s="2">
        <f t="shared" si="37"/>
        <v>250000</v>
      </c>
      <c r="G136" s="4">
        <f>+VLOOKUP(C136,Indicadores!B:C,2,FALSE)</f>
        <v>0.87151818181818186</v>
      </c>
      <c r="H136" s="1" t="str">
        <f t="shared" si="38"/>
        <v>Cumple</v>
      </c>
      <c r="I136" s="4">
        <f>+VLOOKUP(C136,Indicadores!B:F,5,FALSE)</f>
        <v>1</v>
      </c>
      <c r="J136" s="1" t="str">
        <f t="shared" si="39"/>
        <v>Cumple</v>
      </c>
      <c r="K136" s="9">
        <f t="shared" si="34"/>
        <v>150000</v>
      </c>
      <c r="L136" s="4">
        <f>+VLOOKUP(C136,Indicadores!B:P,15,FALSE)</f>
        <v>0.95853333333333335</v>
      </c>
      <c r="M136" s="1" t="str">
        <f t="shared" si="40"/>
        <v>Cumple</v>
      </c>
      <c r="N136" s="5">
        <f t="shared" si="24"/>
        <v>0</v>
      </c>
      <c r="O136" s="5">
        <f t="shared" si="35"/>
        <v>50000</v>
      </c>
      <c r="P136" s="4">
        <v>0.95</v>
      </c>
      <c r="Q136" s="5" t="str">
        <f t="shared" si="41"/>
        <v>Cumple</v>
      </c>
      <c r="R136" s="5">
        <f t="shared" si="42"/>
        <v>47500</v>
      </c>
      <c r="S136" s="5">
        <f t="shared" si="36"/>
        <v>50000</v>
      </c>
      <c r="T136" s="4">
        <f>+VLOOKUP(C136,Indicadores!B:V,21,FALSE)</f>
        <v>1</v>
      </c>
      <c r="U136" s="35" t="str">
        <f t="shared" si="43"/>
        <v>Cumple</v>
      </c>
      <c r="V136" s="2">
        <f t="shared" si="44"/>
        <v>50000</v>
      </c>
      <c r="W136" s="5" t="str">
        <f t="shared" si="45"/>
        <v>SI</v>
      </c>
      <c r="X136" s="5">
        <f t="shared" si="46"/>
        <v>97500</v>
      </c>
      <c r="Y136" s="1"/>
    </row>
    <row r="137" spans="2:25" x14ac:dyDescent="0.25">
      <c r="B137" s="1" t="s">
        <v>240</v>
      </c>
      <c r="C137" s="1" t="s">
        <v>142</v>
      </c>
      <c r="D137" s="1" t="s">
        <v>243</v>
      </c>
      <c r="E137" s="1" t="s">
        <v>344</v>
      </c>
      <c r="F137" s="2">
        <f t="shared" si="37"/>
        <v>250000</v>
      </c>
      <c r="G137" s="4">
        <f>+VLOOKUP(C137,Indicadores!B:C,2,FALSE)</f>
        <v>0.81480909090909104</v>
      </c>
      <c r="H137" s="1" t="str">
        <f t="shared" si="38"/>
        <v>Cumple</v>
      </c>
      <c r="I137" s="4">
        <f>+VLOOKUP(C137,Indicadores!B:F,5,FALSE)</f>
        <v>1</v>
      </c>
      <c r="J137" s="1" t="str">
        <f t="shared" si="39"/>
        <v>Cumple</v>
      </c>
      <c r="K137" s="9">
        <f t="shared" si="34"/>
        <v>150000</v>
      </c>
      <c r="L137" s="4">
        <f>+VLOOKUP(C137,Indicadores!B:P,15,FALSE)</f>
        <v>0.53613333333333335</v>
      </c>
      <c r="M137" s="1" t="str">
        <f t="shared" si="40"/>
        <v>No Cumple</v>
      </c>
      <c r="N137" s="5">
        <f t="shared" ref="N137:N193" si="47">IF(L137=80%,K137*70%,IF(AND(L137&gt;=81%,L137&lt;=90%),K137*80%,IF(AND(L137&gt;=91%,L137&lt;=95%),K137*90%,IF(L137=96%,K137*96%,IF(L137=97%,K137*97%,IF(L137=98%,K137*98%,IF(L137=99%,K137*99%,IF(L137=100%,K137,0))))))))</f>
        <v>0</v>
      </c>
      <c r="O137" s="5">
        <f t="shared" si="35"/>
        <v>50000</v>
      </c>
      <c r="P137" s="4">
        <v>0.95</v>
      </c>
      <c r="Q137" s="5" t="str">
        <f t="shared" si="41"/>
        <v>Cumple</v>
      </c>
      <c r="R137" s="5">
        <f t="shared" si="42"/>
        <v>47500</v>
      </c>
      <c r="S137" s="5">
        <f t="shared" si="36"/>
        <v>50000</v>
      </c>
      <c r="T137" s="4">
        <f>+VLOOKUP(C137,Indicadores!B:V,21,FALSE)</f>
        <v>0.5</v>
      </c>
      <c r="U137" s="35" t="str">
        <f t="shared" si="43"/>
        <v>No Cumple</v>
      </c>
      <c r="V137" s="2">
        <f t="shared" si="44"/>
        <v>0</v>
      </c>
      <c r="W137" s="5" t="str">
        <f t="shared" si="45"/>
        <v>SI</v>
      </c>
      <c r="X137" s="5">
        <f t="shared" si="46"/>
        <v>47500</v>
      </c>
      <c r="Y137" s="1"/>
    </row>
    <row r="138" spans="2:25" x14ac:dyDescent="0.25">
      <c r="B138" s="1" t="s">
        <v>240</v>
      </c>
      <c r="C138" s="1" t="s">
        <v>143</v>
      </c>
      <c r="D138" s="1" t="s">
        <v>243</v>
      </c>
      <c r="E138" s="1" t="s">
        <v>344</v>
      </c>
      <c r="F138" s="2">
        <f t="shared" si="37"/>
        <v>250000</v>
      </c>
      <c r="G138" s="4">
        <f>+VLOOKUP(C138,Indicadores!B:C,2,FALSE)</f>
        <v>0.75973636363636354</v>
      </c>
      <c r="H138" s="1" t="str">
        <f t="shared" si="38"/>
        <v>No Cumple</v>
      </c>
      <c r="I138" s="4">
        <f>+VLOOKUP(C138,Indicadores!B:F,5,FALSE)</f>
        <v>1</v>
      </c>
      <c r="J138" s="1" t="str">
        <f t="shared" si="39"/>
        <v>Cumple</v>
      </c>
      <c r="K138" s="9">
        <f t="shared" si="34"/>
        <v>150000</v>
      </c>
      <c r="L138" s="4">
        <f>+VLOOKUP(C138,Indicadores!B:P,15,FALSE)</f>
        <v>0.70236666666666669</v>
      </c>
      <c r="M138" s="1" t="str">
        <f t="shared" si="40"/>
        <v>No Cumple</v>
      </c>
      <c r="N138" s="5">
        <f t="shared" si="47"/>
        <v>0</v>
      </c>
      <c r="O138" s="5">
        <f t="shared" si="35"/>
        <v>50000</v>
      </c>
      <c r="P138" s="4">
        <v>0.95</v>
      </c>
      <c r="Q138" s="5" t="str">
        <f t="shared" si="41"/>
        <v>Cumple</v>
      </c>
      <c r="R138" s="5">
        <f t="shared" si="42"/>
        <v>47500</v>
      </c>
      <c r="S138" s="5">
        <f t="shared" si="36"/>
        <v>50000</v>
      </c>
      <c r="T138" s="4">
        <f>+VLOOKUP(C138,Indicadores!B:V,21,FALSE)</f>
        <v>1</v>
      </c>
      <c r="U138" s="35" t="str">
        <f t="shared" si="43"/>
        <v>Cumple</v>
      </c>
      <c r="V138" s="2">
        <f t="shared" si="44"/>
        <v>50000</v>
      </c>
      <c r="W138" s="5" t="str">
        <f t="shared" si="45"/>
        <v>NO</v>
      </c>
      <c r="X138" s="5">
        <f t="shared" si="46"/>
        <v>0</v>
      </c>
      <c r="Y138" s="8"/>
    </row>
    <row r="139" spans="2:25" x14ac:dyDescent="0.25">
      <c r="B139" s="1" t="s">
        <v>240</v>
      </c>
      <c r="C139" s="1" t="s">
        <v>144</v>
      </c>
      <c r="D139" s="1" t="s">
        <v>243</v>
      </c>
      <c r="E139" s="1" t="s">
        <v>344</v>
      </c>
      <c r="F139" s="2">
        <f t="shared" si="37"/>
        <v>250000</v>
      </c>
      <c r="G139" s="4">
        <f>+VLOOKUP(C139,Indicadores!B:C,2,FALSE)</f>
        <v>0.76018181818181818</v>
      </c>
      <c r="H139" s="1" t="str">
        <f t="shared" si="38"/>
        <v>No Cumple</v>
      </c>
      <c r="I139" s="4">
        <v>1</v>
      </c>
      <c r="J139" s="1" t="str">
        <f t="shared" si="39"/>
        <v>Cumple</v>
      </c>
      <c r="K139" s="9">
        <f t="shared" si="34"/>
        <v>150000</v>
      </c>
      <c r="L139" s="4">
        <f>+VLOOKUP(C139,Indicadores!B:P,15,FALSE)</f>
        <v>0.58906666666666674</v>
      </c>
      <c r="M139" s="1" t="str">
        <f t="shared" si="40"/>
        <v>No Cumple</v>
      </c>
      <c r="N139" s="5">
        <f t="shared" si="47"/>
        <v>0</v>
      </c>
      <c r="O139" s="5">
        <f t="shared" si="35"/>
        <v>50000</v>
      </c>
      <c r="P139" s="4">
        <v>0.95</v>
      </c>
      <c r="Q139" s="5" t="str">
        <f t="shared" si="41"/>
        <v>Cumple</v>
      </c>
      <c r="R139" s="5">
        <f t="shared" si="42"/>
        <v>47500</v>
      </c>
      <c r="S139" s="5">
        <f t="shared" si="36"/>
        <v>50000</v>
      </c>
      <c r="T139" s="4">
        <f>+VLOOKUP(C139,Indicadores!B:V,21,FALSE)</f>
        <v>1</v>
      </c>
      <c r="U139" s="35" t="str">
        <f t="shared" si="43"/>
        <v>Cumple</v>
      </c>
      <c r="V139" s="2">
        <f t="shared" si="44"/>
        <v>50000</v>
      </c>
      <c r="W139" s="5" t="str">
        <f t="shared" si="45"/>
        <v>NO</v>
      </c>
      <c r="X139" s="5">
        <f t="shared" si="46"/>
        <v>0</v>
      </c>
      <c r="Y139" s="1"/>
    </row>
    <row r="140" spans="2:25" x14ac:dyDescent="0.25">
      <c r="B140" s="1" t="s">
        <v>240</v>
      </c>
      <c r="C140" s="1" t="s">
        <v>145</v>
      </c>
      <c r="D140" s="1" t="s">
        <v>243</v>
      </c>
      <c r="E140" s="1" t="s">
        <v>344</v>
      </c>
      <c r="F140" s="2">
        <f t="shared" si="37"/>
        <v>250000</v>
      </c>
      <c r="G140" s="4">
        <f>+VLOOKUP(C140,Indicadores!B:C,2,FALSE)</f>
        <v>0.78149999999999986</v>
      </c>
      <c r="H140" s="1" t="str">
        <f t="shared" si="38"/>
        <v>No Cumple</v>
      </c>
      <c r="I140" s="4">
        <f>+VLOOKUP(C140,Indicadores!B:F,5,FALSE)</f>
        <v>1</v>
      </c>
      <c r="J140" s="1" t="str">
        <f t="shared" si="39"/>
        <v>Cumple</v>
      </c>
      <c r="K140" s="9">
        <f t="shared" si="34"/>
        <v>150000</v>
      </c>
      <c r="L140" s="4">
        <f>+VLOOKUP(C140,Indicadores!B:P,15,FALSE)</f>
        <v>0.71519999999999995</v>
      </c>
      <c r="M140" s="1" t="str">
        <f t="shared" si="40"/>
        <v>No Cumple</v>
      </c>
      <c r="N140" s="5">
        <f t="shared" si="47"/>
        <v>0</v>
      </c>
      <c r="O140" s="5">
        <f t="shared" si="35"/>
        <v>50000</v>
      </c>
      <c r="P140" s="4">
        <v>0.95</v>
      </c>
      <c r="Q140" s="5" t="str">
        <f t="shared" si="41"/>
        <v>Cumple</v>
      </c>
      <c r="R140" s="5">
        <f t="shared" si="42"/>
        <v>47500</v>
      </c>
      <c r="S140" s="5">
        <f t="shared" si="36"/>
        <v>50000</v>
      </c>
      <c r="T140" s="4">
        <f>+VLOOKUP(C140,Indicadores!B:V,21,FALSE)</f>
        <v>0.5</v>
      </c>
      <c r="U140" s="35" t="str">
        <f t="shared" si="43"/>
        <v>No Cumple</v>
      </c>
      <c r="V140" s="2">
        <f t="shared" si="44"/>
        <v>0</v>
      </c>
      <c r="W140" s="5" t="str">
        <f t="shared" si="45"/>
        <v>NO</v>
      </c>
      <c r="X140" s="5">
        <f t="shared" si="46"/>
        <v>0</v>
      </c>
      <c r="Y140" s="1"/>
    </row>
    <row r="141" spans="2:25" x14ac:dyDescent="0.25">
      <c r="B141" s="1" t="s">
        <v>240</v>
      </c>
      <c r="C141" s="1" t="s">
        <v>146</v>
      </c>
      <c r="D141" s="1" t="s">
        <v>243</v>
      </c>
      <c r="E141" s="1" t="s">
        <v>344</v>
      </c>
      <c r="F141" s="2">
        <f t="shared" si="37"/>
        <v>250000</v>
      </c>
      <c r="G141" s="4">
        <f>+VLOOKUP(C141,Indicadores!B:C,2,FALSE)</f>
        <v>0.76564545454545463</v>
      </c>
      <c r="H141" s="1" t="str">
        <f t="shared" si="38"/>
        <v>No Cumple</v>
      </c>
      <c r="I141" s="4">
        <f>+VLOOKUP(C141,Indicadores!B:F,5,FALSE)</f>
        <v>1</v>
      </c>
      <c r="J141" s="1" t="str">
        <f t="shared" si="39"/>
        <v>Cumple</v>
      </c>
      <c r="K141" s="9">
        <f t="shared" si="34"/>
        <v>150000</v>
      </c>
      <c r="L141" s="4">
        <f>+VLOOKUP(C141,Indicadores!B:P,15,FALSE)</f>
        <v>0.40506666666666669</v>
      </c>
      <c r="M141" s="1" t="str">
        <f t="shared" si="40"/>
        <v>No Cumple</v>
      </c>
      <c r="N141" s="5">
        <f t="shared" si="47"/>
        <v>0</v>
      </c>
      <c r="O141" s="5">
        <f t="shared" si="35"/>
        <v>50000</v>
      </c>
      <c r="P141" s="4">
        <v>0.95</v>
      </c>
      <c r="Q141" s="5" t="str">
        <f t="shared" si="41"/>
        <v>Cumple</v>
      </c>
      <c r="R141" s="5">
        <f t="shared" si="42"/>
        <v>47500</v>
      </c>
      <c r="S141" s="5">
        <f t="shared" si="36"/>
        <v>50000</v>
      </c>
      <c r="T141" s="4">
        <f>+VLOOKUP(C141,Indicadores!B:V,21,FALSE)</f>
        <v>0.98440000000000005</v>
      </c>
      <c r="U141" s="35" t="str">
        <f t="shared" si="43"/>
        <v>No Cumple</v>
      </c>
      <c r="V141" s="2">
        <f t="shared" si="44"/>
        <v>0</v>
      </c>
      <c r="W141" s="5" t="str">
        <f t="shared" si="45"/>
        <v>NO</v>
      </c>
      <c r="X141" s="5">
        <f t="shared" si="46"/>
        <v>0</v>
      </c>
      <c r="Y141" s="1"/>
    </row>
    <row r="142" spans="2:25" x14ac:dyDescent="0.25">
      <c r="B142" s="1" t="s">
        <v>240</v>
      </c>
      <c r="C142" s="1" t="s">
        <v>147</v>
      </c>
      <c r="D142" s="1" t="s">
        <v>243</v>
      </c>
      <c r="E142" s="1" t="s">
        <v>344</v>
      </c>
      <c r="F142" s="2">
        <f t="shared" si="37"/>
        <v>250000</v>
      </c>
      <c r="G142" s="4">
        <f>+VLOOKUP(C142,Indicadores!B:C,2,FALSE)</f>
        <v>0.7487818181818181</v>
      </c>
      <c r="H142" s="1" t="str">
        <f t="shared" si="38"/>
        <v>No Cumple</v>
      </c>
      <c r="I142" s="4">
        <f>+VLOOKUP(C142,Indicadores!B:F,5,FALSE)</f>
        <v>1</v>
      </c>
      <c r="J142" s="1" t="str">
        <f t="shared" si="39"/>
        <v>Cumple</v>
      </c>
      <c r="K142" s="9">
        <f t="shared" si="34"/>
        <v>150000</v>
      </c>
      <c r="L142" s="4">
        <f>+VLOOKUP(C142,Indicadores!B:P,15,FALSE)</f>
        <v>0.39303333333333335</v>
      </c>
      <c r="M142" s="1" t="str">
        <f t="shared" si="40"/>
        <v>No Cumple</v>
      </c>
      <c r="N142" s="5">
        <f t="shared" si="47"/>
        <v>0</v>
      </c>
      <c r="O142" s="5">
        <f t="shared" si="35"/>
        <v>50000</v>
      </c>
      <c r="P142" s="4">
        <v>0.95</v>
      </c>
      <c r="Q142" s="5" t="str">
        <f t="shared" si="41"/>
        <v>Cumple</v>
      </c>
      <c r="R142" s="5">
        <f t="shared" si="42"/>
        <v>47500</v>
      </c>
      <c r="S142" s="5">
        <f t="shared" si="36"/>
        <v>50000</v>
      </c>
      <c r="T142" s="4">
        <f>+VLOOKUP(C142,Indicadores!B:V,21,FALSE)</f>
        <v>0.98680000000000001</v>
      </c>
      <c r="U142" s="35" t="str">
        <f t="shared" si="43"/>
        <v>No Cumple</v>
      </c>
      <c r="V142" s="2">
        <f t="shared" si="44"/>
        <v>0</v>
      </c>
      <c r="W142" s="5" t="str">
        <f t="shared" si="45"/>
        <v>NO</v>
      </c>
      <c r="X142" s="5">
        <f t="shared" si="46"/>
        <v>0</v>
      </c>
      <c r="Y142" s="1"/>
    </row>
    <row r="143" spans="2:25" x14ac:dyDescent="0.25">
      <c r="B143" s="1" t="s">
        <v>240</v>
      </c>
      <c r="C143" s="1" t="s">
        <v>148</v>
      </c>
      <c r="D143" s="1" t="s">
        <v>243</v>
      </c>
      <c r="E143" s="1" t="s">
        <v>344</v>
      </c>
      <c r="F143" s="2">
        <f t="shared" si="37"/>
        <v>250000</v>
      </c>
      <c r="G143" s="4">
        <f>+VLOOKUP(C143,Indicadores!B:C,2,FALSE)</f>
        <v>0.76468181818181824</v>
      </c>
      <c r="H143" s="1" t="str">
        <f t="shared" si="38"/>
        <v>No Cumple</v>
      </c>
      <c r="I143" s="4">
        <f>+VLOOKUP(C143,Indicadores!B:F,5,FALSE)</f>
        <v>0.93333333333333335</v>
      </c>
      <c r="J143" s="1" t="str">
        <f t="shared" si="39"/>
        <v>Cumple</v>
      </c>
      <c r="K143" s="9">
        <f t="shared" si="34"/>
        <v>150000</v>
      </c>
      <c r="L143" s="4">
        <f>+VLOOKUP(C143,Indicadores!B:P,15,FALSE)</f>
        <v>0.69589999999999996</v>
      </c>
      <c r="M143" s="1" t="str">
        <f t="shared" si="40"/>
        <v>No Cumple</v>
      </c>
      <c r="N143" s="5">
        <f t="shared" si="47"/>
        <v>0</v>
      </c>
      <c r="O143" s="5">
        <f t="shared" si="35"/>
        <v>50000</v>
      </c>
      <c r="P143" s="4">
        <v>0.95</v>
      </c>
      <c r="Q143" s="5" t="str">
        <f t="shared" si="41"/>
        <v>Cumple</v>
      </c>
      <c r="R143" s="5">
        <f t="shared" si="42"/>
        <v>47500</v>
      </c>
      <c r="S143" s="5">
        <f t="shared" si="36"/>
        <v>50000</v>
      </c>
      <c r="T143" s="4">
        <f>+VLOOKUP(C143,Indicadores!B:V,21,FALSE)</f>
        <v>0.49409999999999998</v>
      </c>
      <c r="U143" s="35" t="str">
        <f t="shared" si="43"/>
        <v>No Cumple</v>
      </c>
      <c r="V143" s="2">
        <f t="shared" si="44"/>
        <v>0</v>
      </c>
      <c r="W143" s="5" t="str">
        <f t="shared" si="45"/>
        <v>NO</v>
      </c>
      <c r="X143" s="5">
        <f t="shared" si="46"/>
        <v>0</v>
      </c>
      <c r="Y143" s="1"/>
    </row>
    <row r="144" spans="2:25" x14ac:dyDescent="0.25">
      <c r="B144" s="1" t="s">
        <v>240</v>
      </c>
      <c r="C144" s="1" t="s">
        <v>149</v>
      </c>
      <c r="D144" s="1" t="s">
        <v>243</v>
      </c>
      <c r="E144" s="1" t="s">
        <v>344</v>
      </c>
      <c r="F144" s="2">
        <f t="shared" si="37"/>
        <v>250000</v>
      </c>
      <c r="G144" s="4">
        <f>+VLOOKUP(C144,Indicadores!B:C,2,FALSE)</f>
        <v>0.77224545454545457</v>
      </c>
      <c r="H144" s="1" t="str">
        <f t="shared" si="38"/>
        <v>No Cumple</v>
      </c>
      <c r="I144" s="4">
        <f>+VLOOKUP(C144,Indicadores!B:F,5,FALSE)</f>
        <v>1</v>
      </c>
      <c r="J144" s="1" t="str">
        <f t="shared" si="39"/>
        <v>Cumple</v>
      </c>
      <c r="K144" s="9">
        <f t="shared" si="34"/>
        <v>150000</v>
      </c>
      <c r="L144" s="4">
        <f>+VLOOKUP(C144,Indicadores!B:P,15,FALSE)</f>
        <v>0.66220000000000001</v>
      </c>
      <c r="M144" s="1" t="str">
        <f t="shared" si="40"/>
        <v>No Cumple</v>
      </c>
      <c r="N144" s="5">
        <f t="shared" si="47"/>
        <v>0</v>
      </c>
      <c r="O144" s="5">
        <f t="shared" si="35"/>
        <v>50000</v>
      </c>
      <c r="P144" s="4">
        <v>0.95</v>
      </c>
      <c r="Q144" s="5" t="str">
        <f t="shared" si="41"/>
        <v>Cumple</v>
      </c>
      <c r="R144" s="5">
        <f t="shared" si="42"/>
        <v>47500</v>
      </c>
      <c r="S144" s="5">
        <f t="shared" si="36"/>
        <v>50000</v>
      </c>
      <c r="T144" s="4">
        <f>+VLOOKUP(C144,Indicadores!B:V,21,FALSE)</f>
        <v>0.5</v>
      </c>
      <c r="U144" s="35" t="str">
        <f t="shared" si="43"/>
        <v>No Cumple</v>
      </c>
      <c r="V144" s="2">
        <f t="shared" si="44"/>
        <v>0</v>
      </c>
      <c r="W144" s="5" t="str">
        <f t="shared" si="45"/>
        <v>NO</v>
      </c>
      <c r="X144" s="5">
        <f t="shared" si="46"/>
        <v>0</v>
      </c>
      <c r="Y144" s="1"/>
    </row>
    <row r="145" spans="2:25" x14ac:dyDescent="0.25">
      <c r="B145" s="1" t="s">
        <v>240</v>
      </c>
      <c r="C145" s="1" t="s">
        <v>150</v>
      </c>
      <c r="D145" s="1" t="s">
        <v>243</v>
      </c>
      <c r="E145" s="1" t="s">
        <v>344</v>
      </c>
      <c r="F145" s="2">
        <f t="shared" si="37"/>
        <v>250000</v>
      </c>
      <c r="G145" s="4">
        <f>+VLOOKUP(C145,Indicadores!B:C,2,FALSE)</f>
        <v>0.77765454545454549</v>
      </c>
      <c r="H145" s="1" t="str">
        <f t="shared" si="38"/>
        <v>No Cumple</v>
      </c>
      <c r="I145" s="4">
        <f>+VLOOKUP(C145,Indicadores!B:F,5,FALSE)</f>
        <v>0.90909090909090906</v>
      </c>
      <c r="J145" s="1" t="str">
        <f t="shared" si="39"/>
        <v>Cumple</v>
      </c>
      <c r="K145" s="9">
        <f t="shared" si="34"/>
        <v>150000</v>
      </c>
      <c r="L145" s="4">
        <f>+VLOOKUP(C145,Indicadores!B:P,15,FALSE)</f>
        <v>0.58106666666666673</v>
      </c>
      <c r="M145" s="1" t="str">
        <f t="shared" si="40"/>
        <v>No Cumple</v>
      </c>
      <c r="N145" s="5">
        <f t="shared" si="47"/>
        <v>0</v>
      </c>
      <c r="O145" s="5">
        <f t="shared" si="35"/>
        <v>50000</v>
      </c>
      <c r="P145" s="4">
        <v>0.95</v>
      </c>
      <c r="Q145" s="5" t="str">
        <f t="shared" si="41"/>
        <v>Cumple</v>
      </c>
      <c r="R145" s="5">
        <f t="shared" si="42"/>
        <v>47500</v>
      </c>
      <c r="S145" s="5">
        <f t="shared" si="36"/>
        <v>50000</v>
      </c>
      <c r="T145" s="4">
        <f>+VLOOKUP(C145,Indicadores!B:V,21,FALSE)</f>
        <v>1</v>
      </c>
      <c r="U145" s="35" t="str">
        <f t="shared" si="43"/>
        <v>Cumple</v>
      </c>
      <c r="V145" s="2">
        <f t="shared" si="44"/>
        <v>50000</v>
      </c>
      <c r="W145" s="5" t="str">
        <f t="shared" si="45"/>
        <v>NO</v>
      </c>
      <c r="X145" s="5">
        <f t="shared" si="46"/>
        <v>0</v>
      </c>
      <c r="Y145" s="1"/>
    </row>
    <row r="146" spans="2:25" x14ac:dyDescent="0.25">
      <c r="B146" s="1" t="s">
        <v>240</v>
      </c>
      <c r="C146" s="1" t="s">
        <v>151</v>
      </c>
      <c r="D146" s="1" t="s">
        <v>243</v>
      </c>
      <c r="E146" s="1" t="s">
        <v>344</v>
      </c>
      <c r="F146" s="2">
        <f t="shared" si="37"/>
        <v>250000</v>
      </c>
      <c r="G146" s="4">
        <f>+VLOOKUP(C146,Indicadores!B:C,2,FALSE)</f>
        <v>0.80039999999999989</v>
      </c>
      <c r="H146" s="1" t="str">
        <f t="shared" si="38"/>
        <v>Cumple</v>
      </c>
      <c r="I146" s="4">
        <f>+VLOOKUP(C146,Indicadores!B:F,5,FALSE)</f>
        <v>1</v>
      </c>
      <c r="J146" s="1" t="str">
        <f t="shared" si="39"/>
        <v>Cumple</v>
      </c>
      <c r="K146" s="9">
        <f t="shared" si="34"/>
        <v>150000</v>
      </c>
      <c r="L146" s="4">
        <f>+VLOOKUP(C146,Indicadores!B:P,15,FALSE)</f>
        <v>0.71376666666666677</v>
      </c>
      <c r="M146" s="1" t="str">
        <f t="shared" si="40"/>
        <v>No Cumple</v>
      </c>
      <c r="N146" s="5">
        <f t="shared" si="47"/>
        <v>0</v>
      </c>
      <c r="O146" s="5">
        <f t="shared" si="35"/>
        <v>50000</v>
      </c>
      <c r="P146" s="4">
        <v>0.95</v>
      </c>
      <c r="Q146" s="5" t="str">
        <f t="shared" si="41"/>
        <v>Cumple</v>
      </c>
      <c r="R146" s="5">
        <f t="shared" si="42"/>
        <v>47500</v>
      </c>
      <c r="S146" s="5">
        <f t="shared" si="36"/>
        <v>50000</v>
      </c>
      <c r="T146" s="4">
        <f>+VLOOKUP(C146,Indicadores!B:V,21,FALSE)</f>
        <v>0.5</v>
      </c>
      <c r="U146" s="35" t="str">
        <f t="shared" si="43"/>
        <v>No Cumple</v>
      </c>
      <c r="V146" s="2">
        <f t="shared" si="44"/>
        <v>0</v>
      </c>
      <c r="W146" s="5" t="str">
        <f t="shared" si="45"/>
        <v>SI</v>
      </c>
      <c r="X146" s="5">
        <f t="shared" si="46"/>
        <v>47500</v>
      </c>
      <c r="Y146" s="1"/>
    </row>
    <row r="147" spans="2:25" x14ac:dyDescent="0.25">
      <c r="B147" s="1" t="s">
        <v>240</v>
      </c>
      <c r="C147" s="1" t="s">
        <v>152</v>
      </c>
      <c r="D147" s="1" t="s">
        <v>243</v>
      </c>
      <c r="E147" s="1" t="s">
        <v>344</v>
      </c>
      <c r="F147" s="2">
        <f t="shared" si="37"/>
        <v>250000</v>
      </c>
      <c r="G147" s="4">
        <f>+VLOOKUP(C147,Indicadores!B:C,2,FALSE)</f>
        <v>0.85429999999999995</v>
      </c>
      <c r="H147" s="1" t="str">
        <f t="shared" si="38"/>
        <v>Cumple</v>
      </c>
      <c r="I147" s="4">
        <f>+VLOOKUP(C147,Indicadores!B:F,5,FALSE)</f>
        <v>1</v>
      </c>
      <c r="J147" s="1" t="str">
        <f t="shared" si="39"/>
        <v>Cumple</v>
      </c>
      <c r="K147" s="9">
        <f t="shared" si="34"/>
        <v>150000</v>
      </c>
      <c r="L147" s="4">
        <f>+VLOOKUP(C147,Indicadores!B:P,15,FALSE)</f>
        <v>0.76056666666666661</v>
      </c>
      <c r="M147" s="1" t="str">
        <f t="shared" si="40"/>
        <v>No Cumple</v>
      </c>
      <c r="N147" s="5">
        <f t="shared" si="47"/>
        <v>0</v>
      </c>
      <c r="O147" s="5">
        <f t="shared" si="35"/>
        <v>50000</v>
      </c>
      <c r="P147" s="4">
        <v>0.95</v>
      </c>
      <c r="Q147" s="5" t="str">
        <f t="shared" si="41"/>
        <v>Cumple</v>
      </c>
      <c r="R147" s="5">
        <f t="shared" si="42"/>
        <v>47500</v>
      </c>
      <c r="S147" s="5">
        <f t="shared" si="36"/>
        <v>50000</v>
      </c>
      <c r="T147" s="4">
        <f>+VLOOKUP(C147,Indicadores!B:V,21,FALSE)</f>
        <v>0.5</v>
      </c>
      <c r="U147" s="35" t="str">
        <f t="shared" si="43"/>
        <v>No Cumple</v>
      </c>
      <c r="V147" s="2">
        <f t="shared" si="44"/>
        <v>0</v>
      </c>
      <c r="W147" s="5" t="str">
        <f t="shared" si="45"/>
        <v>SI</v>
      </c>
      <c r="X147" s="5">
        <f t="shared" si="46"/>
        <v>47500</v>
      </c>
      <c r="Y147" s="1"/>
    </row>
    <row r="148" spans="2:25" x14ac:dyDescent="0.25">
      <c r="B148" s="1" t="s">
        <v>240</v>
      </c>
      <c r="C148" s="1" t="s">
        <v>153</v>
      </c>
      <c r="D148" s="1" t="s">
        <v>243</v>
      </c>
      <c r="E148" s="1" t="s">
        <v>344</v>
      </c>
      <c r="F148" s="2">
        <f t="shared" si="37"/>
        <v>250000</v>
      </c>
      <c r="G148" s="4">
        <f>+VLOOKUP(C148,Indicadores!B:C,2,FALSE)</f>
        <v>0.77709090909090905</v>
      </c>
      <c r="H148" s="1" t="str">
        <f t="shared" si="38"/>
        <v>No Cumple</v>
      </c>
      <c r="I148" s="4">
        <f>+VLOOKUP(C148,Indicadores!B:F,5,FALSE)</f>
        <v>0.9375</v>
      </c>
      <c r="J148" s="1" t="str">
        <f t="shared" si="39"/>
        <v>Cumple</v>
      </c>
      <c r="K148" s="9">
        <f t="shared" si="34"/>
        <v>150000</v>
      </c>
      <c r="L148" s="4">
        <f>+VLOOKUP(C148,Indicadores!B:P,15,FALSE)</f>
        <v>0.73396666666666677</v>
      </c>
      <c r="M148" s="1" t="str">
        <f t="shared" si="40"/>
        <v>No Cumple</v>
      </c>
      <c r="N148" s="5">
        <f t="shared" si="47"/>
        <v>0</v>
      </c>
      <c r="O148" s="5">
        <f t="shared" si="35"/>
        <v>50000</v>
      </c>
      <c r="P148" s="4">
        <v>0.95</v>
      </c>
      <c r="Q148" s="5" t="str">
        <f t="shared" si="41"/>
        <v>Cumple</v>
      </c>
      <c r="R148" s="5">
        <f t="shared" si="42"/>
        <v>47500</v>
      </c>
      <c r="S148" s="5">
        <f t="shared" si="36"/>
        <v>50000</v>
      </c>
      <c r="T148" s="4">
        <f>+VLOOKUP(C148,Indicadores!B:V,21,FALSE)</f>
        <v>0.5</v>
      </c>
      <c r="U148" s="35" t="str">
        <f t="shared" si="43"/>
        <v>No Cumple</v>
      </c>
      <c r="V148" s="2">
        <f t="shared" si="44"/>
        <v>0</v>
      </c>
      <c r="W148" s="5" t="str">
        <f t="shared" si="45"/>
        <v>NO</v>
      </c>
      <c r="X148" s="5">
        <f t="shared" si="46"/>
        <v>0</v>
      </c>
      <c r="Y148" s="1"/>
    </row>
    <row r="149" spans="2:25" x14ac:dyDescent="0.25">
      <c r="B149" s="1" t="s">
        <v>240</v>
      </c>
      <c r="C149" s="1" t="s">
        <v>154</v>
      </c>
      <c r="D149" s="1" t="s">
        <v>243</v>
      </c>
      <c r="E149" s="1" t="s">
        <v>344</v>
      </c>
      <c r="F149" s="2">
        <f t="shared" si="37"/>
        <v>250000</v>
      </c>
      <c r="G149" s="4">
        <f>+VLOOKUP(C149,Indicadores!B:C,2,FALSE)</f>
        <v>0.81150000000000011</v>
      </c>
      <c r="H149" s="1" t="str">
        <f t="shared" si="38"/>
        <v>Cumple</v>
      </c>
      <c r="I149" s="4">
        <f>+VLOOKUP(C149,Indicadores!B:F,5,FALSE)</f>
        <v>1</v>
      </c>
      <c r="J149" s="1" t="str">
        <f t="shared" si="39"/>
        <v>Cumple</v>
      </c>
      <c r="K149" s="9">
        <f t="shared" si="34"/>
        <v>150000</v>
      </c>
      <c r="L149" s="4">
        <f>+VLOOKUP(C149,Indicadores!B:P,15,FALSE)</f>
        <v>0.75490000000000002</v>
      </c>
      <c r="M149" s="1" t="str">
        <f t="shared" si="40"/>
        <v>No Cumple</v>
      </c>
      <c r="N149" s="5">
        <f t="shared" si="47"/>
        <v>0</v>
      </c>
      <c r="O149" s="5">
        <f t="shared" si="35"/>
        <v>50000</v>
      </c>
      <c r="P149" s="4">
        <v>0.95</v>
      </c>
      <c r="Q149" s="5" t="str">
        <f t="shared" si="41"/>
        <v>Cumple</v>
      </c>
      <c r="R149" s="5">
        <f t="shared" si="42"/>
        <v>47500</v>
      </c>
      <c r="S149" s="5">
        <f t="shared" si="36"/>
        <v>50000</v>
      </c>
      <c r="T149" s="4">
        <f>+VLOOKUP(C149,Indicadores!B:V,21,FALSE)</f>
        <v>0.5</v>
      </c>
      <c r="U149" s="35" t="str">
        <f t="shared" si="43"/>
        <v>No Cumple</v>
      </c>
      <c r="V149" s="2">
        <f t="shared" si="44"/>
        <v>0</v>
      </c>
      <c r="W149" s="5" t="str">
        <f t="shared" si="45"/>
        <v>SI</v>
      </c>
      <c r="X149" s="5">
        <f t="shared" si="46"/>
        <v>47500</v>
      </c>
      <c r="Y149" s="1"/>
    </row>
    <row r="150" spans="2:25" x14ac:dyDescent="0.25">
      <c r="B150" s="1" t="s">
        <v>240</v>
      </c>
      <c r="C150" s="1" t="s">
        <v>155</v>
      </c>
      <c r="D150" s="1" t="s">
        <v>243</v>
      </c>
      <c r="E150" s="1" t="s">
        <v>344</v>
      </c>
      <c r="F150" s="2">
        <f t="shared" si="37"/>
        <v>250000</v>
      </c>
      <c r="G150" s="4">
        <f>+VLOOKUP(C150,Indicadores!B:C,2,FALSE)</f>
        <v>0.81819090909090919</v>
      </c>
      <c r="H150" s="1" t="str">
        <f t="shared" si="38"/>
        <v>Cumple</v>
      </c>
      <c r="I150" s="4">
        <f>+VLOOKUP(C150,Indicadores!B:F,5,FALSE)</f>
        <v>0.89473684210526316</v>
      </c>
      <c r="J150" s="1" t="str">
        <f t="shared" si="39"/>
        <v>Cumple</v>
      </c>
      <c r="K150" s="9">
        <f t="shared" si="34"/>
        <v>150000</v>
      </c>
      <c r="L150" s="4">
        <f>+VLOOKUP(C150,Indicadores!B:P,15,FALSE)</f>
        <v>0.72226666666666661</v>
      </c>
      <c r="M150" s="1" t="str">
        <f t="shared" si="40"/>
        <v>No Cumple</v>
      </c>
      <c r="N150" s="5">
        <f t="shared" si="47"/>
        <v>0</v>
      </c>
      <c r="O150" s="5">
        <f t="shared" si="35"/>
        <v>50000</v>
      </c>
      <c r="P150" s="4">
        <v>0.95</v>
      </c>
      <c r="Q150" s="5" t="str">
        <f t="shared" si="41"/>
        <v>Cumple</v>
      </c>
      <c r="R150" s="5">
        <f t="shared" si="42"/>
        <v>47500</v>
      </c>
      <c r="S150" s="5">
        <f t="shared" si="36"/>
        <v>50000</v>
      </c>
      <c r="T150" s="4">
        <f>+VLOOKUP(C150,Indicadores!B:V,21,FALSE)</f>
        <v>1</v>
      </c>
      <c r="U150" s="35" t="str">
        <f t="shared" si="43"/>
        <v>Cumple</v>
      </c>
      <c r="V150" s="2">
        <f t="shared" si="44"/>
        <v>50000</v>
      </c>
      <c r="W150" s="5" t="str">
        <f t="shared" si="45"/>
        <v>SI</v>
      </c>
      <c r="X150" s="5">
        <f t="shared" si="46"/>
        <v>97500</v>
      </c>
      <c r="Y150" s="1"/>
    </row>
    <row r="151" spans="2:25" x14ac:dyDescent="0.25">
      <c r="B151" s="1" t="s">
        <v>240</v>
      </c>
      <c r="C151" s="1" t="s">
        <v>156</v>
      </c>
      <c r="D151" s="1" t="s">
        <v>243</v>
      </c>
      <c r="E151" s="1" t="s">
        <v>344</v>
      </c>
      <c r="F151" s="2">
        <f t="shared" si="37"/>
        <v>250000</v>
      </c>
      <c r="G151" s="4">
        <f>+VLOOKUP(C151,Indicadores!B:C,2,FALSE)</f>
        <v>0.77070000000000005</v>
      </c>
      <c r="H151" s="1" t="str">
        <f t="shared" si="38"/>
        <v>No Cumple</v>
      </c>
      <c r="I151" s="4">
        <f>+VLOOKUP(C151,Indicadores!B:F,5,FALSE)</f>
        <v>0.83333333333333337</v>
      </c>
      <c r="J151" s="1" t="str">
        <f t="shared" si="39"/>
        <v>Cumple</v>
      </c>
      <c r="K151" s="9">
        <f t="shared" si="34"/>
        <v>150000</v>
      </c>
      <c r="L151" s="4">
        <f>+VLOOKUP(C151,Indicadores!B:P,15,FALSE)</f>
        <v>0.6303333333333333</v>
      </c>
      <c r="M151" s="1" t="str">
        <f t="shared" si="40"/>
        <v>No Cumple</v>
      </c>
      <c r="N151" s="5">
        <f t="shared" si="47"/>
        <v>0</v>
      </c>
      <c r="O151" s="5">
        <f t="shared" si="35"/>
        <v>50000</v>
      </c>
      <c r="P151" s="4">
        <v>0.95</v>
      </c>
      <c r="Q151" s="5" t="str">
        <f t="shared" si="41"/>
        <v>Cumple</v>
      </c>
      <c r="R151" s="5">
        <f t="shared" si="42"/>
        <v>47500</v>
      </c>
      <c r="S151" s="5">
        <f t="shared" si="36"/>
        <v>50000</v>
      </c>
      <c r="T151" s="4">
        <f>+VLOOKUP(C151,Indicadores!B:V,21,FALSE)</f>
        <v>0.5</v>
      </c>
      <c r="U151" s="35" t="str">
        <f t="shared" si="43"/>
        <v>No Cumple</v>
      </c>
      <c r="V151" s="2">
        <f t="shared" si="44"/>
        <v>0</v>
      </c>
      <c r="W151" s="5" t="str">
        <f t="shared" si="45"/>
        <v>NO</v>
      </c>
      <c r="X151" s="5">
        <f t="shared" si="46"/>
        <v>0</v>
      </c>
      <c r="Y151" s="1"/>
    </row>
    <row r="152" spans="2:25" x14ac:dyDescent="0.25">
      <c r="B152" s="1" t="s">
        <v>240</v>
      </c>
      <c r="C152" s="1" t="s">
        <v>157</v>
      </c>
      <c r="D152" s="1" t="s">
        <v>243</v>
      </c>
      <c r="E152" s="1" t="s">
        <v>344</v>
      </c>
      <c r="F152" s="2">
        <f t="shared" si="37"/>
        <v>250000</v>
      </c>
      <c r="G152" s="4">
        <f>+VLOOKUP(C152,Indicadores!B:C,2,FALSE)</f>
        <v>0.776590909090909</v>
      </c>
      <c r="H152" s="1" t="str">
        <f t="shared" si="38"/>
        <v>No Cumple</v>
      </c>
      <c r="I152" s="4">
        <f>+VLOOKUP(C152,Indicadores!B:F,5,FALSE)</f>
        <v>1</v>
      </c>
      <c r="J152" s="1" t="str">
        <f t="shared" si="39"/>
        <v>Cumple</v>
      </c>
      <c r="K152" s="9">
        <f t="shared" si="34"/>
        <v>150000</v>
      </c>
      <c r="L152" s="4">
        <f>+VLOOKUP(C152,Indicadores!B:P,15,FALSE)</f>
        <v>0.67166666666666652</v>
      </c>
      <c r="M152" s="1" t="str">
        <f t="shared" si="40"/>
        <v>No Cumple</v>
      </c>
      <c r="N152" s="5">
        <f t="shared" si="47"/>
        <v>0</v>
      </c>
      <c r="O152" s="5">
        <f t="shared" si="35"/>
        <v>50000</v>
      </c>
      <c r="P152" s="4">
        <v>0.95</v>
      </c>
      <c r="Q152" s="5" t="str">
        <f t="shared" si="41"/>
        <v>Cumple</v>
      </c>
      <c r="R152" s="5">
        <f t="shared" si="42"/>
        <v>47500</v>
      </c>
      <c r="S152" s="5">
        <f t="shared" si="36"/>
        <v>50000</v>
      </c>
      <c r="T152" s="4">
        <f>+VLOOKUP(C152,Indicadores!B:V,21,FALSE)</f>
        <v>0.99399999999999999</v>
      </c>
      <c r="U152" s="35" t="str">
        <f t="shared" si="43"/>
        <v>No Cumple</v>
      </c>
      <c r="V152" s="2">
        <f t="shared" si="44"/>
        <v>0</v>
      </c>
      <c r="W152" s="5" t="str">
        <f t="shared" si="45"/>
        <v>NO</v>
      </c>
      <c r="X152" s="5">
        <f t="shared" si="46"/>
        <v>0</v>
      </c>
      <c r="Y152" s="1"/>
    </row>
    <row r="153" spans="2:25" x14ac:dyDescent="0.25">
      <c r="B153" s="1" t="s">
        <v>240</v>
      </c>
      <c r="C153" s="1" t="s">
        <v>158</v>
      </c>
      <c r="D153" s="1" t="s">
        <v>243</v>
      </c>
      <c r="E153" s="1" t="s">
        <v>344</v>
      </c>
      <c r="F153" s="2">
        <f t="shared" si="37"/>
        <v>250000</v>
      </c>
      <c r="G153" s="4">
        <f>+VLOOKUP(C153,Indicadores!B:C,2,FALSE)</f>
        <v>0.77338181818181806</v>
      </c>
      <c r="H153" s="1" t="str">
        <f t="shared" si="38"/>
        <v>No Cumple</v>
      </c>
      <c r="I153" s="4">
        <f>+VLOOKUP(C153,Indicadores!B:F,5,FALSE)</f>
        <v>1</v>
      </c>
      <c r="J153" s="1" t="str">
        <f t="shared" si="39"/>
        <v>Cumple</v>
      </c>
      <c r="K153" s="9">
        <f t="shared" si="34"/>
        <v>150000</v>
      </c>
      <c r="L153" s="4">
        <f>+VLOOKUP(C153,Indicadores!B:P,15,FALSE)</f>
        <v>0.60483333333333333</v>
      </c>
      <c r="M153" s="1" t="str">
        <f t="shared" si="40"/>
        <v>No Cumple</v>
      </c>
      <c r="N153" s="5">
        <f t="shared" si="47"/>
        <v>0</v>
      </c>
      <c r="O153" s="5">
        <f t="shared" si="35"/>
        <v>50000</v>
      </c>
      <c r="P153" s="4">
        <v>0.95</v>
      </c>
      <c r="Q153" s="5" t="str">
        <f t="shared" si="41"/>
        <v>Cumple</v>
      </c>
      <c r="R153" s="5">
        <f t="shared" si="42"/>
        <v>47500</v>
      </c>
      <c r="S153" s="5">
        <f t="shared" si="36"/>
        <v>50000</v>
      </c>
      <c r="T153" s="4">
        <f>+VLOOKUP(C153,Indicadores!B:V,21,FALSE)</f>
        <v>1</v>
      </c>
      <c r="U153" s="35" t="str">
        <f t="shared" si="43"/>
        <v>Cumple</v>
      </c>
      <c r="V153" s="2">
        <f t="shared" si="44"/>
        <v>50000</v>
      </c>
      <c r="W153" s="5" t="str">
        <f t="shared" si="45"/>
        <v>NO</v>
      </c>
      <c r="X153" s="5">
        <f t="shared" si="46"/>
        <v>0</v>
      </c>
      <c r="Y153" s="1"/>
    </row>
    <row r="154" spans="2:25" x14ac:dyDescent="0.25">
      <c r="B154" s="1" t="s">
        <v>239</v>
      </c>
      <c r="C154" s="1" t="s">
        <v>159</v>
      </c>
      <c r="D154" s="1" t="s">
        <v>243</v>
      </c>
      <c r="E154" s="1" t="s">
        <v>345</v>
      </c>
      <c r="F154" s="2">
        <f t="shared" si="37"/>
        <v>250000</v>
      </c>
      <c r="G154" s="4">
        <f>+VLOOKUP(C154,Indicadores!B:C,2,FALSE)</f>
        <v>0.8475454545454546</v>
      </c>
      <c r="H154" s="1" t="str">
        <f t="shared" si="38"/>
        <v>Cumple</v>
      </c>
      <c r="I154" s="4">
        <f>+VLOOKUP(C154,Indicadores!B:F,5,FALSE)</f>
        <v>1</v>
      </c>
      <c r="J154" s="1" t="str">
        <f t="shared" si="39"/>
        <v>Cumple</v>
      </c>
      <c r="K154" s="9">
        <f t="shared" si="34"/>
        <v>150000</v>
      </c>
      <c r="L154" s="4">
        <f>+VLOOKUP(C154,Indicadores!B:P,15,FALSE)</f>
        <v>0.82350000000000001</v>
      </c>
      <c r="M154" s="1" t="str">
        <f t="shared" si="40"/>
        <v>Cumple</v>
      </c>
      <c r="N154" s="5">
        <f t="shared" si="47"/>
        <v>120000</v>
      </c>
      <c r="O154" s="5">
        <f t="shared" si="35"/>
        <v>50000</v>
      </c>
      <c r="P154" s="4">
        <v>0.95</v>
      </c>
      <c r="Q154" s="5" t="str">
        <f t="shared" si="41"/>
        <v>Cumple</v>
      </c>
      <c r="R154" s="5">
        <f t="shared" si="42"/>
        <v>47500</v>
      </c>
      <c r="S154" s="5">
        <f t="shared" si="36"/>
        <v>50000</v>
      </c>
      <c r="T154" s="4">
        <f>+VLOOKUP(C154,Indicadores!B:V,21,FALSE)</f>
        <v>0.5</v>
      </c>
      <c r="U154" s="35" t="str">
        <f t="shared" si="43"/>
        <v>No Cumple</v>
      </c>
      <c r="V154" s="2">
        <f t="shared" si="44"/>
        <v>0</v>
      </c>
      <c r="W154" s="5" t="str">
        <f t="shared" si="45"/>
        <v>SI</v>
      </c>
      <c r="X154" s="5">
        <f t="shared" si="46"/>
        <v>167500</v>
      </c>
      <c r="Y154" s="1"/>
    </row>
    <row r="155" spans="2:25" x14ac:dyDescent="0.25">
      <c r="B155" s="1" t="s">
        <v>239</v>
      </c>
      <c r="C155" s="1" t="s">
        <v>160</v>
      </c>
      <c r="D155" s="1" t="s">
        <v>243</v>
      </c>
      <c r="E155" s="1" t="s">
        <v>345</v>
      </c>
      <c r="F155" s="2">
        <f t="shared" si="37"/>
        <v>250000</v>
      </c>
      <c r="G155" s="4">
        <f>+VLOOKUP(C155,Indicadores!B:C,2,FALSE)</f>
        <v>0.83440909090909088</v>
      </c>
      <c r="H155" s="1" t="str">
        <f t="shared" si="38"/>
        <v>Cumple</v>
      </c>
      <c r="I155" s="4">
        <f>+VLOOKUP(C155,Indicadores!B:F,5,FALSE)</f>
        <v>1</v>
      </c>
      <c r="J155" s="1" t="str">
        <f t="shared" si="39"/>
        <v>Cumple</v>
      </c>
      <c r="K155" s="9">
        <f t="shared" si="34"/>
        <v>150000</v>
      </c>
      <c r="L155" s="4">
        <f>+VLOOKUP(C155,Indicadores!B:P,15,FALSE)</f>
        <v>0.41899999999999998</v>
      </c>
      <c r="M155" s="1" t="str">
        <f t="shared" si="40"/>
        <v>No Cumple</v>
      </c>
      <c r="N155" s="5">
        <f t="shared" si="47"/>
        <v>0</v>
      </c>
      <c r="O155" s="5">
        <f t="shared" si="35"/>
        <v>50000</v>
      </c>
      <c r="P155" s="4">
        <v>0.95</v>
      </c>
      <c r="Q155" s="5" t="str">
        <f t="shared" si="41"/>
        <v>Cumple</v>
      </c>
      <c r="R155" s="5">
        <f t="shared" si="42"/>
        <v>47500</v>
      </c>
      <c r="S155" s="5">
        <f t="shared" si="36"/>
        <v>50000</v>
      </c>
      <c r="T155" s="4">
        <f>+VLOOKUP(C155,Indicadores!B:V,21,FALSE)</f>
        <v>0.5</v>
      </c>
      <c r="U155" s="35" t="str">
        <f t="shared" si="43"/>
        <v>No Cumple</v>
      </c>
      <c r="V155" s="2">
        <f t="shared" si="44"/>
        <v>0</v>
      </c>
      <c r="W155" s="5" t="str">
        <f t="shared" si="45"/>
        <v>SI</v>
      </c>
      <c r="X155" s="5">
        <f t="shared" si="46"/>
        <v>47500</v>
      </c>
      <c r="Y155" s="1"/>
    </row>
    <row r="156" spans="2:25" x14ac:dyDescent="0.25">
      <c r="B156" s="1" t="s">
        <v>239</v>
      </c>
      <c r="C156" s="1" t="s">
        <v>161</v>
      </c>
      <c r="D156" s="1" t="s">
        <v>243</v>
      </c>
      <c r="E156" s="1" t="s">
        <v>345</v>
      </c>
      <c r="F156" s="2">
        <f t="shared" si="37"/>
        <v>250000</v>
      </c>
      <c r="G156" s="4">
        <f>+VLOOKUP(C156,Indicadores!B:C,2,FALSE)</f>
        <v>0.70810909090909102</v>
      </c>
      <c r="H156" s="1" t="str">
        <f t="shared" si="38"/>
        <v>No Cumple</v>
      </c>
      <c r="I156" s="4">
        <f>+VLOOKUP(C156,Indicadores!B:F,5,FALSE)</f>
        <v>0.58333333333333337</v>
      </c>
      <c r="J156" s="1" t="str">
        <f t="shared" si="39"/>
        <v>No Cumple</v>
      </c>
      <c r="K156" s="9">
        <f t="shared" si="34"/>
        <v>150000</v>
      </c>
      <c r="L156" s="4">
        <f>+VLOOKUP(C156,Indicadores!B:P,15,FALSE)</f>
        <v>0.29823333333333335</v>
      </c>
      <c r="M156" s="1" t="str">
        <f t="shared" si="40"/>
        <v>No Cumple</v>
      </c>
      <c r="N156" s="5">
        <f t="shared" si="47"/>
        <v>0</v>
      </c>
      <c r="O156" s="5">
        <f t="shared" si="35"/>
        <v>50000</v>
      </c>
      <c r="P156" s="4">
        <v>0.95</v>
      </c>
      <c r="Q156" s="5" t="str">
        <f t="shared" si="41"/>
        <v>Cumple</v>
      </c>
      <c r="R156" s="5">
        <f t="shared" si="42"/>
        <v>47500</v>
      </c>
      <c r="S156" s="5">
        <f t="shared" si="36"/>
        <v>50000</v>
      </c>
      <c r="T156" s="4">
        <f>+VLOOKUP(C156,Indicadores!B:V,21,FALSE)</f>
        <v>0.89470000000000005</v>
      </c>
      <c r="U156" s="35" t="str">
        <f t="shared" si="43"/>
        <v>No Cumple</v>
      </c>
      <c r="V156" s="2">
        <f t="shared" si="44"/>
        <v>0</v>
      </c>
      <c r="W156" s="5" t="str">
        <f t="shared" si="45"/>
        <v>NO</v>
      </c>
      <c r="X156" s="5">
        <f t="shared" si="46"/>
        <v>0</v>
      </c>
      <c r="Y156" s="1"/>
    </row>
    <row r="157" spans="2:25" x14ac:dyDescent="0.25">
      <c r="B157" s="1" t="s">
        <v>239</v>
      </c>
      <c r="C157" s="1" t="s">
        <v>162</v>
      </c>
      <c r="D157" s="1" t="s">
        <v>243</v>
      </c>
      <c r="E157" s="1" t="s">
        <v>345</v>
      </c>
      <c r="F157" s="2">
        <f t="shared" si="37"/>
        <v>250000</v>
      </c>
      <c r="G157" s="4">
        <f>+VLOOKUP(C157,Indicadores!B:C,2,FALSE)</f>
        <v>0.82828181818181823</v>
      </c>
      <c r="H157" s="1" t="str">
        <f t="shared" si="38"/>
        <v>Cumple</v>
      </c>
      <c r="I157" s="4">
        <f>+VLOOKUP(C157,Indicadores!B:F,5,FALSE)</f>
        <v>1</v>
      </c>
      <c r="J157" s="1" t="str">
        <f t="shared" si="39"/>
        <v>Cumple</v>
      </c>
      <c r="K157" s="9">
        <f t="shared" si="34"/>
        <v>150000</v>
      </c>
      <c r="L157" s="4">
        <f>+VLOOKUP(C157,Indicadores!B:P,15,FALSE)</f>
        <v>0.59523333333333328</v>
      </c>
      <c r="M157" s="1" t="str">
        <f t="shared" si="40"/>
        <v>No Cumple</v>
      </c>
      <c r="N157" s="5">
        <f t="shared" si="47"/>
        <v>0</v>
      </c>
      <c r="O157" s="5">
        <f t="shared" si="35"/>
        <v>50000</v>
      </c>
      <c r="P157" s="4">
        <v>0.95</v>
      </c>
      <c r="Q157" s="5" t="str">
        <f t="shared" si="41"/>
        <v>Cumple</v>
      </c>
      <c r="R157" s="5">
        <f t="shared" si="42"/>
        <v>47500</v>
      </c>
      <c r="S157" s="5">
        <f t="shared" si="36"/>
        <v>50000</v>
      </c>
      <c r="T157" s="4">
        <f>+VLOOKUP(C157,Indicadores!B:V,21,FALSE)</f>
        <v>1</v>
      </c>
      <c r="U157" s="35" t="str">
        <f t="shared" si="43"/>
        <v>Cumple</v>
      </c>
      <c r="V157" s="2">
        <f t="shared" si="44"/>
        <v>50000</v>
      </c>
      <c r="W157" s="5" t="str">
        <f t="shared" si="45"/>
        <v>SI</v>
      </c>
      <c r="X157" s="5">
        <f t="shared" si="46"/>
        <v>97500</v>
      </c>
      <c r="Y157" s="1"/>
    </row>
    <row r="158" spans="2:25" x14ac:dyDescent="0.25">
      <c r="B158" s="1" t="s">
        <v>239</v>
      </c>
      <c r="C158" s="1" t="s">
        <v>163</v>
      </c>
      <c r="D158" s="1" t="s">
        <v>243</v>
      </c>
      <c r="E158" s="1" t="s">
        <v>345</v>
      </c>
      <c r="F158" s="2">
        <f t="shared" si="37"/>
        <v>250000</v>
      </c>
      <c r="G158" s="4">
        <f>+VLOOKUP(C158,Indicadores!B:C,2,FALSE)</f>
        <v>0.82155454545454554</v>
      </c>
      <c r="H158" s="1" t="str">
        <f t="shared" si="38"/>
        <v>Cumple</v>
      </c>
      <c r="I158" s="4">
        <f>+VLOOKUP(C158,Indicadores!B:F,5,FALSE)</f>
        <v>0.8571428571428571</v>
      </c>
      <c r="J158" s="1" t="str">
        <f t="shared" si="39"/>
        <v>Cumple</v>
      </c>
      <c r="K158" s="9">
        <f t="shared" si="34"/>
        <v>150000</v>
      </c>
      <c r="L158" s="4">
        <f>+VLOOKUP(C158,Indicadores!B:P,15,FALSE)</f>
        <v>0.61730000000000007</v>
      </c>
      <c r="M158" s="1" t="str">
        <f t="shared" si="40"/>
        <v>No Cumple</v>
      </c>
      <c r="N158" s="5">
        <f t="shared" si="47"/>
        <v>0</v>
      </c>
      <c r="O158" s="5">
        <f t="shared" si="35"/>
        <v>50000</v>
      </c>
      <c r="P158" s="4">
        <v>0.95</v>
      </c>
      <c r="Q158" s="5" t="str">
        <f t="shared" si="41"/>
        <v>Cumple</v>
      </c>
      <c r="R158" s="5">
        <f t="shared" si="42"/>
        <v>47500</v>
      </c>
      <c r="S158" s="5">
        <f t="shared" si="36"/>
        <v>50000</v>
      </c>
      <c r="T158" s="4">
        <f>+VLOOKUP(C158,Indicadores!B:V,21,FALSE)</f>
        <v>0.5</v>
      </c>
      <c r="U158" s="35" t="str">
        <f t="shared" si="43"/>
        <v>No Cumple</v>
      </c>
      <c r="V158" s="2">
        <f t="shared" si="44"/>
        <v>0</v>
      </c>
      <c r="W158" s="5" t="str">
        <f t="shared" si="45"/>
        <v>SI</v>
      </c>
      <c r="X158" s="5">
        <f t="shared" si="46"/>
        <v>47500</v>
      </c>
      <c r="Y158" s="1"/>
    </row>
    <row r="159" spans="2:25" x14ac:dyDescent="0.25">
      <c r="B159" s="1" t="s">
        <v>239</v>
      </c>
      <c r="C159" s="1" t="s">
        <v>164</v>
      </c>
      <c r="D159" s="1" t="s">
        <v>243</v>
      </c>
      <c r="E159" s="1" t="s">
        <v>345</v>
      </c>
      <c r="F159" s="2">
        <f t="shared" si="37"/>
        <v>250000</v>
      </c>
      <c r="G159" s="4">
        <f>+VLOOKUP(C159,Indicadores!B:C,2,FALSE)</f>
        <v>0.76262727272727271</v>
      </c>
      <c r="H159" s="1" t="str">
        <f t="shared" si="38"/>
        <v>No Cumple</v>
      </c>
      <c r="I159" s="4">
        <f>+VLOOKUP(C159,Indicadores!B:F,5,FALSE)</f>
        <v>1</v>
      </c>
      <c r="J159" s="1" t="str">
        <f t="shared" si="39"/>
        <v>Cumple</v>
      </c>
      <c r="K159" s="9">
        <f t="shared" si="34"/>
        <v>150000</v>
      </c>
      <c r="L159" s="4">
        <f>+VLOOKUP(C159,Indicadores!B:P,15,FALSE)</f>
        <v>0.52083333333333337</v>
      </c>
      <c r="M159" s="1" t="str">
        <f t="shared" si="40"/>
        <v>No Cumple</v>
      </c>
      <c r="N159" s="5">
        <f t="shared" si="47"/>
        <v>0</v>
      </c>
      <c r="O159" s="5">
        <f t="shared" si="35"/>
        <v>50000</v>
      </c>
      <c r="P159" s="4">
        <v>0.95</v>
      </c>
      <c r="Q159" s="5" t="str">
        <f t="shared" si="41"/>
        <v>Cumple</v>
      </c>
      <c r="R159" s="5">
        <f t="shared" si="42"/>
        <v>47500</v>
      </c>
      <c r="S159" s="5">
        <f t="shared" si="36"/>
        <v>50000</v>
      </c>
      <c r="T159" s="4">
        <f>+VLOOKUP(C159,Indicadores!B:V,21,FALSE)</f>
        <v>1</v>
      </c>
      <c r="U159" s="35" t="str">
        <f t="shared" si="43"/>
        <v>Cumple</v>
      </c>
      <c r="V159" s="2">
        <f t="shared" si="44"/>
        <v>50000</v>
      </c>
      <c r="W159" s="5" t="str">
        <f t="shared" si="45"/>
        <v>NO</v>
      </c>
      <c r="X159" s="5">
        <f t="shared" si="46"/>
        <v>0</v>
      </c>
      <c r="Y159" s="1"/>
    </row>
    <row r="160" spans="2:25" x14ac:dyDescent="0.25">
      <c r="B160" s="1" t="s">
        <v>239</v>
      </c>
      <c r="C160" s="1" t="s">
        <v>165</v>
      </c>
      <c r="D160" s="1" t="s">
        <v>243</v>
      </c>
      <c r="E160" s="1" t="s">
        <v>345</v>
      </c>
      <c r="F160" s="2">
        <f t="shared" si="37"/>
        <v>250000</v>
      </c>
      <c r="G160" s="4">
        <f>+VLOOKUP(C160,Indicadores!B:C,2,FALSE)</f>
        <v>0.75681818181818172</v>
      </c>
      <c r="H160" s="1" t="str">
        <f t="shared" si="38"/>
        <v>No Cumple</v>
      </c>
      <c r="I160" s="4">
        <f>+VLOOKUP(C160,Indicadores!B:F,5,FALSE)</f>
        <v>0.90909090909090906</v>
      </c>
      <c r="J160" s="1" t="str">
        <f t="shared" si="39"/>
        <v>Cumple</v>
      </c>
      <c r="K160" s="9">
        <f t="shared" si="34"/>
        <v>150000</v>
      </c>
      <c r="L160" s="4">
        <f>+VLOOKUP(C160,Indicadores!B:P,15,FALSE)</f>
        <v>0.40860000000000002</v>
      </c>
      <c r="M160" s="1" t="str">
        <f t="shared" si="40"/>
        <v>No Cumple</v>
      </c>
      <c r="N160" s="5">
        <f t="shared" si="47"/>
        <v>0</v>
      </c>
      <c r="O160" s="5">
        <f t="shared" si="35"/>
        <v>50000</v>
      </c>
      <c r="P160" s="4">
        <v>0.95</v>
      </c>
      <c r="Q160" s="5" t="str">
        <f t="shared" si="41"/>
        <v>Cumple</v>
      </c>
      <c r="R160" s="5">
        <f t="shared" si="42"/>
        <v>47500</v>
      </c>
      <c r="S160" s="5">
        <f t="shared" si="36"/>
        <v>50000</v>
      </c>
      <c r="T160" s="4">
        <f>+VLOOKUP(C160,Indicadores!B:V,21,FALSE)</f>
        <v>1</v>
      </c>
      <c r="U160" s="35" t="str">
        <f t="shared" si="43"/>
        <v>Cumple</v>
      </c>
      <c r="V160" s="2">
        <f t="shared" si="44"/>
        <v>50000</v>
      </c>
      <c r="W160" s="5" t="str">
        <f t="shared" si="45"/>
        <v>NO</v>
      </c>
      <c r="X160" s="5">
        <f t="shared" si="46"/>
        <v>0</v>
      </c>
      <c r="Y160" s="1"/>
    </row>
    <row r="161" spans="2:25" x14ac:dyDescent="0.25">
      <c r="B161" s="1" t="s">
        <v>239</v>
      </c>
      <c r="C161" s="1" t="s">
        <v>166</v>
      </c>
      <c r="D161" s="1" t="s">
        <v>243</v>
      </c>
      <c r="E161" s="1" t="s">
        <v>345</v>
      </c>
      <c r="F161" s="2">
        <f t="shared" si="37"/>
        <v>250000</v>
      </c>
      <c r="G161" s="4">
        <f>+VLOOKUP(C161,Indicadores!B:C,2,FALSE)</f>
        <v>0.800009090909091</v>
      </c>
      <c r="H161" s="1" t="str">
        <f t="shared" si="38"/>
        <v>Cumple</v>
      </c>
      <c r="I161" s="4">
        <f>+VLOOKUP(C161,Indicadores!B:F,5,FALSE)</f>
        <v>1</v>
      </c>
      <c r="J161" s="1" t="str">
        <f t="shared" si="39"/>
        <v>Cumple</v>
      </c>
      <c r="K161" s="9">
        <f t="shared" si="34"/>
        <v>150000</v>
      </c>
      <c r="L161" s="4">
        <f>+VLOOKUP(C161,Indicadores!B:P,15,FALSE)</f>
        <v>0.42553333333333332</v>
      </c>
      <c r="M161" s="1" t="str">
        <f t="shared" si="40"/>
        <v>No Cumple</v>
      </c>
      <c r="N161" s="5">
        <f t="shared" si="47"/>
        <v>0</v>
      </c>
      <c r="O161" s="5">
        <f t="shared" si="35"/>
        <v>50000</v>
      </c>
      <c r="P161" s="4">
        <v>0.95</v>
      </c>
      <c r="Q161" s="5" t="str">
        <f t="shared" si="41"/>
        <v>Cumple</v>
      </c>
      <c r="R161" s="5">
        <f t="shared" si="42"/>
        <v>47500</v>
      </c>
      <c r="S161" s="5">
        <f t="shared" si="36"/>
        <v>50000</v>
      </c>
      <c r="T161" s="4">
        <f>+VLOOKUP(C161,Indicadores!B:V,21,FALSE)</f>
        <v>1</v>
      </c>
      <c r="U161" s="35" t="str">
        <f t="shared" si="43"/>
        <v>Cumple</v>
      </c>
      <c r="V161" s="2">
        <f t="shared" si="44"/>
        <v>50000</v>
      </c>
      <c r="W161" s="5" t="str">
        <f t="shared" si="45"/>
        <v>SI</v>
      </c>
      <c r="X161" s="5">
        <f t="shared" si="46"/>
        <v>97500</v>
      </c>
      <c r="Y161" s="1"/>
    </row>
    <row r="162" spans="2:25" x14ac:dyDescent="0.25">
      <c r="B162" s="1" t="s">
        <v>239</v>
      </c>
      <c r="C162" s="1" t="s">
        <v>167</v>
      </c>
      <c r="D162" s="1" t="s">
        <v>243</v>
      </c>
      <c r="E162" s="1" t="s">
        <v>345</v>
      </c>
      <c r="F162" s="2">
        <f t="shared" si="37"/>
        <v>250000</v>
      </c>
      <c r="G162" s="4">
        <f>+VLOOKUP(C162,Indicadores!B:C,2,FALSE)</f>
        <v>0.92803636363636377</v>
      </c>
      <c r="H162" s="1" t="str">
        <f t="shared" si="38"/>
        <v>Cumple</v>
      </c>
      <c r="I162" s="4">
        <f>+VLOOKUP(C162,Indicadores!B:F,5,FALSE)</f>
        <v>1</v>
      </c>
      <c r="J162" s="1" t="str">
        <f t="shared" si="39"/>
        <v>Cumple</v>
      </c>
      <c r="K162" s="9">
        <f t="shared" si="34"/>
        <v>150000</v>
      </c>
      <c r="L162" s="4">
        <f>+VLOOKUP(C162,Indicadores!B:P,15,FALSE)</f>
        <v>0.74670000000000003</v>
      </c>
      <c r="M162" s="1" t="str">
        <f t="shared" si="40"/>
        <v>No Cumple</v>
      </c>
      <c r="N162" s="5">
        <f t="shared" si="47"/>
        <v>0</v>
      </c>
      <c r="O162" s="5">
        <f t="shared" si="35"/>
        <v>50000</v>
      </c>
      <c r="P162" s="4">
        <v>0.95</v>
      </c>
      <c r="Q162" s="5" t="str">
        <f t="shared" si="41"/>
        <v>Cumple</v>
      </c>
      <c r="R162" s="5">
        <f t="shared" si="42"/>
        <v>47500</v>
      </c>
      <c r="S162" s="5">
        <f t="shared" si="36"/>
        <v>50000</v>
      </c>
      <c r="T162" s="4">
        <f>+VLOOKUP(C162,Indicadores!B:V,21,FALSE)</f>
        <v>0.5</v>
      </c>
      <c r="U162" s="35" t="str">
        <f t="shared" si="43"/>
        <v>No Cumple</v>
      </c>
      <c r="V162" s="2">
        <f t="shared" si="44"/>
        <v>0</v>
      </c>
      <c r="W162" s="5" t="str">
        <f t="shared" si="45"/>
        <v>SI</v>
      </c>
      <c r="X162" s="5">
        <f t="shared" si="46"/>
        <v>47500</v>
      </c>
      <c r="Y162" s="1"/>
    </row>
    <row r="163" spans="2:25" x14ac:dyDescent="0.25">
      <c r="B163" s="1" t="s">
        <v>239</v>
      </c>
      <c r="C163" s="1" t="s">
        <v>168</v>
      </c>
      <c r="D163" s="1" t="s">
        <v>243</v>
      </c>
      <c r="E163" s="1" t="s">
        <v>345</v>
      </c>
      <c r="F163" s="2">
        <f t="shared" si="37"/>
        <v>250000</v>
      </c>
      <c r="G163" s="4">
        <f>+VLOOKUP(C163,Indicadores!B:C,2,FALSE)</f>
        <v>0.78182727272727282</v>
      </c>
      <c r="H163" s="1" t="str">
        <f t="shared" si="38"/>
        <v>No Cumple</v>
      </c>
      <c r="I163" s="4">
        <f>+VLOOKUP(C163,Indicadores!B:F,5,FALSE)</f>
        <v>1</v>
      </c>
      <c r="J163" s="1" t="str">
        <f t="shared" si="39"/>
        <v>Cumple</v>
      </c>
      <c r="K163" s="9">
        <f t="shared" si="34"/>
        <v>150000</v>
      </c>
      <c r="L163" s="4">
        <f>+VLOOKUP(C163,Indicadores!B:P,15,FALSE)</f>
        <v>0.71110000000000007</v>
      </c>
      <c r="M163" s="1" t="str">
        <f t="shared" si="40"/>
        <v>No Cumple</v>
      </c>
      <c r="N163" s="5">
        <f t="shared" si="47"/>
        <v>0</v>
      </c>
      <c r="O163" s="5">
        <f t="shared" si="35"/>
        <v>50000</v>
      </c>
      <c r="P163" s="4">
        <v>0.95</v>
      </c>
      <c r="Q163" s="5" t="str">
        <f t="shared" si="41"/>
        <v>Cumple</v>
      </c>
      <c r="R163" s="5">
        <f t="shared" si="42"/>
        <v>47500</v>
      </c>
      <c r="S163" s="5">
        <f t="shared" si="36"/>
        <v>50000</v>
      </c>
      <c r="T163" s="4">
        <f>+VLOOKUP(C163,Indicadores!B:V,21,FALSE)</f>
        <v>0.98334999999999995</v>
      </c>
      <c r="U163" s="35" t="str">
        <f t="shared" si="43"/>
        <v>No Cumple</v>
      </c>
      <c r="V163" s="2">
        <f t="shared" si="44"/>
        <v>0</v>
      </c>
      <c r="W163" s="5" t="str">
        <f t="shared" si="45"/>
        <v>NO</v>
      </c>
      <c r="X163" s="5">
        <f t="shared" si="46"/>
        <v>0</v>
      </c>
      <c r="Y163" s="1"/>
    </row>
    <row r="164" spans="2:25" x14ac:dyDescent="0.25">
      <c r="B164" s="1" t="s">
        <v>239</v>
      </c>
      <c r="C164" s="1" t="s">
        <v>169</v>
      </c>
      <c r="D164" s="1" t="s">
        <v>243</v>
      </c>
      <c r="E164" s="1" t="s">
        <v>345</v>
      </c>
      <c r="F164" s="2">
        <f t="shared" si="37"/>
        <v>250000</v>
      </c>
      <c r="G164" s="4">
        <f>+VLOOKUP(C164,Indicadores!B:C,2,FALSE)</f>
        <v>0.73587272727272712</v>
      </c>
      <c r="H164" s="1" t="str">
        <f t="shared" si="38"/>
        <v>No Cumple</v>
      </c>
      <c r="I164" s="4">
        <f>+VLOOKUP(C164,Indicadores!B:F,5,FALSE)</f>
        <v>0.875</v>
      </c>
      <c r="J164" s="1" t="str">
        <f t="shared" si="39"/>
        <v>Cumple</v>
      </c>
      <c r="K164" s="9">
        <f t="shared" si="34"/>
        <v>150000</v>
      </c>
      <c r="L164" s="4">
        <f>+VLOOKUP(C164,Indicadores!B:P,15,FALSE)</f>
        <v>0.5067666666666667</v>
      </c>
      <c r="M164" s="1" t="str">
        <f t="shared" si="40"/>
        <v>No Cumple</v>
      </c>
      <c r="N164" s="5">
        <f t="shared" si="47"/>
        <v>0</v>
      </c>
      <c r="O164" s="5">
        <f t="shared" si="35"/>
        <v>50000</v>
      </c>
      <c r="P164" s="4">
        <v>0.95</v>
      </c>
      <c r="Q164" s="5" t="str">
        <f t="shared" si="41"/>
        <v>Cumple</v>
      </c>
      <c r="R164" s="5">
        <f t="shared" si="42"/>
        <v>47500</v>
      </c>
      <c r="S164" s="5">
        <f t="shared" si="36"/>
        <v>50000</v>
      </c>
      <c r="T164" s="4">
        <f>+VLOOKUP(C164,Indicadores!B:V,21,FALSE)</f>
        <v>0.45284999999999997</v>
      </c>
      <c r="U164" s="35" t="str">
        <f t="shared" si="43"/>
        <v>No Cumple</v>
      </c>
      <c r="V164" s="2">
        <f t="shared" si="44"/>
        <v>0</v>
      </c>
      <c r="W164" s="5" t="str">
        <f t="shared" si="45"/>
        <v>NO</v>
      </c>
      <c r="X164" s="5">
        <f t="shared" si="46"/>
        <v>0</v>
      </c>
      <c r="Y164" s="1"/>
    </row>
    <row r="165" spans="2:25" x14ac:dyDescent="0.25">
      <c r="B165" s="1" t="s">
        <v>239</v>
      </c>
      <c r="C165" s="1" t="s">
        <v>170</v>
      </c>
      <c r="D165" s="1" t="s">
        <v>243</v>
      </c>
      <c r="E165" s="1" t="s">
        <v>345</v>
      </c>
      <c r="F165" s="2">
        <f t="shared" si="37"/>
        <v>250000</v>
      </c>
      <c r="G165" s="4">
        <f>+VLOOKUP(C165,Indicadores!B:C,2,FALSE)</f>
        <v>0.8316636363636366</v>
      </c>
      <c r="H165" s="1" t="str">
        <f t="shared" si="38"/>
        <v>Cumple</v>
      </c>
      <c r="I165" s="4">
        <f>+VLOOKUP(C165,Indicadores!B:F,5,FALSE)</f>
        <v>1</v>
      </c>
      <c r="J165" s="1" t="str">
        <f t="shared" si="39"/>
        <v>Cumple</v>
      </c>
      <c r="K165" s="9">
        <f t="shared" si="34"/>
        <v>150000</v>
      </c>
      <c r="L165" s="4">
        <f>+VLOOKUP(C165,Indicadores!B:P,15,FALSE)</f>
        <v>0.68396666666666661</v>
      </c>
      <c r="M165" s="1" t="str">
        <f t="shared" si="40"/>
        <v>No Cumple</v>
      </c>
      <c r="N165" s="5">
        <f t="shared" si="47"/>
        <v>0</v>
      </c>
      <c r="O165" s="5">
        <f t="shared" si="35"/>
        <v>50000</v>
      </c>
      <c r="P165" s="4">
        <v>0.95</v>
      </c>
      <c r="Q165" s="5" t="str">
        <f t="shared" si="41"/>
        <v>Cumple</v>
      </c>
      <c r="R165" s="5">
        <f t="shared" si="42"/>
        <v>47500</v>
      </c>
      <c r="S165" s="5">
        <f t="shared" si="36"/>
        <v>50000</v>
      </c>
      <c r="T165" s="4">
        <f>+VLOOKUP(C165,Indicadores!B:V,21,FALSE)</f>
        <v>0.49075000000000002</v>
      </c>
      <c r="U165" s="35" t="str">
        <f t="shared" si="43"/>
        <v>No Cumple</v>
      </c>
      <c r="V165" s="2">
        <f t="shared" si="44"/>
        <v>0</v>
      </c>
      <c r="W165" s="5" t="str">
        <f t="shared" si="45"/>
        <v>SI</v>
      </c>
      <c r="X165" s="5">
        <f t="shared" si="46"/>
        <v>47500</v>
      </c>
      <c r="Y165" s="1"/>
    </row>
    <row r="166" spans="2:25" x14ac:dyDescent="0.25">
      <c r="B166" s="1" t="s">
        <v>239</v>
      </c>
      <c r="C166" s="1" t="s">
        <v>171</v>
      </c>
      <c r="D166" s="1" t="s">
        <v>243</v>
      </c>
      <c r="E166" s="1" t="s">
        <v>345</v>
      </c>
      <c r="F166" s="2">
        <f t="shared" si="37"/>
        <v>250000</v>
      </c>
      <c r="G166" s="4">
        <f>+VLOOKUP(C166,Indicadores!B:C,2,FALSE)</f>
        <v>0.86429090909090922</v>
      </c>
      <c r="H166" s="1" t="str">
        <f t="shared" si="38"/>
        <v>Cumple</v>
      </c>
      <c r="I166" s="4">
        <f>+VLOOKUP(C166,Indicadores!B:F,5,FALSE)</f>
        <v>1</v>
      </c>
      <c r="J166" s="1" t="str">
        <f t="shared" si="39"/>
        <v>Cumple</v>
      </c>
      <c r="K166" s="9">
        <f t="shared" ref="K166:K193" si="48">+$F$4*$K$3</f>
        <v>150000</v>
      </c>
      <c r="L166" s="4">
        <f>+VLOOKUP(C166,Indicadores!B:P,15,FALSE)</f>
        <v>0.82303333333333339</v>
      </c>
      <c r="M166" s="1" t="str">
        <f t="shared" si="40"/>
        <v>Cumple</v>
      </c>
      <c r="N166" s="5">
        <f t="shared" si="47"/>
        <v>120000</v>
      </c>
      <c r="O166" s="5">
        <f t="shared" ref="O166:O193" si="49">+$F$4*$O$3</f>
        <v>50000</v>
      </c>
      <c r="P166" s="4">
        <v>0.95</v>
      </c>
      <c r="Q166" s="5" t="str">
        <f t="shared" si="41"/>
        <v>Cumple</v>
      </c>
      <c r="R166" s="5">
        <f t="shared" si="42"/>
        <v>47500</v>
      </c>
      <c r="S166" s="5">
        <f t="shared" ref="S166:S193" si="50">+$F$4*$S$3</f>
        <v>50000</v>
      </c>
      <c r="T166" s="4">
        <f>+VLOOKUP(C166,Indicadores!B:V,21,FALSE)</f>
        <v>0.5</v>
      </c>
      <c r="U166" s="35" t="str">
        <f t="shared" si="43"/>
        <v>No Cumple</v>
      </c>
      <c r="V166" s="2">
        <f t="shared" si="44"/>
        <v>0</v>
      </c>
      <c r="W166" s="5" t="str">
        <f t="shared" si="45"/>
        <v>SI</v>
      </c>
      <c r="X166" s="5">
        <f t="shared" si="46"/>
        <v>167500</v>
      </c>
      <c r="Y166" s="1"/>
    </row>
    <row r="167" spans="2:25" x14ac:dyDescent="0.25">
      <c r="B167" s="1" t="s">
        <v>234</v>
      </c>
      <c r="C167" s="1" t="s">
        <v>172</v>
      </c>
      <c r="D167" s="1" t="s">
        <v>243</v>
      </c>
      <c r="E167" s="1" t="s">
        <v>346</v>
      </c>
      <c r="F167" s="2">
        <f t="shared" si="37"/>
        <v>250000</v>
      </c>
      <c r="G167" s="4">
        <f>+VLOOKUP(C167,Indicadores!B:C,2,FALSE)</f>
        <v>0.81072727272727263</v>
      </c>
      <c r="H167" s="1" t="str">
        <f t="shared" si="38"/>
        <v>Cumple</v>
      </c>
      <c r="I167" s="4">
        <f>+VLOOKUP(C167,Indicadores!B:F,5,FALSE)</f>
        <v>1</v>
      </c>
      <c r="J167" s="1" t="str">
        <f t="shared" si="39"/>
        <v>Cumple</v>
      </c>
      <c r="K167" s="9">
        <f t="shared" si="48"/>
        <v>150000</v>
      </c>
      <c r="L167" s="4">
        <f>+VLOOKUP(C167,Indicadores!B:P,15,FALSE)</f>
        <v>0.66489999999999994</v>
      </c>
      <c r="M167" s="1" t="str">
        <f t="shared" si="40"/>
        <v>No Cumple</v>
      </c>
      <c r="N167" s="5">
        <f t="shared" si="47"/>
        <v>0</v>
      </c>
      <c r="O167" s="5">
        <f t="shared" si="49"/>
        <v>50000</v>
      </c>
      <c r="P167" s="4">
        <v>0.95</v>
      </c>
      <c r="Q167" s="5" t="str">
        <f t="shared" si="41"/>
        <v>Cumple</v>
      </c>
      <c r="R167" s="5">
        <f t="shared" si="42"/>
        <v>47500</v>
      </c>
      <c r="S167" s="5">
        <f t="shared" si="50"/>
        <v>50000</v>
      </c>
      <c r="T167" s="4">
        <f>+VLOOKUP(C167,Indicadores!B:V,21,FALSE)</f>
        <v>0.5</v>
      </c>
      <c r="U167" s="35" t="str">
        <f t="shared" si="43"/>
        <v>No Cumple</v>
      </c>
      <c r="V167" s="2">
        <f t="shared" si="44"/>
        <v>0</v>
      </c>
      <c r="W167" s="5" t="str">
        <f t="shared" si="45"/>
        <v>SI</v>
      </c>
      <c r="X167" s="5">
        <f t="shared" si="46"/>
        <v>47500</v>
      </c>
      <c r="Y167" s="1"/>
    </row>
    <row r="168" spans="2:25" x14ac:dyDescent="0.25">
      <c r="B168" s="1" t="s">
        <v>234</v>
      </c>
      <c r="C168" s="1" t="s">
        <v>173</v>
      </c>
      <c r="D168" s="1" t="s">
        <v>243</v>
      </c>
      <c r="E168" s="1" t="s">
        <v>346</v>
      </c>
      <c r="F168" s="2">
        <f t="shared" si="37"/>
        <v>250000</v>
      </c>
      <c r="G168" s="4">
        <f>+VLOOKUP(C168,Indicadores!B:C,2,FALSE)</f>
        <v>0.76818181818181808</v>
      </c>
      <c r="H168" s="1" t="str">
        <f t="shared" si="38"/>
        <v>No Cumple</v>
      </c>
      <c r="I168" s="4">
        <f>+VLOOKUP(C168,Indicadores!B:F,5,FALSE)</f>
        <v>1</v>
      </c>
      <c r="J168" s="1" t="str">
        <f t="shared" si="39"/>
        <v>Cumple</v>
      </c>
      <c r="K168" s="9">
        <f t="shared" si="48"/>
        <v>150000</v>
      </c>
      <c r="L168" s="4">
        <f>+VLOOKUP(C168,Indicadores!B:P,15,FALSE)</f>
        <v>0.69446666666666668</v>
      </c>
      <c r="M168" s="1" t="str">
        <f t="shared" si="40"/>
        <v>No Cumple</v>
      </c>
      <c r="N168" s="5">
        <f t="shared" si="47"/>
        <v>0</v>
      </c>
      <c r="O168" s="5">
        <f t="shared" si="49"/>
        <v>50000</v>
      </c>
      <c r="P168" s="4">
        <v>0.95</v>
      </c>
      <c r="Q168" s="5" t="str">
        <f t="shared" si="41"/>
        <v>Cumple</v>
      </c>
      <c r="R168" s="5">
        <f t="shared" si="42"/>
        <v>47500</v>
      </c>
      <c r="S168" s="5">
        <f t="shared" si="50"/>
        <v>50000</v>
      </c>
      <c r="T168" s="4">
        <f>+VLOOKUP(C168,Indicadores!B:V,21,FALSE)</f>
        <v>0.5</v>
      </c>
      <c r="U168" s="35" t="str">
        <f t="shared" si="43"/>
        <v>No Cumple</v>
      </c>
      <c r="V168" s="2">
        <f t="shared" si="44"/>
        <v>0</v>
      </c>
      <c r="W168" s="5" t="str">
        <f t="shared" si="45"/>
        <v>NO</v>
      </c>
      <c r="X168" s="5">
        <f t="shared" si="46"/>
        <v>0</v>
      </c>
      <c r="Y168" s="1"/>
    </row>
    <row r="169" spans="2:25" x14ac:dyDescent="0.25">
      <c r="B169" s="1" t="s">
        <v>234</v>
      </c>
      <c r="C169" s="1" t="s">
        <v>174</v>
      </c>
      <c r="D169" s="1" t="s">
        <v>243</v>
      </c>
      <c r="E169" s="1" t="s">
        <v>346</v>
      </c>
      <c r="F169" s="2">
        <f t="shared" si="37"/>
        <v>250000</v>
      </c>
      <c r="G169" s="4">
        <f>+VLOOKUP(C169,Indicadores!B:C,2,FALSE)</f>
        <v>0.72473636363636362</v>
      </c>
      <c r="H169" s="1" t="str">
        <f t="shared" si="38"/>
        <v>No Cumple</v>
      </c>
      <c r="I169" s="4">
        <f>+VLOOKUP(C169,Indicadores!B:F,5,FALSE)</f>
        <v>1</v>
      </c>
      <c r="J169" s="1" t="str">
        <f t="shared" si="39"/>
        <v>Cumple</v>
      </c>
      <c r="K169" s="9">
        <f t="shared" si="48"/>
        <v>150000</v>
      </c>
      <c r="L169" s="4">
        <f>+VLOOKUP(C169,Indicadores!B:P,15,FALSE)</f>
        <v>0.46526666666666666</v>
      </c>
      <c r="M169" s="1" t="str">
        <f t="shared" si="40"/>
        <v>No Cumple</v>
      </c>
      <c r="N169" s="5">
        <f t="shared" si="47"/>
        <v>0</v>
      </c>
      <c r="O169" s="5">
        <f t="shared" si="49"/>
        <v>50000</v>
      </c>
      <c r="P169" s="4">
        <v>0.95</v>
      </c>
      <c r="Q169" s="5" t="str">
        <f t="shared" si="41"/>
        <v>Cumple</v>
      </c>
      <c r="R169" s="5">
        <f t="shared" si="42"/>
        <v>47500</v>
      </c>
      <c r="S169" s="5">
        <f t="shared" si="50"/>
        <v>50000</v>
      </c>
      <c r="T169" s="4">
        <f>+VLOOKUP(C169,Indicadores!B:V,21,FALSE)</f>
        <v>0.43459999999999999</v>
      </c>
      <c r="U169" s="35" t="str">
        <f t="shared" si="43"/>
        <v>No Cumple</v>
      </c>
      <c r="V169" s="2">
        <f t="shared" si="44"/>
        <v>0</v>
      </c>
      <c r="W169" s="5" t="str">
        <f t="shared" si="45"/>
        <v>NO</v>
      </c>
      <c r="X169" s="5">
        <f t="shared" si="46"/>
        <v>0</v>
      </c>
      <c r="Y169" s="1"/>
    </row>
    <row r="170" spans="2:25" x14ac:dyDescent="0.25">
      <c r="B170" s="1" t="s">
        <v>234</v>
      </c>
      <c r="C170" s="1" t="s">
        <v>175</v>
      </c>
      <c r="D170" s="1" t="s">
        <v>243</v>
      </c>
      <c r="E170" s="1" t="s">
        <v>346</v>
      </c>
      <c r="F170" s="2">
        <f t="shared" si="37"/>
        <v>250000</v>
      </c>
      <c r="G170" s="4">
        <f>+VLOOKUP(C170,Indicadores!B:C,2,FALSE)</f>
        <v>0.80481818181818177</v>
      </c>
      <c r="H170" s="1" t="str">
        <f t="shared" si="38"/>
        <v>Cumple</v>
      </c>
      <c r="I170" s="4">
        <f>+VLOOKUP(C170,Indicadores!B:F,5,FALSE)</f>
        <v>0.94117647058823528</v>
      </c>
      <c r="J170" s="1" t="str">
        <f t="shared" si="39"/>
        <v>Cumple</v>
      </c>
      <c r="K170" s="9">
        <f t="shared" si="48"/>
        <v>150000</v>
      </c>
      <c r="L170" s="4">
        <f>+VLOOKUP(C170,Indicadores!B:P,15,FALSE)</f>
        <v>0.6830666666666666</v>
      </c>
      <c r="M170" s="1" t="str">
        <f t="shared" si="40"/>
        <v>No Cumple</v>
      </c>
      <c r="N170" s="5">
        <f t="shared" si="47"/>
        <v>0</v>
      </c>
      <c r="O170" s="5">
        <f t="shared" si="49"/>
        <v>50000</v>
      </c>
      <c r="P170" s="4">
        <v>0.95</v>
      </c>
      <c r="Q170" s="5" t="str">
        <f t="shared" si="41"/>
        <v>Cumple</v>
      </c>
      <c r="R170" s="5">
        <f t="shared" si="42"/>
        <v>47500</v>
      </c>
      <c r="S170" s="5">
        <f t="shared" si="50"/>
        <v>50000</v>
      </c>
      <c r="T170" s="4">
        <f>+VLOOKUP(C170,Indicadores!B:V,21,FALSE)</f>
        <v>0.5</v>
      </c>
      <c r="U170" s="35" t="str">
        <f t="shared" si="43"/>
        <v>No Cumple</v>
      </c>
      <c r="V170" s="2">
        <f t="shared" si="44"/>
        <v>0</v>
      </c>
      <c r="W170" s="5" t="str">
        <f t="shared" si="45"/>
        <v>SI</v>
      </c>
      <c r="X170" s="5">
        <f t="shared" si="46"/>
        <v>47500</v>
      </c>
      <c r="Y170" s="1"/>
    </row>
    <row r="171" spans="2:25" x14ac:dyDescent="0.25">
      <c r="B171" s="1" t="s">
        <v>234</v>
      </c>
      <c r="C171" s="1" t="s">
        <v>176</v>
      </c>
      <c r="D171" s="1" t="s">
        <v>243</v>
      </c>
      <c r="E171" s="1" t="s">
        <v>346</v>
      </c>
      <c r="F171" s="2">
        <f t="shared" si="37"/>
        <v>250000</v>
      </c>
      <c r="G171" s="4">
        <f>+VLOOKUP(C171,Indicadores!B:C,2,FALSE)</f>
        <v>0.80733636363636374</v>
      </c>
      <c r="H171" s="1" t="str">
        <f t="shared" si="38"/>
        <v>Cumple</v>
      </c>
      <c r="I171" s="4">
        <f>+VLOOKUP(C171,Indicadores!B:F,5,FALSE)</f>
        <v>0.95</v>
      </c>
      <c r="J171" s="1" t="str">
        <f t="shared" si="39"/>
        <v>Cumple</v>
      </c>
      <c r="K171" s="9">
        <f t="shared" si="48"/>
        <v>150000</v>
      </c>
      <c r="L171" s="4">
        <f>+VLOOKUP(C171,Indicadores!B:P,15,FALSE)</f>
        <v>0.46416666666666662</v>
      </c>
      <c r="M171" s="1" t="str">
        <f t="shared" si="40"/>
        <v>No Cumple</v>
      </c>
      <c r="N171" s="5">
        <f t="shared" si="47"/>
        <v>0</v>
      </c>
      <c r="O171" s="5">
        <f t="shared" si="49"/>
        <v>50000</v>
      </c>
      <c r="P171" s="4">
        <v>0.95</v>
      </c>
      <c r="Q171" s="5" t="str">
        <f t="shared" si="41"/>
        <v>Cumple</v>
      </c>
      <c r="R171" s="5">
        <f t="shared" si="42"/>
        <v>47500</v>
      </c>
      <c r="S171" s="5">
        <f t="shared" si="50"/>
        <v>50000</v>
      </c>
      <c r="T171" s="4">
        <f>+VLOOKUP(C171,Indicadores!B:V,21,FALSE)</f>
        <v>0.4965</v>
      </c>
      <c r="U171" s="35" t="str">
        <f t="shared" si="43"/>
        <v>No Cumple</v>
      </c>
      <c r="V171" s="2">
        <f t="shared" si="44"/>
        <v>0</v>
      </c>
      <c r="W171" s="5" t="str">
        <f t="shared" si="45"/>
        <v>SI</v>
      </c>
      <c r="X171" s="5">
        <f t="shared" si="46"/>
        <v>47500</v>
      </c>
      <c r="Y171" s="1"/>
    </row>
    <row r="172" spans="2:25" x14ac:dyDescent="0.25">
      <c r="B172" s="1" t="s">
        <v>234</v>
      </c>
      <c r="C172" s="1" t="s">
        <v>177</v>
      </c>
      <c r="D172" s="1" t="s">
        <v>243</v>
      </c>
      <c r="E172" s="1" t="s">
        <v>346</v>
      </c>
      <c r="F172" s="2">
        <f t="shared" si="37"/>
        <v>250000</v>
      </c>
      <c r="G172" s="4">
        <f>+VLOOKUP(C172,Indicadores!B:C,2,FALSE)</f>
        <v>0.78473636363636379</v>
      </c>
      <c r="H172" s="1" t="str">
        <f t="shared" si="38"/>
        <v>No Cumple</v>
      </c>
      <c r="I172" s="4">
        <f>+VLOOKUP(C172,Indicadores!B:F,5,FALSE)</f>
        <v>0.93333333333333335</v>
      </c>
      <c r="J172" s="1" t="str">
        <f t="shared" si="39"/>
        <v>Cumple</v>
      </c>
      <c r="K172" s="9">
        <f t="shared" si="48"/>
        <v>150000</v>
      </c>
      <c r="L172" s="4">
        <f>+VLOOKUP(C172,Indicadores!B:P,15,FALSE)</f>
        <v>0.69136666666666668</v>
      </c>
      <c r="M172" s="1" t="str">
        <f t="shared" si="40"/>
        <v>No Cumple</v>
      </c>
      <c r="N172" s="5">
        <f t="shared" si="47"/>
        <v>0</v>
      </c>
      <c r="O172" s="5">
        <f t="shared" si="49"/>
        <v>50000</v>
      </c>
      <c r="P172" s="4">
        <v>0.95</v>
      </c>
      <c r="Q172" s="5" t="str">
        <f t="shared" si="41"/>
        <v>Cumple</v>
      </c>
      <c r="R172" s="5">
        <f t="shared" si="42"/>
        <v>47500</v>
      </c>
      <c r="S172" s="5">
        <f t="shared" si="50"/>
        <v>50000</v>
      </c>
      <c r="T172" s="4">
        <f>+VLOOKUP(C172,Indicadores!B:V,21,FALSE)</f>
        <v>0.5</v>
      </c>
      <c r="U172" s="35" t="str">
        <f t="shared" si="43"/>
        <v>No Cumple</v>
      </c>
      <c r="V172" s="2">
        <f t="shared" si="44"/>
        <v>0</v>
      </c>
      <c r="W172" s="5" t="str">
        <f t="shared" si="45"/>
        <v>NO</v>
      </c>
      <c r="X172" s="5">
        <f t="shared" si="46"/>
        <v>0</v>
      </c>
      <c r="Y172" s="1"/>
    </row>
    <row r="173" spans="2:25" x14ac:dyDescent="0.25">
      <c r="B173" s="1" t="s">
        <v>234</v>
      </c>
      <c r="C173" s="1" t="s">
        <v>178</v>
      </c>
      <c r="D173" s="1" t="s">
        <v>243</v>
      </c>
      <c r="E173" s="1" t="s">
        <v>346</v>
      </c>
      <c r="F173" s="2">
        <f t="shared" si="37"/>
        <v>250000</v>
      </c>
      <c r="G173" s="4">
        <f>+VLOOKUP(C173,Indicadores!B:C,2,FALSE)</f>
        <v>0.7593545454545455</v>
      </c>
      <c r="H173" s="1" t="str">
        <f t="shared" si="38"/>
        <v>No Cumple</v>
      </c>
      <c r="I173" s="4">
        <f>+VLOOKUP(C173,Indicadores!B:F,5,FALSE)</f>
        <v>0.875</v>
      </c>
      <c r="J173" s="1" t="str">
        <f t="shared" si="39"/>
        <v>Cumple</v>
      </c>
      <c r="K173" s="9">
        <f t="shared" si="48"/>
        <v>150000</v>
      </c>
      <c r="L173" s="4">
        <f>+VLOOKUP(C173,Indicadores!B:P,15,FALSE)</f>
        <v>0.46690000000000004</v>
      </c>
      <c r="M173" s="1" t="str">
        <f t="shared" si="40"/>
        <v>No Cumple</v>
      </c>
      <c r="N173" s="5">
        <f t="shared" si="47"/>
        <v>0</v>
      </c>
      <c r="O173" s="5">
        <f t="shared" si="49"/>
        <v>50000</v>
      </c>
      <c r="P173" s="4">
        <v>0.95</v>
      </c>
      <c r="Q173" s="5" t="str">
        <f t="shared" si="41"/>
        <v>Cumple</v>
      </c>
      <c r="R173" s="5">
        <f t="shared" si="42"/>
        <v>47500</v>
      </c>
      <c r="S173" s="5">
        <f t="shared" si="50"/>
        <v>50000</v>
      </c>
      <c r="T173" s="4">
        <f>+VLOOKUP(C173,Indicadores!B:V,21,FALSE)</f>
        <v>0.49264999999999998</v>
      </c>
      <c r="U173" s="35" t="str">
        <f t="shared" si="43"/>
        <v>No Cumple</v>
      </c>
      <c r="V173" s="2">
        <f t="shared" si="44"/>
        <v>0</v>
      </c>
      <c r="W173" s="5" t="str">
        <f t="shared" si="45"/>
        <v>NO</v>
      </c>
      <c r="X173" s="5">
        <f t="shared" si="46"/>
        <v>0</v>
      </c>
      <c r="Y173" s="1"/>
    </row>
    <row r="174" spans="2:25" x14ac:dyDescent="0.25">
      <c r="B174" s="1" t="s">
        <v>234</v>
      </c>
      <c r="C174" s="1" t="s">
        <v>179</v>
      </c>
      <c r="D174" s="1" t="s">
        <v>243</v>
      </c>
      <c r="E174" s="1" t="s">
        <v>346</v>
      </c>
      <c r="F174" s="2">
        <f t="shared" si="37"/>
        <v>250000</v>
      </c>
      <c r="G174" s="4">
        <f>+VLOOKUP(C174,Indicadores!B:C,2,FALSE)</f>
        <v>0.8062454545454546</v>
      </c>
      <c r="H174" s="1" t="str">
        <f t="shared" si="38"/>
        <v>Cumple</v>
      </c>
      <c r="I174" s="4">
        <f>+VLOOKUP(C174,Indicadores!B:F,5,FALSE)</f>
        <v>0.8571428571428571</v>
      </c>
      <c r="J174" s="1" t="str">
        <f t="shared" si="39"/>
        <v>Cumple</v>
      </c>
      <c r="K174" s="9">
        <f t="shared" si="48"/>
        <v>150000</v>
      </c>
      <c r="L174" s="4">
        <f>+VLOOKUP(C174,Indicadores!B:P,15,FALSE)</f>
        <v>0.73043333333333338</v>
      </c>
      <c r="M174" s="1" t="str">
        <f t="shared" si="40"/>
        <v>No Cumple</v>
      </c>
      <c r="N174" s="5">
        <f t="shared" si="47"/>
        <v>0</v>
      </c>
      <c r="O174" s="5">
        <f t="shared" si="49"/>
        <v>50000</v>
      </c>
      <c r="P174" s="4">
        <v>0.95</v>
      </c>
      <c r="Q174" s="5" t="str">
        <f t="shared" si="41"/>
        <v>Cumple</v>
      </c>
      <c r="R174" s="5">
        <f t="shared" si="42"/>
        <v>47500</v>
      </c>
      <c r="S174" s="5">
        <f t="shared" si="50"/>
        <v>50000</v>
      </c>
      <c r="T174" s="4">
        <f>+VLOOKUP(C174,Indicadores!B:V,21,FALSE)</f>
        <v>0.49180000000000001</v>
      </c>
      <c r="U174" s="35" t="str">
        <f t="shared" si="43"/>
        <v>No Cumple</v>
      </c>
      <c r="V174" s="2">
        <f t="shared" si="44"/>
        <v>0</v>
      </c>
      <c r="W174" s="5" t="str">
        <f t="shared" si="45"/>
        <v>SI</v>
      </c>
      <c r="X174" s="5">
        <f t="shared" si="46"/>
        <v>47500</v>
      </c>
      <c r="Y174" s="1"/>
    </row>
    <row r="175" spans="2:25" x14ac:dyDescent="0.25">
      <c r="B175" s="1" t="s">
        <v>234</v>
      </c>
      <c r="C175" s="1" t="s">
        <v>180</v>
      </c>
      <c r="D175" s="1" t="s">
        <v>243</v>
      </c>
      <c r="E175" s="1" t="s">
        <v>346</v>
      </c>
      <c r="F175" s="2">
        <f t="shared" si="37"/>
        <v>250000</v>
      </c>
      <c r="G175" s="4">
        <f>+VLOOKUP(C175,Indicadores!B:C,2,FALSE)</f>
        <v>0.71885454545454541</v>
      </c>
      <c r="H175" s="1" t="str">
        <f t="shared" si="38"/>
        <v>No Cumple</v>
      </c>
      <c r="I175" s="4">
        <f>+VLOOKUP(C175,Indicadores!B:F,5,FALSE)</f>
        <v>0.8571428571428571</v>
      </c>
      <c r="J175" s="1" t="str">
        <f t="shared" si="39"/>
        <v>Cumple</v>
      </c>
      <c r="K175" s="9">
        <f t="shared" si="48"/>
        <v>150000</v>
      </c>
      <c r="L175" s="4">
        <f>+VLOOKUP(C175,Indicadores!B:P,15,FALSE)</f>
        <v>0.74230000000000007</v>
      </c>
      <c r="M175" s="1" t="str">
        <f t="shared" si="40"/>
        <v>No Cumple</v>
      </c>
      <c r="N175" s="5">
        <f t="shared" si="47"/>
        <v>0</v>
      </c>
      <c r="O175" s="5">
        <f t="shared" si="49"/>
        <v>50000</v>
      </c>
      <c r="P175" s="4">
        <v>0.95</v>
      </c>
      <c r="Q175" s="5" t="str">
        <f t="shared" si="41"/>
        <v>Cumple</v>
      </c>
      <c r="R175" s="5">
        <f t="shared" si="42"/>
        <v>47500</v>
      </c>
      <c r="S175" s="5">
        <f t="shared" si="50"/>
        <v>50000</v>
      </c>
      <c r="T175" s="4">
        <f>+VLOOKUP(C175,Indicadores!B:V,21,FALSE)</f>
        <v>0.47220000000000001</v>
      </c>
      <c r="U175" s="35" t="str">
        <f t="shared" si="43"/>
        <v>No Cumple</v>
      </c>
      <c r="V175" s="2">
        <f t="shared" si="44"/>
        <v>0</v>
      </c>
      <c r="W175" s="5" t="str">
        <f t="shared" si="45"/>
        <v>NO</v>
      </c>
      <c r="X175" s="5">
        <f t="shared" si="46"/>
        <v>0</v>
      </c>
      <c r="Y175" s="1"/>
    </row>
    <row r="176" spans="2:25" x14ac:dyDescent="0.25">
      <c r="B176" s="1" t="s">
        <v>234</v>
      </c>
      <c r="C176" s="1" t="s">
        <v>181</v>
      </c>
      <c r="D176" s="1" t="s">
        <v>243</v>
      </c>
      <c r="E176" s="1" t="s">
        <v>346</v>
      </c>
      <c r="F176" s="2">
        <f t="shared" si="37"/>
        <v>250000</v>
      </c>
      <c r="G176" s="4">
        <f>+VLOOKUP(C176,Indicadores!B:C,2,FALSE)</f>
        <v>0.76791818181818183</v>
      </c>
      <c r="H176" s="1" t="str">
        <f t="shared" si="38"/>
        <v>No Cumple</v>
      </c>
      <c r="I176" s="4">
        <f>+VLOOKUP(C176,Indicadores!B:F,5,FALSE)</f>
        <v>0.93333333333333335</v>
      </c>
      <c r="J176" s="1" t="str">
        <f t="shared" si="39"/>
        <v>Cumple</v>
      </c>
      <c r="K176" s="9">
        <f t="shared" si="48"/>
        <v>150000</v>
      </c>
      <c r="L176" s="4">
        <f>+VLOOKUP(C176,Indicadores!B:P,15,FALSE)</f>
        <v>0.65973333333333339</v>
      </c>
      <c r="M176" s="1" t="str">
        <f t="shared" si="40"/>
        <v>No Cumple</v>
      </c>
      <c r="N176" s="5">
        <f t="shared" si="47"/>
        <v>0</v>
      </c>
      <c r="O176" s="5">
        <f t="shared" si="49"/>
        <v>50000</v>
      </c>
      <c r="P176" s="4">
        <v>0.95</v>
      </c>
      <c r="Q176" s="5" t="str">
        <f t="shared" si="41"/>
        <v>Cumple</v>
      </c>
      <c r="R176" s="5">
        <f t="shared" si="42"/>
        <v>47500</v>
      </c>
      <c r="S176" s="5">
        <f t="shared" si="50"/>
        <v>50000</v>
      </c>
      <c r="T176" s="4">
        <f>+VLOOKUP(C176,Indicadores!B:V,21,FALSE)</f>
        <v>0.49469999999999997</v>
      </c>
      <c r="U176" s="35" t="str">
        <f t="shared" si="43"/>
        <v>No Cumple</v>
      </c>
      <c r="V176" s="2">
        <f t="shared" si="44"/>
        <v>0</v>
      </c>
      <c r="W176" s="5" t="str">
        <f t="shared" si="45"/>
        <v>NO</v>
      </c>
      <c r="X176" s="5">
        <f t="shared" si="46"/>
        <v>0</v>
      </c>
      <c r="Y176" s="1"/>
    </row>
    <row r="177" spans="2:25" x14ac:dyDescent="0.25">
      <c r="B177" s="1" t="s">
        <v>234</v>
      </c>
      <c r="C177" s="1" t="s">
        <v>182</v>
      </c>
      <c r="D177" s="1" t="s">
        <v>243</v>
      </c>
      <c r="E177" s="1" t="s">
        <v>346</v>
      </c>
      <c r="F177" s="2">
        <f t="shared" si="37"/>
        <v>250000</v>
      </c>
      <c r="G177" s="4">
        <f>+VLOOKUP(C177,Indicadores!B:C,2,FALSE)</f>
        <v>0.80380909090909103</v>
      </c>
      <c r="H177" s="1" t="str">
        <f t="shared" si="38"/>
        <v>Cumple</v>
      </c>
      <c r="I177" s="4">
        <f>+VLOOKUP(C177,Indicadores!B:F,5,FALSE)</f>
        <v>0.8571428571428571</v>
      </c>
      <c r="J177" s="1" t="str">
        <f t="shared" si="39"/>
        <v>Cumple</v>
      </c>
      <c r="K177" s="9">
        <f t="shared" si="48"/>
        <v>150000</v>
      </c>
      <c r="L177" s="4">
        <f>+VLOOKUP(C177,Indicadores!B:P,15,FALSE)</f>
        <v>0.54759999999999998</v>
      </c>
      <c r="M177" s="1" t="str">
        <f t="shared" si="40"/>
        <v>No Cumple</v>
      </c>
      <c r="N177" s="5">
        <f t="shared" si="47"/>
        <v>0</v>
      </c>
      <c r="O177" s="5">
        <f t="shared" si="49"/>
        <v>50000</v>
      </c>
      <c r="P177" s="4">
        <v>0.95</v>
      </c>
      <c r="Q177" s="5" t="str">
        <f t="shared" si="41"/>
        <v>Cumple</v>
      </c>
      <c r="R177" s="5">
        <f t="shared" si="42"/>
        <v>47500</v>
      </c>
      <c r="S177" s="5">
        <f t="shared" si="50"/>
        <v>50000</v>
      </c>
      <c r="T177" s="4">
        <f>+VLOOKUP(C177,Indicadores!B:V,21,FALSE)</f>
        <v>0.49585000000000001</v>
      </c>
      <c r="U177" s="35" t="str">
        <f t="shared" si="43"/>
        <v>No Cumple</v>
      </c>
      <c r="V177" s="2">
        <f t="shared" si="44"/>
        <v>0</v>
      </c>
      <c r="W177" s="5" t="str">
        <f t="shared" si="45"/>
        <v>SI</v>
      </c>
      <c r="X177" s="5">
        <f t="shared" si="46"/>
        <v>47500</v>
      </c>
      <c r="Y177" s="1"/>
    </row>
    <row r="178" spans="2:25" x14ac:dyDescent="0.25">
      <c r="B178" s="1" t="s">
        <v>233</v>
      </c>
      <c r="C178" s="1" t="s">
        <v>183</v>
      </c>
      <c r="D178" s="1" t="s">
        <v>242</v>
      </c>
      <c r="E178" s="1" t="s">
        <v>302</v>
      </c>
      <c r="F178" s="2">
        <f t="shared" si="37"/>
        <v>250000</v>
      </c>
      <c r="G178" s="4">
        <f>+VLOOKUP(C178,Indicadores!B:C,2,FALSE)</f>
        <v>0.72020909090909091</v>
      </c>
      <c r="H178" s="1" t="str">
        <f t="shared" si="38"/>
        <v>No Cumple</v>
      </c>
      <c r="I178" s="4">
        <f>+VLOOKUP(C178,Indicadores!B:F,5,FALSE)</f>
        <v>1</v>
      </c>
      <c r="J178" s="1" t="str">
        <f t="shared" si="39"/>
        <v>Cumple</v>
      </c>
      <c r="K178" s="9">
        <f t="shared" si="48"/>
        <v>150000</v>
      </c>
      <c r="L178" s="4">
        <f>+VLOOKUP(C178,Indicadores!B:P,15,FALSE)</f>
        <v>0.32529999999999998</v>
      </c>
      <c r="M178" s="1" t="str">
        <f t="shared" si="40"/>
        <v>No Cumple</v>
      </c>
      <c r="N178" s="5">
        <f t="shared" si="47"/>
        <v>0</v>
      </c>
      <c r="O178" s="5">
        <f t="shared" si="49"/>
        <v>50000</v>
      </c>
      <c r="P178" s="4">
        <v>0.95</v>
      </c>
      <c r="Q178" s="5" t="str">
        <f t="shared" si="41"/>
        <v>Cumple</v>
      </c>
      <c r="R178" s="5">
        <f t="shared" si="42"/>
        <v>47500</v>
      </c>
      <c r="S178" s="5">
        <f t="shared" si="50"/>
        <v>50000</v>
      </c>
      <c r="T178" s="4">
        <f>+VLOOKUP(C178,Indicadores!B:V,21,FALSE)</f>
        <v>0.4889</v>
      </c>
      <c r="U178" s="35" t="str">
        <f t="shared" si="43"/>
        <v>No Cumple</v>
      </c>
      <c r="V178" s="2">
        <f t="shared" si="44"/>
        <v>0</v>
      </c>
      <c r="W178" s="5" t="str">
        <f t="shared" si="45"/>
        <v>NO</v>
      </c>
      <c r="X178" s="5">
        <f t="shared" si="46"/>
        <v>0</v>
      </c>
      <c r="Y178" s="1"/>
    </row>
    <row r="179" spans="2:25" x14ac:dyDescent="0.25">
      <c r="B179" s="1" t="s">
        <v>233</v>
      </c>
      <c r="C179" s="1" t="s">
        <v>184</v>
      </c>
      <c r="D179" s="1" t="s">
        <v>242</v>
      </c>
      <c r="E179" s="1" t="s">
        <v>302</v>
      </c>
      <c r="F179" s="2">
        <f t="shared" si="37"/>
        <v>250000</v>
      </c>
      <c r="G179" s="4">
        <f>+VLOOKUP(C179,Indicadores!B:C,2,FALSE)</f>
        <v>0.75001818181818181</v>
      </c>
      <c r="H179" s="1" t="str">
        <f t="shared" si="38"/>
        <v>No Cumple</v>
      </c>
      <c r="I179" s="4">
        <f>+VLOOKUP(C179,Indicadores!B:F,5,FALSE)</f>
        <v>0.66666666666666663</v>
      </c>
      <c r="J179" s="1" t="str">
        <f t="shared" si="39"/>
        <v>No Cumple</v>
      </c>
      <c r="K179" s="9">
        <f t="shared" si="48"/>
        <v>150000</v>
      </c>
      <c r="L179" s="4">
        <f>+VLOOKUP(C179,Indicadores!B:P,15,FALSE)</f>
        <v>0.3571333333333333</v>
      </c>
      <c r="M179" s="1" t="str">
        <f t="shared" si="40"/>
        <v>No Cumple</v>
      </c>
      <c r="N179" s="5">
        <f t="shared" si="47"/>
        <v>0</v>
      </c>
      <c r="O179" s="5">
        <f t="shared" si="49"/>
        <v>50000</v>
      </c>
      <c r="P179" s="4">
        <v>0.95</v>
      </c>
      <c r="Q179" s="5" t="str">
        <f t="shared" si="41"/>
        <v>Cumple</v>
      </c>
      <c r="R179" s="5">
        <f t="shared" si="42"/>
        <v>47500</v>
      </c>
      <c r="S179" s="5">
        <f t="shared" si="50"/>
        <v>50000</v>
      </c>
      <c r="T179" s="4">
        <f>+VLOOKUP(C179,Indicadores!B:V,21,FALSE)</f>
        <v>0.48959999999999998</v>
      </c>
      <c r="U179" s="35" t="str">
        <f t="shared" si="43"/>
        <v>No Cumple</v>
      </c>
      <c r="V179" s="2">
        <f t="shared" si="44"/>
        <v>0</v>
      </c>
      <c r="W179" s="5" t="str">
        <f t="shared" si="45"/>
        <v>NO</v>
      </c>
      <c r="X179" s="5">
        <f t="shared" si="46"/>
        <v>0</v>
      </c>
      <c r="Y179" s="1"/>
    </row>
    <row r="180" spans="2:25" x14ac:dyDescent="0.25">
      <c r="B180" s="1" t="s">
        <v>233</v>
      </c>
      <c r="C180" s="1" t="s">
        <v>185</v>
      </c>
      <c r="D180" s="1" t="s">
        <v>242</v>
      </c>
      <c r="E180" s="1" t="s">
        <v>302</v>
      </c>
      <c r="F180" s="2">
        <f t="shared" si="37"/>
        <v>250000</v>
      </c>
      <c r="G180" s="4">
        <f>+VLOOKUP(C180,Indicadores!B:C,2,FALSE)</f>
        <v>0.81818181818181823</v>
      </c>
      <c r="H180" s="1" t="str">
        <f t="shared" si="38"/>
        <v>Cumple</v>
      </c>
      <c r="I180" s="4">
        <f>+VLOOKUP(C180,Indicadores!B:F,5,FALSE)</f>
        <v>0.5</v>
      </c>
      <c r="J180" s="1" t="str">
        <f t="shared" si="39"/>
        <v>No Cumple</v>
      </c>
      <c r="K180" s="9">
        <f t="shared" si="48"/>
        <v>150000</v>
      </c>
      <c r="L180" s="4">
        <f>+VLOOKUP(C180,Indicadores!B:P,15,FALSE)</f>
        <v>0.33333333333333331</v>
      </c>
      <c r="M180" s="1" t="str">
        <f t="shared" si="40"/>
        <v>No Cumple</v>
      </c>
      <c r="N180" s="5">
        <f t="shared" si="47"/>
        <v>0</v>
      </c>
      <c r="O180" s="5">
        <f t="shared" si="49"/>
        <v>50000</v>
      </c>
      <c r="P180" s="4">
        <v>0.95</v>
      </c>
      <c r="Q180" s="5" t="str">
        <f t="shared" si="41"/>
        <v>Cumple</v>
      </c>
      <c r="R180" s="5">
        <f t="shared" si="42"/>
        <v>47500</v>
      </c>
      <c r="S180" s="5">
        <f t="shared" si="50"/>
        <v>50000</v>
      </c>
      <c r="T180" s="4">
        <f>+VLOOKUP(C180,Indicadores!B:V,21,FALSE)</f>
        <v>1</v>
      </c>
      <c r="U180" s="35" t="str">
        <f t="shared" si="43"/>
        <v>Cumple</v>
      </c>
      <c r="V180" s="2">
        <f t="shared" si="44"/>
        <v>50000</v>
      </c>
      <c r="W180" s="5" t="str">
        <f t="shared" si="45"/>
        <v>NO</v>
      </c>
      <c r="X180" s="5">
        <f t="shared" si="46"/>
        <v>0</v>
      </c>
      <c r="Y180" s="1"/>
    </row>
    <row r="181" spans="2:25" x14ac:dyDescent="0.25">
      <c r="B181" s="1" t="s">
        <v>233</v>
      </c>
      <c r="C181" s="1" t="s">
        <v>186</v>
      </c>
      <c r="D181" s="1" t="s">
        <v>242</v>
      </c>
      <c r="E181" s="1" t="s">
        <v>302</v>
      </c>
      <c r="F181" s="2">
        <f t="shared" si="37"/>
        <v>250000</v>
      </c>
      <c r="G181" s="4">
        <f>+VLOOKUP(C181,Indicadores!B:C,2,FALSE)</f>
        <v>0.77272727272727271</v>
      </c>
      <c r="H181" s="1" t="str">
        <f t="shared" si="38"/>
        <v>No Cumple</v>
      </c>
      <c r="I181" s="4">
        <f>+VLOOKUP(C181,Indicadores!B:F,5,FALSE)</f>
        <v>0.88235294117647056</v>
      </c>
      <c r="J181" s="1" t="str">
        <f t="shared" si="39"/>
        <v>Cumple</v>
      </c>
      <c r="K181" s="9">
        <f t="shared" si="48"/>
        <v>150000</v>
      </c>
      <c r="L181" s="4">
        <f>+VLOOKUP(C181,Indicadores!B:P,15,FALSE)</f>
        <v>0.46376666666666666</v>
      </c>
      <c r="M181" s="1" t="str">
        <f t="shared" si="40"/>
        <v>No Cumple</v>
      </c>
      <c r="N181" s="5">
        <f t="shared" si="47"/>
        <v>0</v>
      </c>
      <c r="O181" s="5">
        <f t="shared" si="49"/>
        <v>50000</v>
      </c>
      <c r="P181" s="4">
        <v>0.95</v>
      </c>
      <c r="Q181" s="5" t="str">
        <f t="shared" si="41"/>
        <v>Cumple</v>
      </c>
      <c r="R181" s="5">
        <f t="shared" si="42"/>
        <v>47500</v>
      </c>
      <c r="S181" s="5">
        <f t="shared" si="50"/>
        <v>50000</v>
      </c>
      <c r="T181" s="4">
        <f>+VLOOKUP(C181,Indicadores!B:V,21,FALSE)</f>
        <v>0.5</v>
      </c>
      <c r="U181" s="35" t="str">
        <f t="shared" si="43"/>
        <v>No Cumple</v>
      </c>
      <c r="V181" s="2">
        <f t="shared" si="44"/>
        <v>0</v>
      </c>
      <c r="W181" s="5" t="str">
        <f t="shared" si="45"/>
        <v>NO</v>
      </c>
      <c r="X181" s="5">
        <f t="shared" si="46"/>
        <v>0</v>
      </c>
      <c r="Y181" s="1"/>
    </row>
    <row r="182" spans="2:25" x14ac:dyDescent="0.25">
      <c r="B182" s="1" t="s">
        <v>233</v>
      </c>
      <c r="C182" s="1" t="s">
        <v>187</v>
      </c>
      <c r="D182" s="1" t="s">
        <v>242</v>
      </c>
      <c r="E182" s="1" t="s">
        <v>302</v>
      </c>
      <c r="F182" s="2">
        <f t="shared" si="37"/>
        <v>250000</v>
      </c>
      <c r="G182" s="4">
        <f>+VLOOKUP(C182,Indicadores!B:C,2,FALSE)</f>
        <v>0.78738181818181829</v>
      </c>
      <c r="H182" s="1" t="str">
        <f t="shared" si="38"/>
        <v>No Cumple</v>
      </c>
      <c r="I182" s="4">
        <f>+VLOOKUP(C182,Indicadores!B:F,5,FALSE)</f>
        <v>0.68181818181818177</v>
      </c>
      <c r="J182" s="1" t="str">
        <f t="shared" si="39"/>
        <v>No Cumple</v>
      </c>
      <c r="K182" s="9">
        <f t="shared" si="48"/>
        <v>150000</v>
      </c>
      <c r="L182" s="4">
        <f>+VLOOKUP(C182,Indicadores!B:P,15,FALSE)</f>
        <v>0.41799999999999998</v>
      </c>
      <c r="M182" s="1" t="str">
        <f t="shared" si="40"/>
        <v>No Cumple</v>
      </c>
      <c r="N182" s="5">
        <f t="shared" si="47"/>
        <v>0</v>
      </c>
      <c r="O182" s="5">
        <f t="shared" si="49"/>
        <v>50000</v>
      </c>
      <c r="P182" s="4">
        <v>0.95</v>
      </c>
      <c r="Q182" s="5" t="str">
        <f t="shared" si="41"/>
        <v>Cumple</v>
      </c>
      <c r="R182" s="5">
        <f t="shared" si="42"/>
        <v>47500</v>
      </c>
      <c r="S182" s="5">
        <f t="shared" si="50"/>
        <v>50000</v>
      </c>
      <c r="T182" s="4">
        <f>+VLOOKUP(C182,Indicadores!B:V,21,FALSE)</f>
        <v>0.5</v>
      </c>
      <c r="U182" s="35" t="str">
        <f t="shared" si="43"/>
        <v>No Cumple</v>
      </c>
      <c r="V182" s="2">
        <f t="shared" si="44"/>
        <v>0</v>
      </c>
      <c r="W182" s="5" t="str">
        <f t="shared" si="45"/>
        <v>NO</v>
      </c>
      <c r="X182" s="5">
        <f t="shared" si="46"/>
        <v>0</v>
      </c>
      <c r="Y182" s="1"/>
    </row>
    <row r="183" spans="2:25" x14ac:dyDescent="0.25">
      <c r="B183" s="1" t="s">
        <v>233</v>
      </c>
      <c r="C183" s="1" t="s">
        <v>188</v>
      </c>
      <c r="D183" s="1" t="s">
        <v>242</v>
      </c>
      <c r="E183" s="1" t="s">
        <v>302</v>
      </c>
      <c r="F183" s="2">
        <f t="shared" si="37"/>
        <v>250000</v>
      </c>
      <c r="G183" s="4">
        <f>+VLOOKUP(C183,Indicadores!B:C,2,FALSE)</f>
        <v>0.77271818181818186</v>
      </c>
      <c r="H183" s="1" t="str">
        <f t="shared" si="38"/>
        <v>No Cumple</v>
      </c>
      <c r="I183" s="4">
        <f>+VLOOKUP(C183,Indicadores!B:F,5,FALSE)</f>
        <v>1</v>
      </c>
      <c r="J183" s="1" t="str">
        <f t="shared" si="39"/>
        <v>Cumple</v>
      </c>
      <c r="K183" s="9">
        <f t="shared" si="48"/>
        <v>150000</v>
      </c>
      <c r="L183" s="4">
        <f>+VLOOKUP(C183,Indicadores!B:P,15,FALSE)</f>
        <v>0.59046666666666658</v>
      </c>
      <c r="M183" s="1" t="str">
        <f t="shared" si="40"/>
        <v>No Cumple</v>
      </c>
      <c r="N183" s="5">
        <f t="shared" si="47"/>
        <v>0</v>
      </c>
      <c r="O183" s="5">
        <f t="shared" si="49"/>
        <v>50000</v>
      </c>
      <c r="P183" s="4">
        <v>0.95</v>
      </c>
      <c r="Q183" s="5" t="str">
        <f t="shared" si="41"/>
        <v>Cumple</v>
      </c>
      <c r="R183" s="5">
        <f t="shared" si="42"/>
        <v>47500</v>
      </c>
      <c r="S183" s="5">
        <f t="shared" si="50"/>
        <v>50000</v>
      </c>
      <c r="T183" s="4">
        <f>+VLOOKUP(C183,Indicadores!B:V,21,FALSE)</f>
        <v>0.5</v>
      </c>
      <c r="U183" s="35" t="str">
        <f t="shared" si="43"/>
        <v>No Cumple</v>
      </c>
      <c r="V183" s="2">
        <f t="shared" si="44"/>
        <v>0</v>
      </c>
      <c r="W183" s="5" t="str">
        <f t="shared" si="45"/>
        <v>NO</v>
      </c>
      <c r="X183" s="5">
        <f t="shared" si="46"/>
        <v>0</v>
      </c>
      <c r="Y183" s="1"/>
    </row>
    <row r="184" spans="2:25" x14ac:dyDescent="0.25">
      <c r="B184" s="1" t="s">
        <v>233</v>
      </c>
      <c r="C184" s="1" t="s">
        <v>189</v>
      </c>
      <c r="D184" s="1" t="s">
        <v>242</v>
      </c>
      <c r="E184" s="1" t="s">
        <v>302</v>
      </c>
      <c r="F184" s="2">
        <f t="shared" si="37"/>
        <v>250000</v>
      </c>
      <c r="G184" s="4">
        <f>+VLOOKUP(C184,Indicadores!B:C,2,FALSE)</f>
        <v>0.75151818181818186</v>
      </c>
      <c r="H184" s="1" t="str">
        <f t="shared" si="38"/>
        <v>No Cumple</v>
      </c>
      <c r="I184" s="4">
        <f>+VLOOKUP(C184,Indicadores!B:F,5,FALSE)</f>
        <v>1</v>
      </c>
      <c r="J184" s="1" t="str">
        <f t="shared" si="39"/>
        <v>Cumple</v>
      </c>
      <c r="K184" s="9">
        <f t="shared" si="48"/>
        <v>150000</v>
      </c>
      <c r="L184" s="4">
        <f>+VLOOKUP(C184,Indicadores!B:P,15,FALSE)</f>
        <v>0.45833333333333331</v>
      </c>
      <c r="M184" s="1" t="str">
        <f t="shared" si="40"/>
        <v>No Cumple</v>
      </c>
      <c r="N184" s="5">
        <f t="shared" si="47"/>
        <v>0</v>
      </c>
      <c r="O184" s="5">
        <f t="shared" si="49"/>
        <v>50000</v>
      </c>
      <c r="P184" s="4">
        <v>0.95</v>
      </c>
      <c r="Q184" s="5" t="str">
        <f t="shared" si="41"/>
        <v>Cumple</v>
      </c>
      <c r="R184" s="5">
        <f t="shared" si="42"/>
        <v>47500</v>
      </c>
      <c r="S184" s="5">
        <f t="shared" si="50"/>
        <v>50000</v>
      </c>
      <c r="T184" s="4">
        <f>+VLOOKUP(C184,Indicadores!B:V,21,FALSE)</f>
        <v>1</v>
      </c>
      <c r="U184" s="35" t="str">
        <f t="shared" si="43"/>
        <v>Cumple</v>
      </c>
      <c r="V184" s="2">
        <f t="shared" si="44"/>
        <v>50000</v>
      </c>
      <c r="W184" s="5" t="str">
        <f t="shared" si="45"/>
        <v>NO</v>
      </c>
      <c r="X184" s="5">
        <f t="shared" si="46"/>
        <v>0</v>
      </c>
      <c r="Y184" s="1"/>
    </row>
    <row r="185" spans="2:25" x14ac:dyDescent="0.25">
      <c r="B185" s="1" t="s">
        <v>233</v>
      </c>
      <c r="C185" s="1" t="s">
        <v>190</v>
      </c>
      <c r="D185" s="1" t="s">
        <v>242</v>
      </c>
      <c r="E185" s="1" t="s">
        <v>302</v>
      </c>
      <c r="F185" s="2">
        <f t="shared" si="37"/>
        <v>250000</v>
      </c>
      <c r="G185" s="4">
        <f>+VLOOKUP(C185,Indicadores!B:C,2,FALSE)</f>
        <v>0.75196363636363628</v>
      </c>
      <c r="H185" s="1" t="str">
        <f t="shared" si="38"/>
        <v>No Cumple</v>
      </c>
      <c r="I185" s="4">
        <f>+VLOOKUP(C185,Indicadores!B:F,5,FALSE)</f>
        <v>0.84615384615384615</v>
      </c>
      <c r="J185" s="1" t="str">
        <f t="shared" si="39"/>
        <v>Cumple</v>
      </c>
      <c r="K185" s="9">
        <f t="shared" si="48"/>
        <v>150000</v>
      </c>
      <c r="L185" s="4">
        <f>+VLOOKUP(C185,Indicadores!B:P,15,FALSE)</f>
        <v>0.33743333333333331</v>
      </c>
      <c r="M185" s="1" t="str">
        <f t="shared" si="40"/>
        <v>No Cumple</v>
      </c>
      <c r="N185" s="5">
        <f t="shared" si="47"/>
        <v>0</v>
      </c>
      <c r="O185" s="5">
        <f t="shared" si="49"/>
        <v>50000</v>
      </c>
      <c r="P185" s="4">
        <v>0.95</v>
      </c>
      <c r="Q185" s="5" t="str">
        <f t="shared" si="41"/>
        <v>Cumple</v>
      </c>
      <c r="R185" s="5">
        <f t="shared" si="42"/>
        <v>47500</v>
      </c>
      <c r="S185" s="5">
        <f t="shared" si="50"/>
        <v>50000</v>
      </c>
      <c r="T185" s="4">
        <f>+VLOOKUP(C185,Indicadores!B:V,21,FALSE)</f>
        <v>0.5</v>
      </c>
      <c r="U185" s="35" t="str">
        <f t="shared" si="43"/>
        <v>No Cumple</v>
      </c>
      <c r="V185" s="2">
        <f t="shared" si="44"/>
        <v>0</v>
      </c>
      <c r="W185" s="5" t="str">
        <f t="shared" si="45"/>
        <v>NO</v>
      </c>
      <c r="X185" s="5">
        <f t="shared" si="46"/>
        <v>0</v>
      </c>
      <c r="Y185" s="1"/>
    </row>
    <row r="186" spans="2:25" x14ac:dyDescent="0.25">
      <c r="B186" s="1" t="s">
        <v>233</v>
      </c>
      <c r="C186" s="1" t="s">
        <v>191</v>
      </c>
      <c r="D186" s="1" t="s">
        <v>242</v>
      </c>
      <c r="E186" s="1" t="s">
        <v>302</v>
      </c>
      <c r="F186" s="2">
        <f t="shared" si="37"/>
        <v>250000</v>
      </c>
      <c r="G186" s="4">
        <f>+VLOOKUP(C186,Indicadores!B:C,2,FALSE)</f>
        <v>0.65192727272727269</v>
      </c>
      <c r="H186" s="1" t="str">
        <f t="shared" si="38"/>
        <v>No Cumple</v>
      </c>
      <c r="I186" s="4">
        <f>+VLOOKUP(C186,Indicadores!B:F,5,FALSE)</f>
        <v>0.75</v>
      </c>
      <c r="J186" s="1" t="str">
        <f t="shared" si="39"/>
        <v>No Cumple</v>
      </c>
      <c r="K186" s="9">
        <f t="shared" si="48"/>
        <v>150000</v>
      </c>
      <c r="L186" s="4">
        <f>+VLOOKUP(C186,Indicadores!B:P,15,FALSE)</f>
        <v>0.32329999999999998</v>
      </c>
      <c r="M186" s="1" t="str">
        <f t="shared" si="40"/>
        <v>No Cumple</v>
      </c>
      <c r="N186" s="5">
        <f t="shared" si="47"/>
        <v>0</v>
      </c>
      <c r="O186" s="5">
        <f t="shared" si="49"/>
        <v>50000</v>
      </c>
      <c r="P186" s="4">
        <v>0.95</v>
      </c>
      <c r="Q186" s="5" t="str">
        <f t="shared" si="41"/>
        <v>Cumple</v>
      </c>
      <c r="R186" s="5">
        <f t="shared" si="42"/>
        <v>47500</v>
      </c>
      <c r="S186" s="5">
        <f t="shared" si="50"/>
        <v>50000</v>
      </c>
      <c r="T186" s="4">
        <f>+VLOOKUP(C186,Indicadores!B:V,21,FALSE)</f>
        <v>0.88570000000000004</v>
      </c>
      <c r="U186" s="35" t="str">
        <f t="shared" si="43"/>
        <v>No Cumple</v>
      </c>
      <c r="V186" s="2">
        <f t="shared" si="44"/>
        <v>0</v>
      </c>
      <c r="W186" s="5" t="str">
        <f t="shared" si="45"/>
        <v>NO</v>
      </c>
      <c r="X186" s="5">
        <f t="shared" si="46"/>
        <v>0</v>
      </c>
      <c r="Y186" s="1"/>
    </row>
    <row r="187" spans="2:25" x14ac:dyDescent="0.25">
      <c r="B187" s="1" t="s">
        <v>233</v>
      </c>
      <c r="C187" s="1" t="s">
        <v>192</v>
      </c>
      <c r="D187" s="1" t="s">
        <v>242</v>
      </c>
      <c r="E187" s="1" t="s">
        <v>302</v>
      </c>
      <c r="F187" s="2">
        <f t="shared" si="37"/>
        <v>250000</v>
      </c>
      <c r="G187" s="4">
        <f>+VLOOKUP(C187,Indicadores!B:C,2,FALSE)</f>
        <v>0.89951818181818188</v>
      </c>
      <c r="H187" s="1" t="str">
        <f t="shared" si="38"/>
        <v>Cumple</v>
      </c>
      <c r="I187" s="4">
        <f>+VLOOKUP(C187,Indicadores!B:F,5,FALSE)</f>
        <v>1</v>
      </c>
      <c r="J187" s="1" t="str">
        <f t="shared" si="39"/>
        <v>Cumple</v>
      </c>
      <c r="K187" s="9">
        <f t="shared" si="48"/>
        <v>150000</v>
      </c>
      <c r="L187" s="4">
        <f>+VLOOKUP(C187,Indicadores!B:P,15,FALSE)</f>
        <v>0.57893333333333341</v>
      </c>
      <c r="M187" s="1" t="str">
        <f t="shared" si="40"/>
        <v>No Cumple</v>
      </c>
      <c r="N187" s="5">
        <f t="shared" si="47"/>
        <v>0</v>
      </c>
      <c r="O187" s="5">
        <f t="shared" si="49"/>
        <v>50000</v>
      </c>
      <c r="P187" s="4">
        <v>0.95</v>
      </c>
      <c r="Q187" s="5" t="str">
        <f t="shared" si="41"/>
        <v>Cumple</v>
      </c>
      <c r="R187" s="5">
        <f t="shared" si="42"/>
        <v>47500</v>
      </c>
      <c r="S187" s="5">
        <f t="shared" si="50"/>
        <v>50000</v>
      </c>
      <c r="T187" s="4">
        <f>+VLOOKUP(C187,Indicadores!B:V,21,FALSE)</f>
        <v>0.5</v>
      </c>
      <c r="U187" s="35" t="str">
        <f t="shared" si="43"/>
        <v>No Cumple</v>
      </c>
      <c r="V187" s="2">
        <f t="shared" si="44"/>
        <v>0</v>
      </c>
      <c r="W187" s="5" t="str">
        <f t="shared" si="45"/>
        <v>SI</v>
      </c>
      <c r="X187" s="5">
        <f t="shared" si="46"/>
        <v>47500</v>
      </c>
      <c r="Y187" s="1"/>
    </row>
    <row r="188" spans="2:25" x14ac:dyDescent="0.25">
      <c r="B188" s="1" t="s">
        <v>233</v>
      </c>
      <c r="C188" s="1" t="s">
        <v>193</v>
      </c>
      <c r="D188" s="1" t="s">
        <v>242</v>
      </c>
      <c r="E188" s="1" t="s">
        <v>302</v>
      </c>
      <c r="F188" s="2">
        <f t="shared" si="37"/>
        <v>250000</v>
      </c>
      <c r="G188" s="4">
        <f>+VLOOKUP(C188,Indicadores!B:C,2,FALSE)</f>
        <v>0.79231818181818181</v>
      </c>
      <c r="H188" s="1" t="str">
        <f t="shared" si="38"/>
        <v>No Cumple</v>
      </c>
      <c r="I188" s="4">
        <f>+VLOOKUP(C188,Indicadores!B:F,5,FALSE)</f>
        <v>1</v>
      </c>
      <c r="J188" s="1" t="str">
        <f t="shared" si="39"/>
        <v>Cumple</v>
      </c>
      <c r="K188" s="9">
        <f t="shared" si="48"/>
        <v>150000</v>
      </c>
      <c r="L188" s="4">
        <f>+VLOOKUP(C188,Indicadores!B:P,15,FALSE)</f>
        <v>0.45870000000000005</v>
      </c>
      <c r="M188" s="1" t="str">
        <f t="shared" si="40"/>
        <v>No Cumple</v>
      </c>
      <c r="N188" s="5">
        <f t="shared" si="47"/>
        <v>0</v>
      </c>
      <c r="O188" s="5">
        <f t="shared" si="49"/>
        <v>50000</v>
      </c>
      <c r="P188" s="4">
        <v>0.95</v>
      </c>
      <c r="Q188" s="5" t="str">
        <f t="shared" si="41"/>
        <v>Cumple</v>
      </c>
      <c r="R188" s="5">
        <f t="shared" si="42"/>
        <v>47500</v>
      </c>
      <c r="S188" s="5">
        <f t="shared" si="50"/>
        <v>50000</v>
      </c>
      <c r="T188" s="4">
        <f>+VLOOKUP(C188,Indicadores!B:V,21,FALSE)</f>
        <v>0.5</v>
      </c>
      <c r="U188" s="35" t="str">
        <f t="shared" si="43"/>
        <v>No Cumple</v>
      </c>
      <c r="V188" s="2">
        <f t="shared" si="44"/>
        <v>0</v>
      </c>
      <c r="W188" s="5" t="str">
        <f t="shared" si="45"/>
        <v>NO</v>
      </c>
      <c r="X188" s="5">
        <f t="shared" si="46"/>
        <v>0</v>
      </c>
      <c r="Y188" s="1"/>
    </row>
    <row r="189" spans="2:25" x14ac:dyDescent="0.25">
      <c r="B189" s="1" t="s">
        <v>233</v>
      </c>
      <c r="C189" s="1" t="s">
        <v>194</v>
      </c>
      <c r="D189" s="1" t="s">
        <v>242</v>
      </c>
      <c r="E189" s="1" t="s">
        <v>302</v>
      </c>
      <c r="F189" s="2">
        <f t="shared" si="37"/>
        <v>250000</v>
      </c>
      <c r="G189" s="4">
        <f>+VLOOKUP(C189,Indicadores!B:C,2,FALSE)</f>
        <v>0.74380000000000013</v>
      </c>
      <c r="H189" s="1" t="str">
        <f t="shared" si="38"/>
        <v>No Cumple</v>
      </c>
      <c r="I189" s="4">
        <f>+VLOOKUP(C189,Indicadores!B:F,5,FALSE)</f>
        <v>0.76923076923076927</v>
      </c>
      <c r="J189" s="1" t="str">
        <f t="shared" si="39"/>
        <v>No Cumple</v>
      </c>
      <c r="K189" s="9">
        <f t="shared" si="48"/>
        <v>150000</v>
      </c>
      <c r="L189" s="4">
        <f>+VLOOKUP(C189,Indicadores!B:P,15,FALSE)</f>
        <v>0.33939999999999998</v>
      </c>
      <c r="M189" s="1" t="str">
        <f t="shared" si="40"/>
        <v>No Cumple</v>
      </c>
      <c r="N189" s="5">
        <f t="shared" si="47"/>
        <v>0</v>
      </c>
      <c r="O189" s="5">
        <f t="shared" si="49"/>
        <v>50000</v>
      </c>
      <c r="P189" s="4">
        <v>0.95</v>
      </c>
      <c r="Q189" s="5" t="str">
        <f t="shared" si="41"/>
        <v>Cumple</v>
      </c>
      <c r="R189" s="5">
        <f t="shared" si="42"/>
        <v>47500</v>
      </c>
      <c r="S189" s="5">
        <f t="shared" si="50"/>
        <v>50000</v>
      </c>
      <c r="T189" s="4">
        <f>+VLOOKUP(C189,Indicadores!B:V,21,FALSE)</f>
        <v>0.5</v>
      </c>
      <c r="U189" s="35" t="str">
        <f t="shared" si="43"/>
        <v>No Cumple</v>
      </c>
      <c r="V189" s="2">
        <f t="shared" si="44"/>
        <v>0</v>
      </c>
      <c r="W189" s="5" t="str">
        <f t="shared" si="45"/>
        <v>NO</v>
      </c>
      <c r="X189" s="5">
        <f t="shared" si="46"/>
        <v>0</v>
      </c>
      <c r="Y189" s="1"/>
    </row>
    <row r="190" spans="2:25" x14ac:dyDescent="0.25">
      <c r="B190" s="1" t="s">
        <v>233</v>
      </c>
      <c r="C190" s="1" t="s">
        <v>195</v>
      </c>
      <c r="D190" s="1" t="s">
        <v>242</v>
      </c>
      <c r="E190" s="1" t="s">
        <v>302</v>
      </c>
      <c r="F190" s="2">
        <f t="shared" si="37"/>
        <v>250000</v>
      </c>
      <c r="G190" s="4">
        <f>+VLOOKUP(C190,Indicadores!B:C,2,FALSE)</f>
        <v>0.61128181818181815</v>
      </c>
      <c r="H190" s="1" t="str">
        <f t="shared" si="38"/>
        <v>No Cumple</v>
      </c>
      <c r="I190" s="4">
        <f>+VLOOKUP(C190,Indicadores!B:F,5,FALSE)</f>
        <v>0.66666666666666663</v>
      </c>
      <c r="J190" s="1" t="str">
        <f t="shared" si="39"/>
        <v>No Cumple</v>
      </c>
      <c r="K190" s="9">
        <f t="shared" si="48"/>
        <v>150000</v>
      </c>
      <c r="L190" s="4">
        <f>+VLOOKUP(C190,Indicadores!B:P,15,FALSE)</f>
        <v>0.37586666666666663</v>
      </c>
      <c r="M190" s="1" t="str">
        <f t="shared" si="40"/>
        <v>No Cumple</v>
      </c>
      <c r="N190" s="5">
        <f t="shared" si="47"/>
        <v>0</v>
      </c>
      <c r="O190" s="5">
        <f t="shared" si="49"/>
        <v>50000</v>
      </c>
      <c r="P190" s="4">
        <v>0.95</v>
      </c>
      <c r="Q190" s="5" t="str">
        <f t="shared" si="41"/>
        <v>Cumple</v>
      </c>
      <c r="R190" s="5">
        <f t="shared" si="42"/>
        <v>47500</v>
      </c>
      <c r="S190" s="5">
        <f t="shared" si="50"/>
        <v>50000</v>
      </c>
      <c r="T190" s="4">
        <f>+VLOOKUP(C190,Indicadores!B:V,21,FALSE)</f>
        <v>0.91379999999999995</v>
      </c>
      <c r="U190" s="35" t="str">
        <f t="shared" si="43"/>
        <v>No Cumple</v>
      </c>
      <c r="V190" s="2">
        <f t="shared" si="44"/>
        <v>0</v>
      </c>
      <c r="W190" s="5" t="str">
        <f t="shared" si="45"/>
        <v>NO</v>
      </c>
      <c r="X190" s="5">
        <f t="shared" si="46"/>
        <v>0</v>
      </c>
      <c r="Y190" s="1"/>
    </row>
    <row r="191" spans="2:25" x14ac:dyDescent="0.25">
      <c r="B191" s="1" t="s">
        <v>233</v>
      </c>
      <c r="C191" s="1" t="s">
        <v>196</v>
      </c>
      <c r="D191" s="1" t="s">
        <v>242</v>
      </c>
      <c r="E191" s="1" t="s">
        <v>302</v>
      </c>
      <c r="F191" s="2">
        <f t="shared" si="37"/>
        <v>250000</v>
      </c>
      <c r="G191" s="4">
        <f>+VLOOKUP(C191,Indicadores!B:C,2,FALSE)</f>
        <v>0.78591818181818196</v>
      </c>
      <c r="H191" s="1" t="str">
        <f t="shared" si="38"/>
        <v>No Cumple</v>
      </c>
      <c r="I191" s="4">
        <f>+VLOOKUP(C191,Indicadores!B:F,5,FALSE)</f>
        <v>0.8</v>
      </c>
      <c r="J191" s="1" t="str">
        <f t="shared" si="39"/>
        <v>Cumple</v>
      </c>
      <c r="K191" s="9">
        <f t="shared" si="48"/>
        <v>150000</v>
      </c>
      <c r="L191" s="4">
        <f>+VLOOKUP(C191,Indicadores!B:P,15,FALSE)</f>
        <v>0.58333333333333337</v>
      </c>
      <c r="M191" s="1" t="str">
        <f t="shared" si="40"/>
        <v>No Cumple</v>
      </c>
      <c r="N191" s="5">
        <f t="shared" si="47"/>
        <v>0</v>
      </c>
      <c r="O191" s="5">
        <f t="shared" si="49"/>
        <v>50000</v>
      </c>
      <c r="P191" s="4">
        <v>0.95</v>
      </c>
      <c r="Q191" s="5" t="str">
        <f t="shared" si="41"/>
        <v>Cumple</v>
      </c>
      <c r="R191" s="5">
        <f t="shared" si="42"/>
        <v>47500</v>
      </c>
      <c r="S191" s="5">
        <f t="shared" si="50"/>
        <v>50000</v>
      </c>
      <c r="T191" s="4">
        <f>+VLOOKUP(C191,Indicadores!B:V,21,FALSE)</f>
        <v>1</v>
      </c>
      <c r="U191" s="35" t="str">
        <f t="shared" si="43"/>
        <v>Cumple</v>
      </c>
      <c r="V191" s="2">
        <f t="shared" si="44"/>
        <v>50000</v>
      </c>
      <c r="W191" s="5" t="str">
        <f t="shared" si="45"/>
        <v>NO</v>
      </c>
      <c r="X191" s="5">
        <f t="shared" si="46"/>
        <v>0</v>
      </c>
      <c r="Y191" s="1"/>
    </row>
    <row r="192" spans="2:25" x14ac:dyDescent="0.25">
      <c r="B192" s="1" t="s">
        <v>233</v>
      </c>
      <c r="C192" s="1" t="s">
        <v>197</v>
      </c>
      <c r="D192" s="1" t="s">
        <v>242</v>
      </c>
      <c r="E192" s="1" t="s">
        <v>302</v>
      </c>
      <c r="F192" s="2">
        <f t="shared" si="37"/>
        <v>250000</v>
      </c>
      <c r="G192" s="4">
        <f>+VLOOKUP(C192,Indicadores!B:C,2,FALSE)</f>
        <v>0.69778181818181817</v>
      </c>
      <c r="H192" s="1" t="str">
        <f t="shared" si="38"/>
        <v>No Cumple</v>
      </c>
      <c r="I192" s="4">
        <f>+VLOOKUP(C192,Indicadores!B:F,5,FALSE)</f>
        <v>0.72727272727272729</v>
      </c>
      <c r="J192" s="1" t="str">
        <f t="shared" si="39"/>
        <v>No Cumple</v>
      </c>
      <c r="K192" s="9">
        <f t="shared" si="48"/>
        <v>150000</v>
      </c>
      <c r="L192" s="4">
        <f>+VLOOKUP(C192,Indicadores!B:P,15,FALSE)</f>
        <v>0.43009999999999998</v>
      </c>
      <c r="M192" s="1" t="str">
        <f t="shared" si="40"/>
        <v>No Cumple</v>
      </c>
      <c r="N192" s="5">
        <f t="shared" si="47"/>
        <v>0</v>
      </c>
      <c r="O192" s="5">
        <f t="shared" si="49"/>
        <v>50000</v>
      </c>
      <c r="P192" s="4">
        <v>0.95</v>
      </c>
      <c r="Q192" s="5" t="str">
        <f t="shared" si="41"/>
        <v>Cumple</v>
      </c>
      <c r="R192" s="5">
        <f t="shared" si="42"/>
        <v>47500</v>
      </c>
      <c r="S192" s="5">
        <f t="shared" si="50"/>
        <v>50000</v>
      </c>
      <c r="T192" s="4">
        <f>+VLOOKUP(C192,Indicadores!B:V,21,FALSE)</f>
        <v>0.45945000000000003</v>
      </c>
      <c r="U192" s="35" t="str">
        <f t="shared" si="43"/>
        <v>No Cumple</v>
      </c>
      <c r="V192" s="2">
        <f t="shared" si="44"/>
        <v>0</v>
      </c>
      <c r="W192" s="5" t="str">
        <f t="shared" si="45"/>
        <v>NO</v>
      </c>
      <c r="X192" s="5">
        <f t="shared" si="46"/>
        <v>0</v>
      </c>
      <c r="Y192" s="1"/>
    </row>
    <row r="193" spans="2:25" x14ac:dyDescent="0.25">
      <c r="B193" s="1" t="s">
        <v>233</v>
      </c>
      <c r="C193" s="1" t="s">
        <v>198</v>
      </c>
      <c r="D193" s="1" t="s">
        <v>242</v>
      </c>
      <c r="E193" s="1" t="s">
        <v>302</v>
      </c>
      <c r="F193" s="2">
        <f t="shared" si="37"/>
        <v>250000</v>
      </c>
      <c r="G193" s="4">
        <f>+VLOOKUP(C193,Indicadores!B:C,2,FALSE)</f>
        <v>0.78000000000000014</v>
      </c>
      <c r="H193" s="1" t="str">
        <f t="shared" si="38"/>
        <v>No Cumple</v>
      </c>
      <c r="I193" s="4">
        <f>+VLOOKUP(C193,Indicadores!B:F,5,FALSE)</f>
        <v>1</v>
      </c>
      <c r="J193" s="1" t="str">
        <f t="shared" si="39"/>
        <v>Cumple</v>
      </c>
      <c r="K193" s="9">
        <f t="shared" si="48"/>
        <v>150000</v>
      </c>
      <c r="L193" s="4">
        <f>+VLOOKUP(C193,Indicadores!B:P,15,FALSE)</f>
        <v>0.48666666666666664</v>
      </c>
      <c r="M193" s="1" t="str">
        <f t="shared" si="40"/>
        <v>No Cumple</v>
      </c>
      <c r="N193" s="5">
        <f t="shared" si="47"/>
        <v>0</v>
      </c>
      <c r="O193" s="5">
        <f t="shared" si="49"/>
        <v>50000</v>
      </c>
      <c r="P193" s="4">
        <v>0.95</v>
      </c>
      <c r="Q193" s="5" t="str">
        <f t="shared" si="41"/>
        <v>Cumple</v>
      </c>
      <c r="R193" s="5">
        <f t="shared" si="42"/>
        <v>47500</v>
      </c>
      <c r="S193" s="5">
        <f t="shared" si="50"/>
        <v>50000</v>
      </c>
      <c r="T193" s="4">
        <f>+VLOOKUP(C193,Indicadores!B:V,21,FALSE)</f>
        <v>0.49</v>
      </c>
      <c r="U193" s="35" t="str">
        <f t="shared" si="43"/>
        <v>No Cumple</v>
      </c>
      <c r="V193" s="2">
        <f t="shared" si="44"/>
        <v>0</v>
      </c>
      <c r="W193" s="5" t="str">
        <f t="shared" si="45"/>
        <v>NO</v>
      </c>
      <c r="X193" s="5">
        <f t="shared" si="46"/>
        <v>0</v>
      </c>
      <c r="Y193" s="1"/>
    </row>
    <row r="194" spans="2:25" x14ac:dyDescent="0.25">
      <c r="G194" s="34"/>
      <c r="I194" s="34"/>
      <c r="L194" s="34"/>
    </row>
  </sheetData>
  <mergeCells count="5">
    <mergeCell ref="G4:H4"/>
    <mergeCell ref="I4:J4"/>
    <mergeCell ref="K4:N4"/>
    <mergeCell ref="O4:R4"/>
    <mergeCell ref="S4:V4"/>
  </mergeCells>
  <conditionalFormatting sqref="C5:C193">
    <cfRule type="duplicateValues" dxfId="7" priority="1"/>
  </conditionalFormatting>
  <conditionalFormatting sqref="H6:H193">
    <cfRule type="containsText" dxfId="6" priority="4" operator="containsText" text="No Cumple">
      <formula>NOT(ISERROR(SEARCH("No Cumple",H6)))</formula>
    </cfRule>
  </conditionalFormatting>
  <conditionalFormatting sqref="J6:J193">
    <cfRule type="containsText" dxfId="5" priority="3" operator="containsText" text="No Cumple">
      <formula>NOT(ISERROR(SEARCH("No Cumple",J6)))</formula>
    </cfRule>
  </conditionalFormatting>
  <conditionalFormatting sqref="M6:M193">
    <cfRule type="containsText" dxfId="4" priority="2" operator="containsText" text="No Cumple">
      <formula>NOT(ISERROR(SEARCH("No Cumple",M6)))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8AE4-DE3A-4451-AC03-2A9181AB31A4}">
  <sheetPr filterMode="1"/>
  <dimension ref="B1:Y194"/>
  <sheetViews>
    <sheetView showGridLines="0" topLeftCell="A2" zoomScale="70" zoomScaleNormal="70" workbookViewId="0">
      <selection activeCell="N14" sqref="N14"/>
    </sheetView>
  </sheetViews>
  <sheetFormatPr baseColWidth="10" defaultRowHeight="15" x14ac:dyDescent="0.25"/>
  <cols>
    <col min="1" max="1" width="1.28515625" customWidth="1"/>
    <col min="2" max="2" width="19.42578125" customWidth="1"/>
    <col min="3" max="3" width="6.7109375" customWidth="1"/>
    <col min="4" max="4" width="22.7109375" customWidth="1"/>
    <col min="5" max="5" width="26.28515625" customWidth="1"/>
    <col min="6" max="6" width="11.5703125" style="26" customWidth="1"/>
    <col min="7" max="7" width="12.42578125" style="26" hidden="1" customWidth="1"/>
    <col min="8" max="8" width="11.5703125" style="26" hidden="1" customWidth="1"/>
    <col min="9" max="9" width="15.85546875" style="26" customWidth="1"/>
    <col min="10" max="10" width="12.42578125" style="26" customWidth="1"/>
    <col min="11" max="11" width="14.5703125" style="26" customWidth="1"/>
    <col min="12" max="12" width="12.5703125" style="26" customWidth="1"/>
    <col min="13" max="13" width="12.5703125" style="26" bestFit="1" customWidth="1"/>
    <col min="14" max="15" width="13.5703125" style="26" customWidth="1"/>
    <col min="16" max="16" width="17.5703125" style="26" customWidth="1"/>
    <col min="17" max="17" width="13.85546875" style="26" customWidth="1"/>
    <col min="18" max="18" width="13.5703125" style="26" customWidth="1"/>
    <col min="19" max="19" width="16.42578125" style="26" customWidth="1"/>
    <col min="20" max="20" width="15.28515625" style="26" customWidth="1"/>
    <col min="21" max="21" width="13.85546875" style="26" customWidth="1"/>
    <col min="22" max="23" width="13.5703125" style="26" customWidth="1"/>
    <col min="24" max="24" width="19.140625" style="26" customWidth="1"/>
    <col min="25" max="25" width="20.7109375" style="26" customWidth="1"/>
  </cols>
  <sheetData>
    <row r="1" spans="2:25" x14ac:dyDescent="0.25">
      <c r="W1" s="27" t="s">
        <v>246</v>
      </c>
      <c r="X1" s="28">
        <f>+COUNTIF(W6:W193,W1)</f>
        <v>178</v>
      </c>
    </row>
    <row r="2" spans="2:25" ht="21" x14ac:dyDescent="0.35">
      <c r="B2" s="50" t="s">
        <v>300</v>
      </c>
      <c r="W2" s="32" t="s">
        <v>335</v>
      </c>
      <c r="X2" s="52">
        <f>+X1/188</f>
        <v>0.94680851063829785</v>
      </c>
    </row>
    <row r="3" spans="2:25" ht="15.75" x14ac:dyDescent="0.25">
      <c r="B3" s="49"/>
      <c r="G3" s="30" t="s">
        <v>251</v>
      </c>
      <c r="I3" s="30" t="s">
        <v>251</v>
      </c>
      <c r="K3" s="30">
        <v>0.6</v>
      </c>
      <c r="O3" s="30">
        <v>0.2</v>
      </c>
      <c r="S3" s="30">
        <v>0.2</v>
      </c>
      <c r="T3" s="30"/>
    </row>
    <row r="4" spans="2:25" x14ac:dyDescent="0.25">
      <c r="F4" s="32">
        <v>250000</v>
      </c>
      <c r="G4" s="76" t="s">
        <v>222</v>
      </c>
      <c r="H4" s="77"/>
      <c r="I4" s="75"/>
      <c r="J4" s="75"/>
      <c r="K4" s="78" t="s">
        <v>249</v>
      </c>
      <c r="L4" s="79"/>
      <c r="M4" s="79"/>
      <c r="N4" s="79"/>
      <c r="O4" s="82" t="s">
        <v>250</v>
      </c>
      <c r="P4" s="83"/>
      <c r="Q4" s="83"/>
      <c r="R4" s="83"/>
      <c r="S4" s="80" t="s">
        <v>247</v>
      </c>
      <c r="T4" s="81"/>
      <c r="U4" s="81"/>
      <c r="V4" s="81"/>
      <c r="W4" s="33"/>
      <c r="X4" s="33">
        <f>+SUBTOTAL(9,X6:X193)</f>
        <v>3600000</v>
      </c>
    </row>
    <row r="5" spans="2:25" s="43" customFormat="1" ht="45" x14ac:dyDescent="0.25">
      <c r="B5" s="36" t="s">
        <v>0</v>
      </c>
      <c r="C5" s="36" t="s">
        <v>6</v>
      </c>
      <c r="D5" s="36" t="s">
        <v>213</v>
      </c>
      <c r="E5" s="36" t="s">
        <v>212</v>
      </c>
      <c r="F5" s="37" t="s">
        <v>7</v>
      </c>
      <c r="G5" s="38" t="s">
        <v>223</v>
      </c>
      <c r="H5" s="38" t="s">
        <v>297</v>
      </c>
      <c r="I5" s="37" t="s">
        <v>224</v>
      </c>
      <c r="J5" s="37" t="s">
        <v>297</v>
      </c>
      <c r="K5" s="51" t="s">
        <v>265</v>
      </c>
      <c r="L5" s="51" t="s">
        <v>268</v>
      </c>
      <c r="M5" s="51" t="s">
        <v>266</v>
      </c>
      <c r="N5" s="51" t="s">
        <v>3</v>
      </c>
      <c r="O5" s="40" t="s">
        <v>269</v>
      </c>
      <c r="P5" s="40" t="s">
        <v>270</v>
      </c>
      <c r="Q5" s="40" t="s">
        <v>2</v>
      </c>
      <c r="R5" s="40" t="s">
        <v>3</v>
      </c>
      <c r="S5" s="41" t="s">
        <v>276</v>
      </c>
      <c r="T5" s="41" t="s">
        <v>280</v>
      </c>
      <c r="U5" s="41" t="s">
        <v>2</v>
      </c>
      <c r="V5" s="41" t="s">
        <v>3</v>
      </c>
      <c r="W5" s="42" t="s">
        <v>244</v>
      </c>
      <c r="X5" s="42" t="s">
        <v>226</v>
      </c>
      <c r="Y5" s="37" t="s">
        <v>4</v>
      </c>
    </row>
    <row r="6" spans="2:25" hidden="1" x14ac:dyDescent="0.25">
      <c r="B6" s="1" t="s">
        <v>233</v>
      </c>
      <c r="C6" s="1" t="s">
        <v>11</v>
      </c>
      <c r="D6" s="1" t="s">
        <v>241</v>
      </c>
      <c r="E6" s="1" t="s">
        <v>336</v>
      </c>
      <c r="F6" s="2">
        <f>+$F$4</f>
        <v>250000</v>
      </c>
      <c r="G6" s="4">
        <f>+VLOOKUP(C6,Indicadores!B:C,2,FALSE)</f>
        <v>0.8841</v>
      </c>
      <c r="H6" s="1" t="str">
        <f>IF(G6&gt;=70%,"Cumple","No Cumple")</f>
        <v>Cumple</v>
      </c>
      <c r="I6" s="4">
        <f>+VLOOKUP(C6,Indicadores!B:F,5,FALSE)</f>
        <v>1</v>
      </c>
      <c r="J6" s="1" t="str">
        <f>IF(I6&gt;=70%,"Cumple","No Cumple")</f>
        <v>Cumple</v>
      </c>
      <c r="K6" s="9">
        <f t="shared" ref="K6:K37" si="0">+$F$4*$K$3</f>
        <v>150000</v>
      </c>
      <c r="L6" s="4">
        <f>+VLOOKUP(C6,Indicadores!B:P,15,FALSE)</f>
        <v>0.86933333333333318</v>
      </c>
      <c r="M6" s="1" t="str">
        <f>IF(L6&gt;=80%,"Cumple","No Cumple")</f>
        <v>Cumple</v>
      </c>
      <c r="N6" s="5">
        <f>IF(L6=80%,K6*70%,IF(AND(L6&gt;=81%,L6&lt;=90%),K6*80%,IF(AND(L6&gt;=91%,L6&lt;=95%),K6*90%,IF(L6=96%,K6*96%,IF(L6=97%,K6*97%,IF(L6=98%,K6*98%,IF(L6=99%,K6*99%,IF(L6=100%,K6,0))))))))</f>
        <v>120000</v>
      </c>
      <c r="O6" s="5">
        <f t="shared" ref="O6:O37" si="1">+$F$4*$O$3</f>
        <v>50000</v>
      </c>
      <c r="P6" s="4">
        <v>0.95</v>
      </c>
      <c r="Q6" s="5" t="str">
        <f>IF(P6&gt;=80%,"Cumple","No Cumple")</f>
        <v>Cumple</v>
      </c>
      <c r="R6" s="5">
        <f>+O6*95%</f>
        <v>47500</v>
      </c>
      <c r="S6" s="5">
        <f t="shared" ref="S6:S37" si="2">+$F$4*$S$3</f>
        <v>50000</v>
      </c>
      <c r="T6" s="4">
        <f>+VLOOKUP(C6,Indicadores!B:V,21,FALSE)</f>
        <v>0.48899999999999999</v>
      </c>
      <c r="U6" s="35" t="str">
        <f>IF(T6&gt;=100%,"Cumple","No Cumple")</f>
        <v>No Cumple</v>
      </c>
      <c r="V6" s="2">
        <f>IF(T6=80%,S6*70%,IF(AND(T6&gt;=81%,T6&lt;=90%),S6*80%,IF(AND(T6&gt;=91%,T6&lt;=95%),S6*90%,IF(T6=96%,S6*96%,IF(T6=97%,S6*97%,IF(T6=98%,S6*98%,IF(T6=99%,S6*99%,IF(T6=100%,S6,0))))))))</f>
        <v>0</v>
      </c>
      <c r="W6" s="5" t="str">
        <f>IF(I6&gt;=70%,"SI","NO")</f>
        <v>SI</v>
      </c>
      <c r="X6" s="5">
        <f>+IF(W6="SI",N6+R6+V6,0)</f>
        <v>167500</v>
      </c>
      <c r="Y6" s="1"/>
    </row>
    <row r="7" spans="2:25" hidden="1" x14ac:dyDescent="0.25">
      <c r="B7" s="1" t="s">
        <v>233</v>
      </c>
      <c r="C7" s="1" t="s">
        <v>12</v>
      </c>
      <c r="D7" s="1" t="s">
        <v>241</v>
      </c>
      <c r="E7" s="1" t="s">
        <v>336</v>
      </c>
      <c r="F7" s="2">
        <f t="shared" ref="F7:F70" si="3">+$F$4</f>
        <v>250000</v>
      </c>
      <c r="G7" s="4">
        <f>+VLOOKUP(C7,Indicadores!B:C,2,FALSE)</f>
        <v>0.75190000000000012</v>
      </c>
      <c r="H7" s="1" t="str">
        <f t="shared" ref="H7:H70" si="4">IF(G7&gt;=70%,"Cumple","No Cumple")</f>
        <v>Cumple</v>
      </c>
      <c r="I7" s="4">
        <f>+VLOOKUP(C7,Indicadores!B:F,5,FALSE)</f>
        <v>1</v>
      </c>
      <c r="J7" s="1" t="str">
        <f t="shared" ref="J7:J70" si="5">IF(I7&gt;=70%,"Cumple","No Cumple")</f>
        <v>Cumple</v>
      </c>
      <c r="K7" s="9">
        <f t="shared" si="0"/>
        <v>150000</v>
      </c>
      <c r="L7" s="4">
        <f>+VLOOKUP(C7,Indicadores!B:P,15,FALSE)</f>
        <v>0.40476666666666666</v>
      </c>
      <c r="M7" s="1" t="str">
        <f t="shared" ref="M7:M70" si="6">IF(L7&gt;=80%,"Cumple","No Cumple")</f>
        <v>No Cumple</v>
      </c>
      <c r="N7" s="5">
        <f t="shared" ref="N7:N70" si="7">IF(L7=80%,K7*70%,IF(AND(L7&gt;=81%,L7&lt;=90%),K7*80%,IF(AND(L7&gt;=91%,L7&lt;=95%),K7*90%,IF(L7=96%,K7*96%,IF(L7=97%,K7*97%,IF(L7=98%,K7*98%,IF(L7=99%,K7*99%,IF(L7=100%,K7,0))))))))</f>
        <v>0</v>
      </c>
      <c r="O7" s="5">
        <f t="shared" si="1"/>
        <v>50000</v>
      </c>
      <c r="P7" s="4">
        <v>0.95</v>
      </c>
      <c r="Q7" s="5" t="str">
        <f t="shared" ref="Q7:Q70" si="8">IF(P7&gt;=80%,"Cumple","No Cumple")</f>
        <v>Cumple</v>
      </c>
      <c r="R7" s="5">
        <f t="shared" ref="R7:R70" si="9">+O7*95%</f>
        <v>47500</v>
      </c>
      <c r="S7" s="5">
        <f t="shared" si="2"/>
        <v>50000</v>
      </c>
      <c r="T7" s="4">
        <f>+VLOOKUP(C7,Indicadores!B:V,21,FALSE)</f>
        <v>1</v>
      </c>
      <c r="U7" s="35" t="str">
        <f t="shared" ref="U7:U70" si="10">IF(T7&gt;=100%,"Cumple","No Cumple")</f>
        <v>Cumple</v>
      </c>
      <c r="V7" s="2">
        <f t="shared" ref="V7:V70" si="11">IF(T7=80%,S7*70%,IF(AND(T7&gt;=81%,T7&lt;=90%),S7*80%,IF(AND(T7&gt;=91%,T7&lt;=95%),S7*90%,IF(T7=96%,S7*96%,IF(T7=97%,S7*97%,IF(T7=98%,S7*98%,IF(T7=99%,S7*99%,IF(T7=100%,S7,0))))))))</f>
        <v>50000</v>
      </c>
      <c r="W7" s="5" t="str">
        <f t="shared" ref="W7:W70" si="12">IF(I7&gt;=70%,"SI","NO")</f>
        <v>SI</v>
      </c>
      <c r="X7" s="5">
        <f t="shared" ref="X7:X70" si="13">+IF(W7="SI",N7+R7+V7,0)</f>
        <v>97500</v>
      </c>
      <c r="Y7" s="1"/>
    </row>
    <row r="8" spans="2:25" hidden="1" x14ac:dyDescent="0.25">
      <c r="B8" s="1" t="s">
        <v>233</v>
      </c>
      <c r="C8" s="1" t="s">
        <v>13</v>
      </c>
      <c r="D8" s="1" t="s">
        <v>241</v>
      </c>
      <c r="E8" s="1" t="s">
        <v>336</v>
      </c>
      <c r="F8" s="2">
        <f t="shared" si="3"/>
        <v>250000</v>
      </c>
      <c r="G8" s="4">
        <f>+VLOOKUP(C8,Indicadores!B:C,2,FALSE)</f>
        <v>0.7582181818181819</v>
      </c>
      <c r="H8" s="1" t="str">
        <f t="shared" si="4"/>
        <v>Cumple</v>
      </c>
      <c r="I8" s="4">
        <f>+VLOOKUP(C8,Indicadores!B:F,5,FALSE)</f>
        <v>0.44444444444444442</v>
      </c>
      <c r="J8" s="1" t="str">
        <f t="shared" si="5"/>
        <v>No Cumple</v>
      </c>
      <c r="K8" s="9">
        <f t="shared" si="0"/>
        <v>150000</v>
      </c>
      <c r="L8" s="4">
        <f>+VLOOKUP(C8,Indicadores!B:P,15,FALSE)</f>
        <v>0.39656666666666668</v>
      </c>
      <c r="M8" s="1" t="str">
        <f t="shared" si="6"/>
        <v>No Cumple</v>
      </c>
      <c r="N8" s="5">
        <f t="shared" si="7"/>
        <v>0</v>
      </c>
      <c r="O8" s="5">
        <f t="shared" si="1"/>
        <v>50000</v>
      </c>
      <c r="P8" s="4">
        <v>0.95</v>
      </c>
      <c r="Q8" s="5" t="str">
        <f t="shared" si="8"/>
        <v>Cumple</v>
      </c>
      <c r="R8" s="5">
        <f t="shared" si="9"/>
        <v>47500</v>
      </c>
      <c r="S8" s="5">
        <f t="shared" si="2"/>
        <v>50000</v>
      </c>
      <c r="T8" s="4">
        <f>+VLOOKUP(C8,Indicadores!B:V,21,FALSE)</f>
        <v>0.48935000000000001</v>
      </c>
      <c r="U8" s="35" t="str">
        <f t="shared" si="10"/>
        <v>No Cumple</v>
      </c>
      <c r="V8" s="2">
        <f t="shared" si="11"/>
        <v>0</v>
      </c>
      <c r="W8" s="5" t="str">
        <f t="shared" si="12"/>
        <v>NO</v>
      </c>
      <c r="X8" s="5">
        <f t="shared" si="13"/>
        <v>0</v>
      </c>
      <c r="Y8" s="1"/>
    </row>
    <row r="9" spans="2:25" hidden="1" x14ac:dyDescent="0.25">
      <c r="B9" s="1" t="s">
        <v>233</v>
      </c>
      <c r="C9" s="1" t="s">
        <v>14</v>
      </c>
      <c r="D9" s="1" t="s">
        <v>241</v>
      </c>
      <c r="E9" s="1" t="s">
        <v>336</v>
      </c>
      <c r="F9" s="2">
        <f t="shared" si="3"/>
        <v>250000</v>
      </c>
      <c r="G9" s="4">
        <f>+VLOOKUP(C9,Indicadores!B:C,2,FALSE)</f>
        <v>0.70937272727272738</v>
      </c>
      <c r="H9" s="1" t="str">
        <f t="shared" si="4"/>
        <v>Cumple</v>
      </c>
      <c r="I9" s="4">
        <f>+VLOOKUP(C9,Indicadores!B:F,5,FALSE)</f>
        <v>0.82608695652173914</v>
      </c>
      <c r="J9" s="1" t="str">
        <f t="shared" si="5"/>
        <v>Cumple</v>
      </c>
      <c r="K9" s="9">
        <f t="shared" si="0"/>
        <v>150000</v>
      </c>
      <c r="L9" s="4">
        <f>+VLOOKUP(C9,Indicadores!B:P,15,FALSE)</f>
        <v>0.35353333333333331</v>
      </c>
      <c r="M9" s="1" t="str">
        <f t="shared" si="6"/>
        <v>No Cumple</v>
      </c>
      <c r="N9" s="5">
        <f t="shared" si="7"/>
        <v>0</v>
      </c>
      <c r="O9" s="5">
        <f t="shared" si="1"/>
        <v>50000</v>
      </c>
      <c r="P9" s="4">
        <v>0.95</v>
      </c>
      <c r="Q9" s="5" t="str">
        <f t="shared" si="8"/>
        <v>Cumple</v>
      </c>
      <c r="R9" s="5">
        <f t="shared" si="9"/>
        <v>47500</v>
      </c>
      <c r="S9" s="5">
        <f t="shared" si="2"/>
        <v>50000</v>
      </c>
      <c r="T9" s="4">
        <f>+VLOOKUP(C9,Indicadores!B:V,21,FALSE)</f>
        <v>0.46970000000000001</v>
      </c>
      <c r="U9" s="35" t="str">
        <f t="shared" si="10"/>
        <v>No Cumple</v>
      </c>
      <c r="V9" s="2">
        <f t="shared" si="11"/>
        <v>0</v>
      </c>
      <c r="W9" s="5" t="str">
        <f t="shared" si="12"/>
        <v>SI</v>
      </c>
      <c r="X9" s="5">
        <f t="shared" si="13"/>
        <v>47500</v>
      </c>
      <c r="Y9" s="1"/>
    </row>
    <row r="10" spans="2:25" hidden="1" x14ac:dyDescent="0.25">
      <c r="B10" s="1" t="s">
        <v>233</v>
      </c>
      <c r="C10" s="1" t="s">
        <v>15</v>
      </c>
      <c r="D10" s="1" t="s">
        <v>241</v>
      </c>
      <c r="E10" s="1" t="s">
        <v>336</v>
      </c>
      <c r="F10" s="2">
        <f t="shared" si="3"/>
        <v>250000</v>
      </c>
      <c r="G10" s="4">
        <f>+VLOOKUP(C10,Indicadores!B:C,2,FALSE)</f>
        <v>0.75084545454545448</v>
      </c>
      <c r="H10" s="1" t="str">
        <f t="shared" si="4"/>
        <v>Cumple</v>
      </c>
      <c r="I10" s="4">
        <f>+VLOOKUP(C10,Indicadores!B:F,5,FALSE)</f>
        <v>1</v>
      </c>
      <c r="J10" s="1" t="str">
        <f t="shared" si="5"/>
        <v>Cumple</v>
      </c>
      <c r="K10" s="9">
        <f t="shared" si="0"/>
        <v>150000</v>
      </c>
      <c r="L10" s="4">
        <f>+VLOOKUP(C10,Indicadores!B:P,15,FALSE)</f>
        <v>0.53333333333333333</v>
      </c>
      <c r="M10" s="1" t="str">
        <f t="shared" si="6"/>
        <v>No Cumple</v>
      </c>
      <c r="N10" s="5">
        <f t="shared" si="7"/>
        <v>0</v>
      </c>
      <c r="O10" s="5">
        <f t="shared" si="1"/>
        <v>50000</v>
      </c>
      <c r="P10" s="4">
        <v>0.95</v>
      </c>
      <c r="Q10" s="5" t="str">
        <f t="shared" si="8"/>
        <v>Cumple</v>
      </c>
      <c r="R10" s="5">
        <f t="shared" si="9"/>
        <v>47500</v>
      </c>
      <c r="S10" s="5">
        <f t="shared" si="2"/>
        <v>50000</v>
      </c>
      <c r="T10" s="4">
        <f>+VLOOKUP(C10,Indicadores!B:V,21,FALSE)</f>
        <v>1</v>
      </c>
      <c r="U10" s="35" t="str">
        <f t="shared" si="10"/>
        <v>Cumple</v>
      </c>
      <c r="V10" s="2">
        <f t="shared" si="11"/>
        <v>50000</v>
      </c>
      <c r="W10" s="5" t="str">
        <f t="shared" si="12"/>
        <v>SI</v>
      </c>
      <c r="X10" s="5">
        <f t="shared" si="13"/>
        <v>97500</v>
      </c>
      <c r="Y10" s="1"/>
    </row>
    <row r="11" spans="2:25" hidden="1" x14ac:dyDescent="0.25">
      <c r="B11" s="1" t="s">
        <v>233</v>
      </c>
      <c r="C11" s="1" t="s">
        <v>16</v>
      </c>
      <c r="D11" s="1" t="s">
        <v>241</v>
      </c>
      <c r="E11" s="1" t="s">
        <v>336</v>
      </c>
      <c r="F11" s="2">
        <f t="shared" si="3"/>
        <v>250000</v>
      </c>
      <c r="G11" s="4">
        <f>+VLOOKUP(C11,Indicadores!B:C,2,FALSE)</f>
        <v>0.4869</v>
      </c>
      <c r="H11" s="1" t="str">
        <f t="shared" si="4"/>
        <v>No Cumple</v>
      </c>
      <c r="I11" s="4">
        <f>+VLOOKUP(C11,Indicadores!B:F,5,FALSE)</f>
        <v>1</v>
      </c>
      <c r="J11" s="1" t="str">
        <f t="shared" si="5"/>
        <v>Cumple</v>
      </c>
      <c r="K11" s="9">
        <f t="shared" si="0"/>
        <v>150000</v>
      </c>
      <c r="L11" s="4">
        <f>+VLOOKUP(C11,Indicadores!B:P,15,FALSE)</f>
        <v>0.30066666666666669</v>
      </c>
      <c r="M11" s="1" t="str">
        <f t="shared" si="6"/>
        <v>No Cumple</v>
      </c>
      <c r="N11" s="5">
        <f t="shared" si="7"/>
        <v>0</v>
      </c>
      <c r="O11" s="5">
        <f t="shared" si="1"/>
        <v>50000</v>
      </c>
      <c r="P11" s="4">
        <v>0.95</v>
      </c>
      <c r="Q11" s="5" t="str">
        <f t="shared" si="8"/>
        <v>Cumple</v>
      </c>
      <c r="R11" s="5">
        <f t="shared" si="9"/>
        <v>47500</v>
      </c>
      <c r="S11" s="5">
        <f t="shared" si="2"/>
        <v>50000</v>
      </c>
      <c r="T11" s="4">
        <f>+VLOOKUP(C11,Indicadores!B:V,21,FALSE)</f>
        <v>0.38984999999999997</v>
      </c>
      <c r="U11" s="35" t="str">
        <f t="shared" si="10"/>
        <v>No Cumple</v>
      </c>
      <c r="V11" s="2">
        <f t="shared" si="11"/>
        <v>0</v>
      </c>
      <c r="W11" s="5" t="str">
        <f t="shared" si="12"/>
        <v>SI</v>
      </c>
      <c r="X11" s="5">
        <f t="shared" si="13"/>
        <v>47500</v>
      </c>
      <c r="Y11" s="1"/>
    </row>
    <row r="12" spans="2:25" hidden="1" x14ac:dyDescent="0.25">
      <c r="B12" s="1" t="s">
        <v>233</v>
      </c>
      <c r="C12" s="1" t="s">
        <v>17</v>
      </c>
      <c r="D12" s="1" t="s">
        <v>241</v>
      </c>
      <c r="E12" s="1" t="s">
        <v>336</v>
      </c>
      <c r="F12" s="2">
        <f t="shared" si="3"/>
        <v>250000</v>
      </c>
      <c r="G12" s="4">
        <f>+VLOOKUP(C12,Indicadores!B:C,2,FALSE)</f>
        <v>0.78221818181818181</v>
      </c>
      <c r="H12" s="1" t="str">
        <f t="shared" si="4"/>
        <v>Cumple</v>
      </c>
      <c r="I12" s="4">
        <f>+VLOOKUP(C12,Indicadores!B:F,5,FALSE)</f>
        <v>1</v>
      </c>
      <c r="J12" s="1" t="str">
        <f t="shared" si="5"/>
        <v>Cumple</v>
      </c>
      <c r="K12" s="9">
        <f t="shared" si="0"/>
        <v>150000</v>
      </c>
      <c r="L12" s="4">
        <f>+VLOOKUP(C12,Indicadores!B:P,15,FALSE)</f>
        <v>0.56656666666666666</v>
      </c>
      <c r="M12" s="1" t="str">
        <f t="shared" si="6"/>
        <v>No Cumple</v>
      </c>
      <c r="N12" s="5">
        <f t="shared" si="7"/>
        <v>0</v>
      </c>
      <c r="O12" s="5">
        <f t="shared" si="1"/>
        <v>50000</v>
      </c>
      <c r="P12" s="4">
        <v>0.95</v>
      </c>
      <c r="Q12" s="5" t="str">
        <f t="shared" si="8"/>
        <v>Cumple</v>
      </c>
      <c r="R12" s="5">
        <f t="shared" si="9"/>
        <v>47500</v>
      </c>
      <c r="S12" s="5">
        <f t="shared" si="2"/>
        <v>50000</v>
      </c>
      <c r="T12" s="4">
        <f>+VLOOKUP(C12,Indicadores!B:V,21,FALSE)</f>
        <v>0.4945</v>
      </c>
      <c r="U12" s="35" t="str">
        <f t="shared" si="10"/>
        <v>No Cumple</v>
      </c>
      <c r="V12" s="2">
        <f t="shared" si="11"/>
        <v>0</v>
      </c>
      <c r="W12" s="5" t="str">
        <f t="shared" si="12"/>
        <v>SI</v>
      </c>
      <c r="X12" s="5">
        <f t="shared" si="13"/>
        <v>47500</v>
      </c>
      <c r="Y12" s="1"/>
    </row>
    <row r="13" spans="2:25" hidden="1" x14ac:dyDescent="0.25">
      <c r="B13" s="1" t="s">
        <v>233</v>
      </c>
      <c r="C13" s="1" t="s">
        <v>18</v>
      </c>
      <c r="D13" s="1" t="s">
        <v>241</v>
      </c>
      <c r="E13" s="1" t="s">
        <v>336</v>
      </c>
      <c r="F13" s="2">
        <f t="shared" si="3"/>
        <v>250000</v>
      </c>
      <c r="G13" s="4">
        <f>+VLOOKUP(C13,Indicadores!B:C,2,FALSE)</f>
        <v>0.75439999999999996</v>
      </c>
      <c r="H13" s="1" t="str">
        <f t="shared" si="4"/>
        <v>Cumple</v>
      </c>
      <c r="I13" s="4">
        <f>+VLOOKUP(C13,Indicadores!B:F,5,FALSE)</f>
        <v>0.9285714285714286</v>
      </c>
      <c r="J13" s="1" t="str">
        <f t="shared" si="5"/>
        <v>Cumple</v>
      </c>
      <c r="K13" s="9">
        <f t="shared" si="0"/>
        <v>150000</v>
      </c>
      <c r="L13" s="4">
        <f>+VLOOKUP(C13,Indicadores!B:P,15,FALSE)</f>
        <v>0.36899999999999999</v>
      </c>
      <c r="M13" s="1" t="str">
        <f t="shared" si="6"/>
        <v>No Cumple</v>
      </c>
      <c r="N13" s="5">
        <f t="shared" si="7"/>
        <v>0</v>
      </c>
      <c r="O13" s="5">
        <f t="shared" si="1"/>
        <v>50000</v>
      </c>
      <c r="P13" s="4">
        <v>0.95</v>
      </c>
      <c r="Q13" s="5" t="str">
        <f t="shared" si="8"/>
        <v>Cumple</v>
      </c>
      <c r="R13" s="5">
        <f t="shared" si="9"/>
        <v>47500</v>
      </c>
      <c r="S13" s="5">
        <f t="shared" si="2"/>
        <v>50000</v>
      </c>
      <c r="T13" s="4">
        <f>+VLOOKUP(C13,Indicadores!B:V,21,FALSE)</f>
        <v>0.94030000000000002</v>
      </c>
      <c r="U13" s="35" t="str">
        <f t="shared" si="10"/>
        <v>No Cumple</v>
      </c>
      <c r="V13" s="2">
        <f t="shared" si="11"/>
        <v>45000</v>
      </c>
      <c r="W13" s="5" t="str">
        <f t="shared" si="12"/>
        <v>SI</v>
      </c>
      <c r="X13" s="5">
        <f t="shared" si="13"/>
        <v>92500</v>
      </c>
      <c r="Y13" s="1"/>
    </row>
    <row r="14" spans="2:25" x14ac:dyDescent="0.25">
      <c r="B14" s="1" t="s">
        <v>233</v>
      </c>
      <c r="C14" s="1" t="s">
        <v>19</v>
      </c>
      <c r="D14" s="1" t="s">
        <v>242</v>
      </c>
      <c r="E14" s="1" t="s">
        <v>302</v>
      </c>
      <c r="F14" s="2">
        <f t="shared" si="3"/>
        <v>250000</v>
      </c>
      <c r="G14" s="4">
        <f>+VLOOKUP(C14,Indicadores!B:C,2,FALSE)</f>
        <v>0.73967272727272726</v>
      </c>
      <c r="H14" s="1" t="str">
        <f t="shared" si="4"/>
        <v>Cumple</v>
      </c>
      <c r="I14" s="4">
        <f>+VLOOKUP(C14,Indicadores!B:F,5,FALSE)</f>
        <v>0.5</v>
      </c>
      <c r="J14" s="1" t="str">
        <f t="shared" si="5"/>
        <v>No Cumple</v>
      </c>
      <c r="K14" s="9">
        <f t="shared" si="0"/>
        <v>150000</v>
      </c>
      <c r="L14" s="4">
        <f>+VLOOKUP(C14,Indicadores!B:P,15,FALSE)</f>
        <v>0.66163333333333341</v>
      </c>
      <c r="M14" s="1" t="str">
        <f t="shared" si="6"/>
        <v>No Cumple</v>
      </c>
      <c r="N14" s="5">
        <f t="shared" si="7"/>
        <v>0</v>
      </c>
      <c r="O14" s="5">
        <f t="shared" si="1"/>
        <v>50000</v>
      </c>
      <c r="P14" s="4">
        <v>0.95</v>
      </c>
      <c r="Q14" s="5" t="str">
        <f t="shared" si="8"/>
        <v>Cumple</v>
      </c>
      <c r="R14" s="5">
        <f t="shared" si="9"/>
        <v>47500</v>
      </c>
      <c r="S14" s="5">
        <f t="shared" si="2"/>
        <v>50000</v>
      </c>
      <c r="T14" s="4">
        <f>+VLOOKUP(C14,Indicadores!B:V,21,FALSE)</f>
        <v>0.40910000000000002</v>
      </c>
      <c r="U14" s="35" t="str">
        <f t="shared" si="10"/>
        <v>No Cumple</v>
      </c>
      <c r="V14" s="2">
        <f t="shared" si="11"/>
        <v>0</v>
      </c>
      <c r="W14" s="5" t="str">
        <f t="shared" si="12"/>
        <v>NO</v>
      </c>
      <c r="X14" s="5">
        <f t="shared" si="13"/>
        <v>0</v>
      </c>
      <c r="Y14" s="1"/>
    </row>
    <row r="15" spans="2:25" hidden="1" x14ac:dyDescent="0.25">
      <c r="B15" s="1" t="s">
        <v>233</v>
      </c>
      <c r="C15" s="1" t="s">
        <v>20</v>
      </c>
      <c r="D15" s="1" t="s">
        <v>242</v>
      </c>
      <c r="E15" s="1" t="s">
        <v>302</v>
      </c>
      <c r="F15" s="2">
        <f t="shared" si="3"/>
        <v>250000</v>
      </c>
      <c r="G15" s="4">
        <f>+VLOOKUP(C15,Indicadores!B:C,2,FALSE)</f>
        <v>0.27650909090909087</v>
      </c>
      <c r="H15" s="1" t="str">
        <f t="shared" si="4"/>
        <v>No Cumple</v>
      </c>
      <c r="I15" s="4">
        <f>+VLOOKUP(C15,Indicadores!B:F,5,FALSE)</f>
        <v>1</v>
      </c>
      <c r="J15" s="1" t="str">
        <f t="shared" si="5"/>
        <v>Cumple</v>
      </c>
      <c r="K15" s="9">
        <f t="shared" si="0"/>
        <v>150000</v>
      </c>
      <c r="L15" s="4">
        <f>+VLOOKUP(C15,Indicadores!B:P,15,FALSE)</f>
        <v>0.11109999999999999</v>
      </c>
      <c r="M15" s="1" t="str">
        <f t="shared" si="6"/>
        <v>No Cumple</v>
      </c>
      <c r="N15" s="5">
        <f t="shared" si="7"/>
        <v>0</v>
      </c>
      <c r="O15" s="5">
        <f t="shared" si="1"/>
        <v>50000</v>
      </c>
      <c r="P15" s="4">
        <v>0.95</v>
      </c>
      <c r="Q15" s="5" t="str">
        <f t="shared" si="8"/>
        <v>Cumple</v>
      </c>
      <c r="R15" s="5">
        <f t="shared" si="9"/>
        <v>47500</v>
      </c>
      <c r="S15" s="5">
        <f t="shared" si="2"/>
        <v>50000</v>
      </c>
      <c r="T15" s="4">
        <f>+VLOOKUP(C15,Indicadores!B:V,21,FALSE)</f>
        <v>0.375</v>
      </c>
      <c r="U15" s="35" t="str">
        <f t="shared" si="10"/>
        <v>No Cumple</v>
      </c>
      <c r="V15" s="2">
        <f t="shared" si="11"/>
        <v>0</v>
      </c>
      <c r="W15" s="5" t="str">
        <f t="shared" si="12"/>
        <v>SI</v>
      </c>
      <c r="X15" s="5">
        <f t="shared" si="13"/>
        <v>47500</v>
      </c>
      <c r="Y15" s="1"/>
    </row>
    <row r="16" spans="2:25" x14ac:dyDescent="0.25">
      <c r="B16" s="1" t="s">
        <v>233</v>
      </c>
      <c r="C16" s="1" t="s">
        <v>21</v>
      </c>
      <c r="D16" s="1" t="s">
        <v>241</v>
      </c>
      <c r="E16" s="1" t="s">
        <v>336</v>
      </c>
      <c r="F16" s="2">
        <f t="shared" si="3"/>
        <v>250000</v>
      </c>
      <c r="G16" s="4">
        <f>+VLOOKUP(C16,Indicadores!B:C,2,FALSE)</f>
        <v>0.76430909090909083</v>
      </c>
      <c r="H16" s="1" t="str">
        <f t="shared" si="4"/>
        <v>Cumple</v>
      </c>
      <c r="I16" s="4">
        <f>+VLOOKUP(C16,Indicadores!B:F,5,FALSE)</f>
        <v>1</v>
      </c>
      <c r="J16" s="1" t="str">
        <f t="shared" si="5"/>
        <v>Cumple</v>
      </c>
      <c r="K16" s="9">
        <f t="shared" si="0"/>
        <v>150000</v>
      </c>
      <c r="L16" s="4">
        <f>+VLOOKUP(C16,Indicadores!B:P,15,FALSE)</f>
        <v>0.66666666666666663</v>
      </c>
      <c r="M16" s="1" t="str">
        <f t="shared" si="6"/>
        <v>No Cumple</v>
      </c>
      <c r="N16" s="5">
        <f t="shared" si="7"/>
        <v>0</v>
      </c>
      <c r="O16" s="5">
        <f t="shared" si="1"/>
        <v>50000</v>
      </c>
      <c r="P16" s="4">
        <v>0.95</v>
      </c>
      <c r="Q16" s="5" t="str">
        <f t="shared" si="8"/>
        <v>Cumple</v>
      </c>
      <c r="R16" s="5">
        <f t="shared" si="9"/>
        <v>47500</v>
      </c>
      <c r="S16" s="5">
        <f t="shared" si="2"/>
        <v>50000</v>
      </c>
      <c r="T16" s="4">
        <f>+VLOOKUP(C16,Indicadores!B:V,21,FALSE)</f>
        <v>1</v>
      </c>
      <c r="U16" s="35" t="str">
        <f t="shared" si="10"/>
        <v>Cumple</v>
      </c>
      <c r="V16" s="2">
        <f t="shared" si="11"/>
        <v>50000</v>
      </c>
      <c r="W16" s="5" t="str">
        <f t="shared" si="12"/>
        <v>SI</v>
      </c>
      <c r="X16" s="5">
        <f t="shared" si="13"/>
        <v>97500</v>
      </c>
      <c r="Y16" s="1"/>
    </row>
    <row r="17" spans="2:25" hidden="1" x14ac:dyDescent="0.25">
      <c r="B17" s="1" t="s">
        <v>233</v>
      </c>
      <c r="C17" s="1" t="s">
        <v>22</v>
      </c>
      <c r="D17" s="1" t="s">
        <v>241</v>
      </c>
      <c r="E17" s="1" t="s">
        <v>336</v>
      </c>
      <c r="F17" s="2">
        <f t="shared" si="3"/>
        <v>250000</v>
      </c>
      <c r="G17" s="4">
        <f>+VLOOKUP(C17,Indicadores!B:C,2,FALSE)</f>
        <v>0.73865454545454545</v>
      </c>
      <c r="H17" s="1" t="str">
        <f t="shared" si="4"/>
        <v>Cumple</v>
      </c>
      <c r="I17" s="4">
        <f>+VLOOKUP(C17,Indicadores!B:F,5,FALSE)</f>
        <v>1</v>
      </c>
      <c r="J17" s="1" t="str">
        <f t="shared" si="5"/>
        <v>Cumple</v>
      </c>
      <c r="K17" s="9">
        <f t="shared" si="0"/>
        <v>150000</v>
      </c>
      <c r="L17" s="4">
        <f>+VLOOKUP(C17,Indicadores!B:P,15,FALSE)</f>
        <v>0.30556666666666665</v>
      </c>
      <c r="M17" s="1" t="str">
        <f t="shared" si="6"/>
        <v>No Cumple</v>
      </c>
      <c r="N17" s="5">
        <f t="shared" si="7"/>
        <v>0</v>
      </c>
      <c r="O17" s="5">
        <f t="shared" si="1"/>
        <v>50000</v>
      </c>
      <c r="P17" s="4">
        <v>0.95</v>
      </c>
      <c r="Q17" s="5" t="str">
        <f t="shared" si="8"/>
        <v>Cumple</v>
      </c>
      <c r="R17" s="5">
        <f t="shared" si="9"/>
        <v>47500</v>
      </c>
      <c r="S17" s="5">
        <f t="shared" si="2"/>
        <v>50000</v>
      </c>
      <c r="T17" s="4">
        <f>+VLOOKUP(C17,Indicadores!B:V,21,FALSE)</f>
        <v>0.91669999999999996</v>
      </c>
      <c r="U17" s="35" t="str">
        <f t="shared" si="10"/>
        <v>No Cumple</v>
      </c>
      <c r="V17" s="2">
        <f t="shared" si="11"/>
        <v>45000</v>
      </c>
      <c r="W17" s="5" t="str">
        <f t="shared" si="12"/>
        <v>SI</v>
      </c>
      <c r="X17" s="5">
        <f t="shared" si="13"/>
        <v>92500</v>
      </c>
      <c r="Y17" s="1"/>
    </row>
    <row r="18" spans="2:25" hidden="1" x14ac:dyDescent="0.25">
      <c r="B18" s="1" t="s">
        <v>233</v>
      </c>
      <c r="C18" s="1" t="s">
        <v>23</v>
      </c>
      <c r="D18" s="1" t="s">
        <v>241</v>
      </c>
      <c r="E18" s="1" t="s">
        <v>336</v>
      </c>
      <c r="F18" s="2">
        <f t="shared" si="3"/>
        <v>250000</v>
      </c>
      <c r="G18" s="4">
        <f>+VLOOKUP(C18,Indicadores!B:C,2,FALSE)</f>
        <v>0.76424545454545456</v>
      </c>
      <c r="H18" s="1" t="str">
        <f t="shared" si="4"/>
        <v>Cumple</v>
      </c>
      <c r="I18" s="4">
        <f>+VLOOKUP(C18,Indicadores!B:F,5,FALSE)</f>
        <v>1</v>
      </c>
      <c r="J18" s="1" t="str">
        <f t="shared" si="5"/>
        <v>Cumple</v>
      </c>
      <c r="K18" s="9">
        <f t="shared" si="0"/>
        <v>150000</v>
      </c>
      <c r="L18" s="4">
        <f>+VLOOKUP(C18,Indicadores!B:P,15,FALSE)</f>
        <v>0.43973333333333336</v>
      </c>
      <c r="M18" s="1" t="str">
        <f t="shared" si="6"/>
        <v>No Cumple</v>
      </c>
      <c r="N18" s="5">
        <f t="shared" si="7"/>
        <v>0</v>
      </c>
      <c r="O18" s="5">
        <f t="shared" si="1"/>
        <v>50000</v>
      </c>
      <c r="P18" s="4">
        <v>0.95</v>
      </c>
      <c r="Q18" s="5" t="str">
        <f t="shared" si="8"/>
        <v>Cumple</v>
      </c>
      <c r="R18" s="5">
        <f t="shared" si="9"/>
        <v>47500</v>
      </c>
      <c r="S18" s="5">
        <f t="shared" si="2"/>
        <v>50000</v>
      </c>
      <c r="T18" s="4">
        <f>+VLOOKUP(C18,Indicadores!B:V,21,FALSE)</f>
        <v>0.5</v>
      </c>
      <c r="U18" s="35" t="str">
        <f t="shared" si="10"/>
        <v>No Cumple</v>
      </c>
      <c r="V18" s="2">
        <f t="shared" si="11"/>
        <v>0</v>
      </c>
      <c r="W18" s="5" t="str">
        <f t="shared" si="12"/>
        <v>SI</v>
      </c>
      <c r="X18" s="5">
        <f t="shared" si="13"/>
        <v>47500</v>
      </c>
      <c r="Y18" s="1"/>
    </row>
    <row r="19" spans="2:25" x14ac:dyDescent="0.25">
      <c r="B19" s="1" t="s">
        <v>233</v>
      </c>
      <c r="C19" s="1" t="s">
        <v>24</v>
      </c>
      <c r="D19" s="1" t="s">
        <v>241</v>
      </c>
      <c r="E19" s="1" t="s">
        <v>336</v>
      </c>
      <c r="F19" s="2">
        <f t="shared" si="3"/>
        <v>250000</v>
      </c>
      <c r="G19" s="4">
        <f>+VLOOKUP(C19,Indicadores!B:C,2,FALSE)</f>
        <v>0.77872727272727282</v>
      </c>
      <c r="H19" s="1" t="str">
        <f t="shared" si="4"/>
        <v>Cumple</v>
      </c>
      <c r="I19" s="4">
        <f>+VLOOKUP(C19,Indicadores!B:F,5,FALSE)</f>
        <v>0.66666666666666663</v>
      </c>
      <c r="J19" s="1" t="str">
        <f t="shared" si="5"/>
        <v>No Cumple</v>
      </c>
      <c r="K19" s="9">
        <f t="shared" si="0"/>
        <v>150000</v>
      </c>
      <c r="L19" s="4">
        <f>+VLOOKUP(C19,Indicadores!B:P,15,FALSE)</f>
        <v>0.66510000000000002</v>
      </c>
      <c r="M19" s="1" t="str">
        <f t="shared" si="6"/>
        <v>No Cumple</v>
      </c>
      <c r="N19" s="5">
        <f t="shared" si="7"/>
        <v>0</v>
      </c>
      <c r="O19" s="5">
        <f t="shared" si="1"/>
        <v>50000</v>
      </c>
      <c r="P19" s="4">
        <v>0.95</v>
      </c>
      <c r="Q19" s="5" t="str">
        <f t="shared" si="8"/>
        <v>Cumple</v>
      </c>
      <c r="R19" s="5">
        <f t="shared" si="9"/>
        <v>47500</v>
      </c>
      <c r="S19" s="5">
        <f t="shared" si="2"/>
        <v>50000</v>
      </c>
      <c r="T19" s="4">
        <f>+VLOOKUP(C19,Indicadores!B:V,21,FALSE)</f>
        <v>0.5</v>
      </c>
      <c r="U19" s="35" t="str">
        <f t="shared" si="10"/>
        <v>No Cumple</v>
      </c>
      <c r="V19" s="2">
        <f t="shared" si="11"/>
        <v>0</v>
      </c>
      <c r="W19" s="5" t="str">
        <f t="shared" si="12"/>
        <v>NO</v>
      </c>
      <c r="X19" s="5">
        <f t="shared" si="13"/>
        <v>0</v>
      </c>
      <c r="Y19" s="1"/>
    </row>
    <row r="20" spans="2:25" hidden="1" x14ac:dyDescent="0.25">
      <c r="B20" s="1" t="s">
        <v>233</v>
      </c>
      <c r="C20" s="1" t="s">
        <v>25</v>
      </c>
      <c r="D20" s="1" t="s">
        <v>241</v>
      </c>
      <c r="E20" s="1" t="s">
        <v>336</v>
      </c>
      <c r="F20" s="2">
        <f t="shared" si="3"/>
        <v>250000</v>
      </c>
      <c r="G20" s="4">
        <f>+VLOOKUP(C20,Indicadores!B:C,2,FALSE)</f>
        <v>0.74007272727272733</v>
      </c>
      <c r="H20" s="1" t="str">
        <f t="shared" si="4"/>
        <v>Cumple</v>
      </c>
      <c r="I20" s="4">
        <f>+VLOOKUP(C20,Indicadores!B:F,5,FALSE)</f>
        <v>0.83333333333333337</v>
      </c>
      <c r="J20" s="1" t="str">
        <f t="shared" si="5"/>
        <v>Cumple</v>
      </c>
      <c r="K20" s="9">
        <f t="shared" si="0"/>
        <v>150000</v>
      </c>
      <c r="L20" s="4">
        <f>+VLOOKUP(C20,Indicadores!B:P,15,FALSE)</f>
        <v>0.33333333333333331</v>
      </c>
      <c r="M20" s="1" t="str">
        <f t="shared" si="6"/>
        <v>No Cumple</v>
      </c>
      <c r="N20" s="5">
        <f t="shared" si="7"/>
        <v>0</v>
      </c>
      <c r="O20" s="5">
        <f t="shared" si="1"/>
        <v>50000</v>
      </c>
      <c r="P20" s="4">
        <v>0.95</v>
      </c>
      <c r="Q20" s="5" t="str">
        <f t="shared" si="8"/>
        <v>Cumple</v>
      </c>
      <c r="R20" s="5">
        <f t="shared" si="9"/>
        <v>47500</v>
      </c>
      <c r="S20" s="5">
        <f t="shared" si="2"/>
        <v>50000</v>
      </c>
      <c r="T20" s="4">
        <f>+VLOOKUP(C20,Indicadores!B:V,21,FALSE)</f>
        <v>0.49220000000000003</v>
      </c>
      <c r="U20" s="35" t="str">
        <f t="shared" si="10"/>
        <v>No Cumple</v>
      </c>
      <c r="V20" s="2">
        <f t="shared" si="11"/>
        <v>0</v>
      </c>
      <c r="W20" s="5" t="str">
        <f t="shared" si="12"/>
        <v>SI</v>
      </c>
      <c r="X20" s="5">
        <f t="shared" si="13"/>
        <v>47500</v>
      </c>
      <c r="Y20" s="1"/>
    </row>
    <row r="21" spans="2:25" hidden="1" x14ac:dyDescent="0.25">
      <c r="B21" s="1" t="s">
        <v>233</v>
      </c>
      <c r="C21" s="1" t="s">
        <v>26</v>
      </c>
      <c r="D21" s="1" t="s">
        <v>241</v>
      </c>
      <c r="E21" s="1" t="s">
        <v>336</v>
      </c>
      <c r="F21" s="2">
        <f t="shared" si="3"/>
        <v>250000</v>
      </c>
      <c r="G21" s="4">
        <f>+VLOOKUP(C21,Indicadores!B:C,2,FALSE)</f>
        <v>0.75609090909090915</v>
      </c>
      <c r="H21" s="1" t="str">
        <f t="shared" si="4"/>
        <v>Cumple</v>
      </c>
      <c r="I21" s="4">
        <f>+VLOOKUP(C21,Indicadores!B:F,5,FALSE)</f>
        <v>1</v>
      </c>
      <c r="J21" s="1" t="str">
        <f t="shared" si="5"/>
        <v>Cumple</v>
      </c>
      <c r="K21" s="9">
        <f t="shared" si="0"/>
        <v>150000</v>
      </c>
      <c r="L21" s="4">
        <f>+VLOOKUP(C21,Indicadores!B:P,15,FALSE)</f>
        <v>0.38210000000000005</v>
      </c>
      <c r="M21" s="1" t="str">
        <f t="shared" si="6"/>
        <v>No Cumple</v>
      </c>
      <c r="N21" s="5">
        <f t="shared" si="7"/>
        <v>0</v>
      </c>
      <c r="O21" s="5">
        <f t="shared" si="1"/>
        <v>50000</v>
      </c>
      <c r="P21" s="4">
        <v>0.95</v>
      </c>
      <c r="Q21" s="5" t="str">
        <f t="shared" si="8"/>
        <v>Cumple</v>
      </c>
      <c r="R21" s="5">
        <f t="shared" si="9"/>
        <v>47500</v>
      </c>
      <c r="S21" s="5">
        <f t="shared" si="2"/>
        <v>50000</v>
      </c>
      <c r="T21" s="4">
        <f>+VLOOKUP(C21,Indicadores!B:V,21,FALSE)</f>
        <v>0.48780000000000001</v>
      </c>
      <c r="U21" s="35" t="str">
        <f t="shared" si="10"/>
        <v>No Cumple</v>
      </c>
      <c r="V21" s="2">
        <f t="shared" si="11"/>
        <v>0</v>
      </c>
      <c r="W21" s="5" t="str">
        <f t="shared" si="12"/>
        <v>SI</v>
      </c>
      <c r="X21" s="5">
        <f t="shared" si="13"/>
        <v>47500</v>
      </c>
      <c r="Y21" s="1"/>
    </row>
    <row r="22" spans="2:25" x14ac:dyDescent="0.25">
      <c r="B22" s="1" t="s">
        <v>233</v>
      </c>
      <c r="C22" s="1" t="s">
        <v>27</v>
      </c>
      <c r="D22" s="1" t="s">
        <v>241</v>
      </c>
      <c r="E22" s="1" t="s">
        <v>337</v>
      </c>
      <c r="F22" s="2">
        <f t="shared" si="3"/>
        <v>250000</v>
      </c>
      <c r="G22" s="4">
        <f>+VLOOKUP(C22,Indicadores!B:C,2,FALSE)</f>
        <v>0.8050272727272727</v>
      </c>
      <c r="H22" s="1" t="str">
        <f t="shared" si="4"/>
        <v>Cumple</v>
      </c>
      <c r="I22" s="4">
        <f>+VLOOKUP(C22,Indicadores!B:F,5,FALSE)</f>
        <v>1</v>
      </c>
      <c r="J22" s="1" t="str">
        <f t="shared" si="5"/>
        <v>Cumple</v>
      </c>
      <c r="K22" s="9">
        <f t="shared" si="0"/>
        <v>150000</v>
      </c>
      <c r="L22" s="4">
        <f>+VLOOKUP(C22,Indicadores!B:P,15,FALSE)</f>
        <v>0.61946666666666672</v>
      </c>
      <c r="M22" s="1" t="str">
        <f t="shared" si="6"/>
        <v>No Cumple</v>
      </c>
      <c r="N22" s="5">
        <f t="shared" si="7"/>
        <v>0</v>
      </c>
      <c r="O22" s="5">
        <f t="shared" si="1"/>
        <v>50000</v>
      </c>
      <c r="P22" s="4">
        <v>0.95</v>
      </c>
      <c r="Q22" s="5" t="str">
        <f t="shared" si="8"/>
        <v>Cumple</v>
      </c>
      <c r="R22" s="5">
        <f t="shared" si="9"/>
        <v>47500</v>
      </c>
      <c r="S22" s="5">
        <f t="shared" si="2"/>
        <v>50000</v>
      </c>
      <c r="T22" s="4">
        <f>+VLOOKUP(C22,Indicadores!B:V,21,FALSE)</f>
        <v>1</v>
      </c>
      <c r="U22" s="35" t="str">
        <f t="shared" si="10"/>
        <v>Cumple</v>
      </c>
      <c r="V22" s="2">
        <f t="shared" si="11"/>
        <v>50000</v>
      </c>
      <c r="W22" s="5" t="str">
        <f t="shared" si="12"/>
        <v>SI</v>
      </c>
      <c r="X22" s="5">
        <f t="shared" si="13"/>
        <v>97500</v>
      </c>
      <c r="Y22" s="1"/>
    </row>
    <row r="23" spans="2:25" hidden="1" x14ac:dyDescent="0.25">
      <c r="B23" s="1" t="s">
        <v>233</v>
      </c>
      <c r="C23" s="1" t="s">
        <v>28</v>
      </c>
      <c r="D23" s="1" t="s">
        <v>241</v>
      </c>
      <c r="E23" s="1" t="s">
        <v>337</v>
      </c>
      <c r="F23" s="2">
        <f t="shared" si="3"/>
        <v>250000</v>
      </c>
      <c r="G23" s="4">
        <f>+VLOOKUP(C23,Indicadores!B:C,2,FALSE)</f>
        <v>0.76277272727272727</v>
      </c>
      <c r="H23" s="1" t="str">
        <f t="shared" si="4"/>
        <v>Cumple</v>
      </c>
      <c r="I23" s="4">
        <f>+VLOOKUP(C23,Indicadores!B:F,5,FALSE)</f>
        <v>1</v>
      </c>
      <c r="J23" s="1" t="str">
        <f t="shared" si="5"/>
        <v>Cumple</v>
      </c>
      <c r="K23" s="9">
        <f t="shared" si="0"/>
        <v>150000</v>
      </c>
      <c r="L23" s="4">
        <f>+VLOOKUP(C23,Indicadores!B:P,15,FALSE)</f>
        <v>0.48530000000000001</v>
      </c>
      <c r="M23" s="1" t="str">
        <f t="shared" si="6"/>
        <v>No Cumple</v>
      </c>
      <c r="N23" s="5">
        <f t="shared" si="7"/>
        <v>0</v>
      </c>
      <c r="O23" s="5">
        <f t="shared" si="1"/>
        <v>50000</v>
      </c>
      <c r="P23" s="4">
        <v>0.95</v>
      </c>
      <c r="Q23" s="5" t="str">
        <f t="shared" si="8"/>
        <v>Cumple</v>
      </c>
      <c r="R23" s="5">
        <f t="shared" si="9"/>
        <v>47500</v>
      </c>
      <c r="S23" s="5">
        <f t="shared" si="2"/>
        <v>50000</v>
      </c>
      <c r="T23" s="4">
        <f>+VLOOKUP(C23,Indicadores!B:V,21,FALSE)</f>
        <v>1</v>
      </c>
      <c r="U23" s="35" t="str">
        <f t="shared" si="10"/>
        <v>Cumple</v>
      </c>
      <c r="V23" s="2">
        <f t="shared" si="11"/>
        <v>50000</v>
      </c>
      <c r="W23" s="5" t="str">
        <f t="shared" si="12"/>
        <v>SI</v>
      </c>
      <c r="X23" s="5">
        <f t="shared" si="13"/>
        <v>97500</v>
      </c>
      <c r="Y23" s="1"/>
    </row>
    <row r="24" spans="2:25" hidden="1" x14ac:dyDescent="0.25">
      <c r="B24" s="1" t="s">
        <v>233</v>
      </c>
      <c r="C24" s="1" t="s">
        <v>29</v>
      </c>
      <c r="D24" s="1" t="s">
        <v>241</v>
      </c>
      <c r="E24" s="1" t="s">
        <v>337</v>
      </c>
      <c r="F24" s="2">
        <f t="shared" si="3"/>
        <v>250000</v>
      </c>
      <c r="G24" s="4">
        <f>+VLOOKUP(C24,Indicadores!B:C,2,FALSE)</f>
        <v>0.83382727272727275</v>
      </c>
      <c r="H24" s="1" t="str">
        <f t="shared" si="4"/>
        <v>Cumple</v>
      </c>
      <c r="I24" s="4">
        <f>+VLOOKUP(C24,Indicadores!B:F,5,FALSE)</f>
        <v>1</v>
      </c>
      <c r="J24" s="1" t="str">
        <f t="shared" si="5"/>
        <v>Cumple</v>
      </c>
      <c r="K24" s="9">
        <f t="shared" si="0"/>
        <v>150000</v>
      </c>
      <c r="L24" s="4">
        <f>+VLOOKUP(C24,Indicadores!B:P,15,FALSE)</f>
        <v>0.4371666666666667</v>
      </c>
      <c r="M24" s="1" t="str">
        <f t="shared" si="6"/>
        <v>No Cumple</v>
      </c>
      <c r="N24" s="5">
        <f t="shared" si="7"/>
        <v>0</v>
      </c>
      <c r="O24" s="5">
        <f t="shared" si="1"/>
        <v>50000</v>
      </c>
      <c r="P24" s="4">
        <v>0.95</v>
      </c>
      <c r="Q24" s="5" t="str">
        <f t="shared" si="8"/>
        <v>Cumple</v>
      </c>
      <c r="R24" s="5">
        <f t="shared" si="9"/>
        <v>47500</v>
      </c>
      <c r="S24" s="5">
        <f t="shared" si="2"/>
        <v>50000</v>
      </c>
      <c r="T24" s="4">
        <f>+VLOOKUP(C24,Indicadores!B:V,21,FALSE)</f>
        <v>1</v>
      </c>
      <c r="U24" s="35" t="str">
        <f t="shared" si="10"/>
        <v>Cumple</v>
      </c>
      <c r="V24" s="2">
        <f t="shared" si="11"/>
        <v>50000</v>
      </c>
      <c r="W24" s="5" t="str">
        <f t="shared" si="12"/>
        <v>SI</v>
      </c>
      <c r="X24" s="5">
        <f t="shared" si="13"/>
        <v>97500</v>
      </c>
      <c r="Y24" s="1"/>
    </row>
    <row r="25" spans="2:25" hidden="1" x14ac:dyDescent="0.25">
      <c r="B25" s="1" t="s">
        <v>233</v>
      </c>
      <c r="C25" s="1" t="s">
        <v>30</v>
      </c>
      <c r="D25" s="1" t="s">
        <v>241</v>
      </c>
      <c r="E25" s="1" t="s">
        <v>337</v>
      </c>
      <c r="F25" s="2">
        <f t="shared" si="3"/>
        <v>250000</v>
      </c>
      <c r="G25" s="4">
        <f>+VLOOKUP(C25,Indicadores!B:C,2,FALSE)</f>
        <v>0.84884545454545457</v>
      </c>
      <c r="H25" s="1" t="str">
        <f t="shared" si="4"/>
        <v>Cumple</v>
      </c>
      <c r="I25" s="4">
        <f>+VLOOKUP(C25,Indicadores!B:F,5,FALSE)</f>
        <v>1</v>
      </c>
      <c r="J25" s="1" t="str">
        <f t="shared" si="5"/>
        <v>Cumple</v>
      </c>
      <c r="K25" s="9">
        <f t="shared" si="0"/>
        <v>150000</v>
      </c>
      <c r="L25" s="4">
        <f>+VLOOKUP(C25,Indicadores!B:P,15,FALSE)</f>
        <v>0.84649999999999992</v>
      </c>
      <c r="M25" s="1" t="str">
        <f t="shared" si="6"/>
        <v>Cumple</v>
      </c>
      <c r="N25" s="5">
        <f t="shared" si="7"/>
        <v>120000</v>
      </c>
      <c r="O25" s="5">
        <f t="shared" si="1"/>
        <v>50000</v>
      </c>
      <c r="P25" s="4">
        <v>0.95</v>
      </c>
      <c r="Q25" s="5" t="str">
        <f t="shared" si="8"/>
        <v>Cumple</v>
      </c>
      <c r="R25" s="5">
        <f t="shared" si="9"/>
        <v>47500</v>
      </c>
      <c r="S25" s="5">
        <f t="shared" si="2"/>
        <v>50000</v>
      </c>
      <c r="T25" s="4">
        <f>+VLOOKUP(C25,Indicadores!B:V,21,FALSE)</f>
        <v>0.5</v>
      </c>
      <c r="U25" s="35" t="str">
        <f t="shared" si="10"/>
        <v>No Cumple</v>
      </c>
      <c r="V25" s="2">
        <f t="shared" si="11"/>
        <v>0</v>
      </c>
      <c r="W25" s="5" t="str">
        <f t="shared" si="12"/>
        <v>SI</v>
      </c>
      <c r="X25" s="5">
        <f t="shared" si="13"/>
        <v>167500</v>
      </c>
      <c r="Y25" s="1"/>
    </row>
    <row r="26" spans="2:25" x14ac:dyDescent="0.25">
      <c r="B26" s="1" t="s">
        <v>233</v>
      </c>
      <c r="C26" s="1" t="s">
        <v>31</v>
      </c>
      <c r="D26" s="1" t="s">
        <v>241</v>
      </c>
      <c r="E26" s="1" t="s">
        <v>337</v>
      </c>
      <c r="F26" s="2">
        <f t="shared" si="3"/>
        <v>250000</v>
      </c>
      <c r="G26" s="4">
        <f>+VLOOKUP(C26,Indicadores!B:C,2,FALSE)</f>
        <v>0.7612363636363636</v>
      </c>
      <c r="H26" s="1" t="str">
        <f t="shared" si="4"/>
        <v>Cumple</v>
      </c>
      <c r="I26" s="4">
        <f>+VLOOKUP(C26,Indicadores!B:F,5,FALSE)</f>
        <v>1</v>
      </c>
      <c r="J26" s="1" t="str">
        <f t="shared" si="5"/>
        <v>Cumple</v>
      </c>
      <c r="K26" s="9">
        <f t="shared" si="0"/>
        <v>150000</v>
      </c>
      <c r="L26" s="4">
        <f>+VLOOKUP(C26,Indicadores!B:P,15,FALSE)</f>
        <v>0.63419999999999999</v>
      </c>
      <c r="M26" s="1" t="str">
        <f t="shared" si="6"/>
        <v>No Cumple</v>
      </c>
      <c r="N26" s="5">
        <f t="shared" si="7"/>
        <v>0</v>
      </c>
      <c r="O26" s="5">
        <f t="shared" si="1"/>
        <v>50000</v>
      </c>
      <c r="P26" s="4">
        <v>0.95</v>
      </c>
      <c r="Q26" s="5" t="str">
        <f t="shared" si="8"/>
        <v>Cumple</v>
      </c>
      <c r="R26" s="5">
        <f t="shared" si="9"/>
        <v>47500</v>
      </c>
      <c r="S26" s="5">
        <f t="shared" si="2"/>
        <v>50000</v>
      </c>
      <c r="T26" s="4">
        <f>+VLOOKUP(C26,Indicadores!B:V,21,FALSE)</f>
        <v>1</v>
      </c>
      <c r="U26" s="35" t="str">
        <f t="shared" si="10"/>
        <v>Cumple</v>
      </c>
      <c r="V26" s="2">
        <f t="shared" si="11"/>
        <v>50000</v>
      </c>
      <c r="W26" s="5" t="str">
        <f t="shared" si="12"/>
        <v>SI</v>
      </c>
      <c r="X26" s="5">
        <f t="shared" si="13"/>
        <v>97500</v>
      </c>
      <c r="Y26" s="1"/>
    </row>
    <row r="27" spans="2:25" hidden="1" x14ac:dyDescent="0.25">
      <c r="B27" s="1" t="s">
        <v>233</v>
      </c>
      <c r="C27" s="1" t="s">
        <v>32</v>
      </c>
      <c r="D27" s="1" t="s">
        <v>241</v>
      </c>
      <c r="E27" s="1" t="s">
        <v>337</v>
      </c>
      <c r="F27" s="2">
        <f t="shared" si="3"/>
        <v>250000</v>
      </c>
      <c r="G27" s="4">
        <f>+VLOOKUP(C27,Indicadores!B:C,2,FALSE)</f>
        <v>0.75548181818181814</v>
      </c>
      <c r="H27" s="1" t="str">
        <f t="shared" si="4"/>
        <v>Cumple</v>
      </c>
      <c r="I27" s="4">
        <f>+VLOOKUP(C27,Indicadores!B:F,5,FALSE)</f>
        <v>1</v>
      </c>
      <c r="J27" s="1" t="str">
        <f t="shared" si="5"/>
        <v>Cumple</v>
      </c>
      <c r="K27" s="9">
        <f t="shared" si="0"/>
        <v>150000</v>
      </c>
      <c r="L27" s="4">
        <f>+VLOOKUP(C27,Indicadores!B:P,15,FALSE)</f>
        <v>0.55913333333333337</v>
      </c>
      <c r="M27" s="1" t="str">
        <f t="shared" si="6"/>
        <v>No Cumple</v>
      </c>
      <c r="N27" s="5">
        <f t="shared" si="7"/>
        <v>0</v>
      </c>
      <c r="O27" s="5">
        <f t="shared" si="1"/>
        <v>50000</v>
      </c>
      <c r="P27" s="4">
        <v>0.95</v>
      </c>
      <c r="Q27" s="5" t="str">
        <f t="shared" si="8"/>
        <v>Cumple</v>
      </c>
      <c r="R27" s="5">
        <f t="shared" si="9"/>
        <v>47500</v>
      </c>
      <c r="S27" s="5">
        <f t="shared" si="2"/>
        <v>50000</v>
      </c>
      <c r="T27" s="4">
        <f>+VLOOKUP(C27,Indicadores!B:V,21,FALSE)</f>
        <v>1</v>
      </c>
      <c r="U27" s="35" t="str">
        <f t="shared" si="10"/>
        <v>Cumple</v>
      </c>
      <c r="V27" s="2">
        <f t="shared" si="11"/>
        <v>50000</v>
      </c>
      <c r="W27" s="5" t="str">
        <f t="shared" si="12"/>
        <v>SI</v>
      </c>
      <c r="X27" s="5">
        <f t="shared" si="13"/>
        <v>97500</v>
      </c>
      <c r="Y27" s="1"/>
    </row>
    <row r="28" spans="2:25" x14ac:dyDescent="0.25">
      <c r="B28" s="1" t="s">
        <v>233</v>
      </c>
      <c r="C28" s="1" t="s">
        <v>33</v>
      </c>
      <c r="D28" s="1" t="s">
        <v>241</v>
      </c>
      <c r="E28" s="1" t="s">
        <v>337</v>
      </c>
      <c r="F28" s="2">
        <f t="shared" si="3"/>
        <v>250000</v>
      </c>
      <c r="G28" s="4">
        <f>+VLOOKUP(C28,Indicadores!B:C,2,FALSE)</f>
        <v>0.85924545454545442</v>
      </c>
      <c r="H28" s="1" t="str">
        <f t="shared" si="4"/>
        <v>Cumple</v>
      </c>
      <c r="I28" s="4">
        <f>+VLOOKUP(C28,Indicadores!B:F,5,FALSE)</f>
        <v>1</v>
      </c>
      <c r="J28" s="1" t="str">
        <f t="shared" si="5"/>
        <v>Cumple</v>
      </c>
      <c r="K28" s="9">
        <f t="shared" si="0"/>
        <v>150000</v>
      </c>
      <c r="L28" s="4">
        <f>+VLOOKUP(C28,Indicadores!B:P,15,FALSE)</f>
        <v>0.72873333333333334</v>
      </c>
      <c r="M28" s="1" t="str">
        <f t="shared" si="6"/>
        <v>No Cumple</v>
      </c>
      <c r="N28" s="5">
        <f t="shared" si="7"/>
        <v>0</v>
      </c>
      <c r="O28" s="5">
        <f t="shared" si="1"/>
        <v>50000</v>
      </c>
      <c r="P28" s="4">
        <v>0.95</v>
      </c>
      <c r="Q28" s="5" t="str">
        <f t="shared" si="8"/>
        <v>Cumple</v>
      </c>
      <c r="R28" s="5">
        <f t="shared" si="9"/>
        <v>47500</v>
      </c>
      <c r="S28" s="5">
        <f t="shared" si="2"/>
        <v>50000</v>
      </c>
      <c r="T28" s="4">
        <f>+VLOOKUP(C28,Indicadores!B:V,21,FALSE)</f>
        <v>0.99560000000000004</v>
      </c>
      <c r="U28" s="35" t="str">
        <f t="shared" si="10"/>
        <v>No Cumple</v>
      </c>
      <c r="V28" s="2">
        <f t="shared" si="11"/>
        <v>0</v>
      </c>
      <c r="W28" s="5" t="str">
        <f t="shared" si="12"/>
        <v>SI</v>
      </c>
      <c r="X28" s="5">
        <f t="shared" si="13"/>
        <v>47500</v>
      </c>
      <c r="Y28" s="1"/>
    </row>
    <row r="29" spans="2:25" x14ac:dyDescent="0.25">
      <c r="B29" s="1" t="s">
        <v>233</v>
      </c>
      <c r="C29" s="1" t="s">
        <v>34</v>
      </c>
      <c r="D29" s="1" t="s">
        <v>241</v>
      </c>
      <c r="E29" s="1" t="s">
        <v>337</v>
      </c>
      <c r="F29" s="2">
        <f t="shared" si="3"/>
        <v>250000</v>
      </c>
      <c r="G29" s="4">
        <f>+VLOOKUP(C29,Indicadores!B:C,2,FALSE)</f>
        <v>0.8066363636363636</v>
      </c>
      <c r="H29" s="1" t="str">
        <f t="shared" si="4"/>
        <v>Cumple</v>
      </c>
      <c r="I29" s="4">
        <f>+VLOOKUP(C29,Indicadores!B:F,5,FALSE)</f>
        <v>1</v>
      </c>
      <c r="J29" s="1" t="str">
        <f t="shared" si="5"/>
        <v>Cumple</v>
      </c>
      <c r="K29" s="9">
        <f t="shared" si="0"/>
        <v>150000</v>
      </c>
      <c r="L29" s="4">
        <f>+VLOOKUP(C29,Indicadores!B:P,15,FALSE)</f>
        <v>0.69840000000000002</v>
      </c>
      <c r="M29" s="1" t="str">
        <f t="shared" si="6"/>
        <v>No Cumple</v>
      </c>
      <c r="N29" s="5">
        <f t="shared" si="7"/>
        <v>0</v>
      </c>
      <c r="O29" s="5">
        <f t="shared" si="1"/>
        <v>50000</v>
      </c>
      <c r="P29" s="4">
        <v>0.95</v>
      </c>
      <c r="Q29" s="5" t="str">
        <f t="shared" si="8"/>
        <v>Cumple</v>
      </c>
      <c r="R29" s="5">
        <f t="shared" si="9"/>
        <v>47500</v>
      </c>
      <c r="S29" s="5">
        <f t="shared" si="2"/>
        <v>50000</v>
      </c>
      <c r="T29" s="4">
        <f>+VLOOKUP(C29,Indicadores!B:V,21,FALSE)</f>
        <v>1</v>
      </c>
      <c r="U29" s="35" t="str">
        <f t="shared" si="10"/>
        <v>Cumple</v>
      </c>
      <c r="V29" s="2">
        <f t="shared" si="11"/>
        <v>50000</v>
      </c>
      <c r="W29" s="5" t="str">
        <f t="shared" si="12"/>
        <v>SI</v>
      </c>
      <c r="X29" s="5">
        <f t="shared" si="13"/>
        <v>97500</v>
      </c>
      <c r="Y29" s="1"/>
    </row>
    <row r="30" spans="2:25" x14ac:dyDescent="0.25">
      <c r="B30" s="1" t="s">
        <v>233</v>
      </c>
      <c r="C30" s="1" t="s">
        <v>35</v>
      </c>
      <c r="D30" s="1" t="s">
        <v>241</v>
      </c>
      <c r="E30" s="1" t="s">
        <v>337</v>
      </c>
      <c r="F30" s="2">
        <f t="shared" si="3"/>
        <v>250000</v>
      </c>
      <c r="G30" s="4">
        <f>+VLOOKUP(C30,Indicadores!B:C,2,FALSE)</f>
        <v>0.8267181818181818</v>
      </c>
      <c r="H30" s="1" t="str">
        <f t="shared" si="4"/>
        <v>Cumple</v>
      </c>
      <c r="I30" s="4">
        <f>+VLOOKUP(C30,Indicadores!B:F,5,FALSE)</f>
        <v>1</v>
      </c>
      <c r="J30" s="1" t="str">
        <f t="shared" si="5"/>
        <v>Cumple</v>
      </c>
      <c r="K30" s="9">
        <f t="shared" si="0"/>
        <v>150000</v>
      </c>
      <c r="L30" s="4">
        <f>+VLOOKUP(C30,Indicadores!B:P,15,FALSE)</f>
        <v>0.67359999999999998</v>
      </c>
      <c r="M30" s="1" t="str">
        <f t="shared" si="6"/>
        <v>No Cumple</v>
      </c>
      <c r="N30" s="5">
        <f t="shared" si="7"/>
        <v>0</v>
      </c>
      <c r="O30" s="5">
        <f t="shared" si="1"/>
        <v>50000</v>
      </c>
      <c r="P30" s="4">
        <v>0.95</v>
      </c>
      <c r="Q30" s="5" t="str">
        <f t="shared" si="8"/>
        <v>Cumple</v>
      </c>
      <c r="R30" s="5">
        <f t="shared" si="9"/>
        <v>47500</v>
      </c>
      <c r="S30" s="5">
        <f t="shared" si="2"/>
        <v>50000</v>
      </c>
      <c r="T30" s="4">
        <f>+VLOOKUP(C30,Indicadores!B:V,21,FALSE)</f>
        <v>0.99219999999999997</v>
      </c>
      <c r="U30" s="35" t="str">
        <f t="shared" si="10"/>
        <v>No Cumple</v>
      </c>
      <c r="V30" s="2">
        <f t="shared" si="11"/>
        <v>0</v>
      </c>
      <c r="W30" s="5" t="str">
        <f t="shared" si="12"/>
        <v>SI</v>
      </c>
      <c r="X30" s="5">
        <f t="shared" si="13"/>
        <v>47500</v>
      </c>
      <c r="Y30" s="1"/>
    </row>
    <row r="31" spans="2:25" x14ac:dyDescent="0.25">
      <c r="B31" s="1" t="s">
        <v>233</v>
      </c>
      <c r="C31" s="1" t="s">
        <v>36</v>
      </c>
      <c r="D31" s="1" t="s">
        <v>241</v>
      </c>
      <c r="E31" s="1" t="s">
        <v>337</v>
      </c>
      <c r="F31" s="2">
        <f t="shared" si="3"/>
        <v>250000</v>
      </c>
      <c r="G31" s="4">
        <f>+VLOOKUP(C31,Indicadores!B:C,2,FALSE)</f>
        <v>0.85950909090909089</v>
      </c>
      <c r="H31" s="1" t="str">
        <f t="shared" si="4"/>
        <v>Cumple</v>
      </c>
      <c r="I31" s="4">
        <f>+VLOOKUP(C31,Indicadores!B:F,5,FALSE)</f>
        <v>1</v>
      </c>
      <c r="J31" s="1" t="str">
        <f t="shared" si="5"/>
        <v>Cumple</v>
      </c>
      <c r="K31" s="9">
        <f t="shared" si="0"/>
        <v>150000</v>
      </c>
      <c r="L31" s="4">
        <f>+VLOOKUP(C31,Indicadores!B:P,15,FALSE)</f>
        <v>0.78860000000000008</v>
      </c>
      <c r="M31" s="1" t="str">
        <f t="shared" si="6"/>
        <v>No Cumple</v>
      </c>
      <c r="N31" s="5">
        <f t="shared" si="7"/>
        <v>0</v>
      </c>
      <c r="O31" s="5">
        <f t="shared" si="1"/>
        <v>50000</v>
      </c>
      <c r="P31" s="4">
        <v>0.95</v>
      </c>
      <c r="Q31" s="5" t="str">
        <f t="shared" si="8"/>
        <v>Cumple</v>
      </c>
      <c r="R31" s="5">
        <f t="shared" si="9"/>
        <v>47500</v>
      </c>
      <c r="S31" s="5">
        <f t="shared" si="2"/>
        <v>50000</v>
      </c>
      <c r="T31" s="4">
        <f>+VLOOKUP(C31,Indicadores!B:V,21,FALSE)</f>
        <v>1</v>
      </c>
      <c r="U31" s="35" t="str">
        <f t="shared" si="10"/>
        <v>Cumple</v>
      </c>
      <c r="V31" s="2">
        <f t="shared" si="11"/>
        <v>50000</v>
      </c>
      <c r="W31" s="5" t="str">
        <f t="shared" si="12"/>
        <v>SI</v>
      </c>
      <c r="X31" s="5">
        <f t="shared" si="13"/>
        <v>97500</v>
      </c>
      <c r="Y31" s="1"/>
    </row>
    <row r="32" spans="2:25" hidden="1" x14ac:dyDescent="0.25">
      <c r="B32" s="1" t="s">
        <v>233</v>
      </c>
      <c r="C32" s="1" t="s">
        <v>37</v>
      </c>
      <c r="D32" s="1" t="s">
        <v>241</v>
      </c>
      <c r="E32" s="1" t="s">
        <v>337</v>
      </c>
      <c r="F32" s="2">
        <f t="shared" si="3"/>
        <v>250000</v>
      </c>
      <c r="G32" s="4">
        <f>+VLOOKUP(C32,Indicadores!B:C,2,FALSE)</f>
        <v>0.92803636363636377</v>
      </c>
      <c r="H32" s="1" t="str">
        <f t="shared" si="4"/>
        <v>Cumple</v>
      </c>
      <c r="I32" s="4">
        <f>+VLOOKUP(C32,Indicadores!B:F,5,FALSE)</f>
        <v>1</v>
      </c>
      <c r="J32" s="1" t="str">
        <f t="shared" si="5"/>
        <v>Cumple</v>
      </c>
      <c r="K32" s="9">
        <f t="shared" si="0"/>
        <v>150000</v>
      </c>
      <c r="L32" s="4">
        <f>+VLOOKUP(C32,Indicadores!B:P,15,FALSE)</f>
        <v>0.94543333333333335</v>
      </c>
      <c r="M32" s="1" t="str">
        <f t="shared" si="6"/>
        <v>Cumple</v>
      </c>
      <c r="N32" s="5">
        <f t="shared" si="7"/>
        <v>135000</v>
      </c>
      <c r="O32" s="5">
        <f t="shared" si="1"/>
        <v>50000</v>
      </c>
      <c r="P32" s="4">
        <v>0.95</v>
      </c>
      <c r="Q32" s="5" t="str">
        <f t="shared" si="8"/>
        <v>Cumple</v>
      </c>
      <c r="R32" s="5">
        <f t="shared" si="9"/>
        <v>47500</v>
      </c>
      <c r="S32" s="5">
        <f t="shared" si="2"/>
        <v>50000</v>
      </c>
      <c r="T32" s="4">
        <f>+VLOOKUP(C32,Indicadores!B:V,21,FALSE)</f>
        <v>1</v>
      </c>
      <c r="U32" s="35" t="str">
        <f t="shared" si="10"/>
        <v>Cumple</v>
      </c>
      <c r="V32" s="2">
        <f t="shared" si="11"/>
        <v>50000</v>
      </c>
      <c r="W32" s="5" t="str">
        <f t="shared" si="12"/>
        <v>SI</v>
      </c>
      <c r="X32" s="5">
        <f t="shared" si="13"/>
        <v>232500</v>
      </c>
      <c r="Y32" s="1"/>
    </row>
    <row r="33" spans="2:25" hidden="1" x14ac:dyDescent="0.25">
      <c r="B33" s="1" t="s">
        <v>233</v>
      </c>
      <c r="C33" s="1" t="s">
        <v>38</v>
      </c>
      <c r="D33" s="1" t="s">
        <v>241</v>
      </c>
      <c r="E33" s="1" t="s">
        <v>337</v>
      </c>
      <c r="F33" s="2">
        <f t="shared" si="3"/>
        <v>250000</v>
      </c>
      <c r="G33" s="4">
        <f>+VLOOKUP(C33,Indicadores!B:C,2,FALSE)</f>
        <v>0.83635454545454557</v>
      </c>
      <c r="H33" s="1" t="str">
        <f t="shared" si="4"/>
        <v>Cumple</v>
      </c>
      <c r="I33" s="4">
        <f>+VLOOKUP(C33,Indicadores!B:F,5,FALSE)</f>
        <v>0.8</v>
      </c>
      <c r="J33" s="1" t="str">
        <f t="shared" si="5"/>
        <v>Cumple</v>
      </c>
      <c r="K33" s="9">
        <f t="shared" si="0"/>
        <v>150000</v>
      </c>
      <c r="L33" s="4">
        <f>+VLOOKUP(C33,Indicadores!B:P,15,FALSE)</f>
        <v>0.57199999999999995</v>
      </c>
      <c r="M33" s="1" t="str">
        <f t="shared" si="6"/>
        <v>No Cumple</v>
      </c>
      <c r="N33" s="5">
        <f t="shared" si="7"/>
        <v>0</v>
      </c>
      <c r="O33" s="5">
        <f t="shared" si="1"/>
        <v>50000</v>
      </c>
      <c r="P33" s="4">
        <v>0.95</v>
      </c>
      <c r="Q33" s="5" t="str">
        <f t="shared" si="8"/>
        <v>Cumple</v>
      </c>
      <c r="R33" s="5">
        <f t="shared" si="9"/>
        <v>47500</v>
      </c>
      <c r="S33" s="5">
        <f t="shared" si="2"/>
        <v>50000</v>
      </c>
      <c r="T33" s="4">
        <f>+VLOOKUP(C33,Indicadores!B:V,21,FALSE)</f>
        <v>1</v>
      </c>
      <c r="U33" s="35" t="str">
        <f t="shared" si="10"/>
        <v>Cumple</v>
      </c>
      <c r="V33" s="2">
        <f t="shared" si="11"/>
        <v>50000</v>
      </c>
      <c r="W33" s="5" t="str">
        <f t="shared" si="12"/>
        <v>SI</v>
      </c>
      <c r="X33" s="5">
        <f t="shared" si="13"/>
        <v>97500</v>
      </c>
      <c r="Y33" s="1"/>
    </row>
    <row r="34" spans="2:25" x14ac:dyDescent="0.25">
      <c r="B34" s="1" t="s">
        <v>233</v>
      </c>
      <c r="C34" s="1" t="s">
        <v>39</v>
      </c>
      <c r="D34" s="1" t="s">
        <v>241</v>
      </c>
      <c r="E34" s="1" t="s">
        <v>337</v>
      </c>
      <c r="F34" s="2">
        <f t="shared" si="3"/>
        <v>250000</v>
      </c>
      <c r="G34" s="4">
        <f>+VLOOKUP(C34,Indicadores!B:C,2,FALSE)</f>
        <v>0.84659090909090906</v>
      </c>
      <c r="H34" s="1" t="str">
        <f t="shared" si="4"/>
        <v>Cumple</v>
      </c>
      <c r="I34" s="4">
        <f>+VLOOKUP(C34,Indicadores!B:F,5,FALSE)</f>
        <v>1</v>
      </c>
      <c r="J34" s="1" t="str">
        <f t="shared" si="5"/>
        <v>Cumple</v>
      </c>
      <c r="K34" s="9">
        <f t="shared" si="0"/>
        <v>150000</v>
      </c>
      <c r="L34" s="4">
        <f>+VLOOKUP(C34,Indicadores!B:P,15,FALSE)</f>
        <v>0.77083333333333337</v>
      </c>
      <c r="M34" s="1" t="str">
        <f t="shared" si="6"/>
        <v>No Cumple</v>
      </c>
      <c r="N34" s="5">
        <f t="shared" si="7"/>
        <v>0</v>
      </c>
      <c r="O34" s="5">
        <f t="shared" si="1"/>
        <v>50000</v>
      </c>
      <c r="P34" s="4">
        <v>0.95</v>
      </c>
      <c r="Q34" s="5" t="str">
        <f t="shared" si="8"/>
        <v>Cumple</v>
      </c>
      <c r="R34" s="5">
        <f t="shared" si="9"/>
        <v>47500</v>
      </c>
      <c r="S34" s="5">
        <f t="shared" si="2"/>
        <v>50000</v>
      </c>
      <c r="T34" s="4">
        <f>+VLOOKUP(C34,Indicadores!B:V,21,FALSE)</f>
        <v>1</v>
      </c>
      <c r="U34" s="35" t="str">
        <f t="shared" si="10"/>
        <v>Cumple</v>
      </c>
      <c r="V34" s="2">
        <f t="shared" si="11"/>
        <v>50000</v>
      </c>
      <c r="W34" s="5" t="str">
        <f t="shared" si="12"/>
        <v>SI</v>
      </c>
      <c r="X34" s="5">
        <f t="shared" si="13"/>
        <v>97500</v>
      </c>
      <c r="Y34" s="1"/>
    </row>
    <row r="35" spans="2:25" hidden="1" x14ac:dyDescent="0.25">
      <c r="B35" s="1" t="s">
        <v>233</v>
      </c>
      <c r="C35" s="1" t="s">
        <v>40</v>
      </c>
      <c r="D35" s="1" t="s">
        <v>241</v>
      </c>
      <c r="E35" s="1" t="s">
        <v>337</v>
      </c>
      <c r="F35" s="2">
        <f t="shared" si="3"/>
        <v>250000</v>
      </c>
      <c r="G35" s="4">
        <f>+VLOOKUP(C35,Indicadores!B:C,2,FALSE)</f>
        <v>0.80819090909090907</v>
      </c>
      <c r="H35" s="1" t="str">
        <f t="shared" si="4"/>
        <v>Cumple</v>
      </c>
      <c r="I35" s="4">
        <f>+VLOOKUP(C35,Indicadores!B:F,5,FALSE)</f>
        <v>1</v>
      </c>
      <c r="J35" s="1" t="str">
        <f t="shared" si="5"/>
        <v>Cumple</v>
      </c>
      <c r="K35" s="9">
        <f t="shared" si="0"/>
        <v>150000</v>
      </c>
      <c r="L35" s="4">
        <f>+VLOOKUP(C35,Indicadores!B:P,15,FALSE)</f>
        <v>0.49963333333333332</v>
      </c>
      <c r="M35" s="1" t="str">
        <f t="shared" si="6"/>
        <v>No Cumple</v>
      </c>
      <c r="N35" s="5">
        <f t="shared" si="7"/>
        <v>0</v>
      </c>
      <c r="O35" s="5">
        <f t="shared" si="1"/>
        <v>50000</v>
      </c>
      <c r="P35" s="4">
        <v>0.95</v>
      </c>
      <c r="Q35" s="5" t="str">
        <f t="shared" si="8"/>
        <v>Cumple</v>
      </c>
      <c r="R35" s="5">
        <f t="shared" si="9"/>
        <v>47500</v>
      </c>
      <c r="S35" s="5">
        <f t="shared" si="2"/>
        <v>50000</v>
      </c>
      <c r="T35" s="4">
        <f>+VLOOKUP(C35,Indicadores!B:V,21,FALSE)</f>
        <v>1</v>
      </c>
      <c r="U35" s="35" t="str">
        <f t="shared" si="10"/>
        <v>Cumple</v>
      </c>
      <c r="V35" s="2">
        <f t="shared" si="11"/>
        <v>50000</v>
      </c>
      <c r="W35" s="5" t="str">
        <f t="shared" si="12"/>
        <v>SI</v>
      </c>
      <c r="X35" s="5">
        <f t="shared" si="13"/>
        <v>97500</v>
      </c>
      <c r="Y35" s="1"/>
    </row>
    <row r="36" spans="2:25" hidden="1" x14ac:dyDescent="0.25">
      <c r="B36" s="1" t="s">
        <v>233</v>
      </c>
      <c r="C36" s="1" t="s">
        <v>41</v>
      </c>
      <c r="D36" s="1" t="s">
        <v>241</v>
      </c>
      <c r="E36" s="1" t="s">
        <v>337</v>
      </c>
      <c r="F36" s="2">
        <f t="shared" si="3"/>
        <v>250000</v>
      </c>
      <c r="G36" s="4">
        <f>+VLOOKUP(C36,Indicadores!B:C,2,FALSE)</f>
        <v>0.85299999999999987</v>
      </c>
      <c r="H36" s="1" t="str">
        <f t="shared" si="4"/>
        <v>Cumple</v>
      </c>
      <c r="I36" s="4">
        <f>+VLOOKUP(C36,Indicadores!B:F,5,FALSE)</f>
        <v>1</v>
      </c>
      <c r="J36" s="1" t="str">
        <f t="shared" si="5"/>
        <v>Cumple</v>
      </c>
      <c r="K36" s="9">
        <f t="shared" si="0"/>
        <v>150000</v>
      </c>
      <c r="L36" s="4">
        <f>+VLOOKUP(C36,Indicadores!B:P,15,FALSE)</f>
        <v>0.80320000000000003</v>
      </c>
      <c r="M36" s="1" t="str">
        <f t="shared" si="6"/>
        <v>Cumple</v>
      </c>
      <c r="N36" s="5">
        <f t="shared" si="7"/>
        <v>0</v>
      </c>
      <c r="O36" s="5">
        <f t="shared" si="1"/>
        <v>50000</v>
      </c>
      <c r="P36" s="4">
        <v>0.95</v>
      </c>
      <c r="Q36" s="5" t="str">
        <f t="shared" si="8"/>
        <v>Cumple</v>
      </c>
      <c r="R36" s="5">
        <f t="shared" si="9"/>
        <v>47500</v>
      </c>
      <c r="S36" s="5">
        <f t="shared" si="2"/>
        <v>50000</v>
      </c>
      <c r="T36" s="4">
        <f>+VLOOKUP(C36,Indicadores!B:V,21,FALSE)</f>
        <v>1</v>
      </c>
      <c r="U36" s="35" t="str">
        <f t="shared" si="10"/>
        <v>Cumple</v>
      </c>
      <c r="V36" s="2">
        <f t="shared" si="11"/>
        <v>50000</v>
      </c>
      <c r="W36" s="5" t="str">
        <f t="shared" si="12"/>
        <v>SI</v>
      </c>
      <c r="X36" s="5">
        <f t="shared" si="13"/>
        <v>97500</v>
      </c>
      <c r="Y36" s="1"/>
    </row>
    <row r="37" spans="2:25" hidden="1" x14ac:dyDescent="0.25">
      <c r="B37" s="1" t="s">
        <v>233</v>
      </c>
      <c r="C37" s="1" t="s">
        <v>42</v>
      </c>
      <c r="D37" s="1" t="s">
        <v>241</v>
      </c>
      <c r="E37" s="1" t="s">
        <v>337</v>
      </c>
      <c r="F37" s="2">
        <f t="shared" si="3"/>
        <v>250000</v>
      </c>
      <c r="G37" s="4">
        <f>+VLOOKUP(C37,Indicadores!B:C,2,FALSE)</f>
        <v>0.81572727272727275</v>
      </c>
      <c r="H37" s="1" t="str">
        <f t="shared" si="4"/>
        <v>Cumple</v>
      </c>
      <c r="I37" s="4">
        <f>+VLOOKUP(C37,Indicadores!B:F,5,FALSE)</f>
        <v>1</v>
      </c>
      <c r="J37" s="1" t="str">
        <f t="shared" si="5"/>
        <v>Cumple</v>
      </c>
      <c r="K37" s="9">
        <f t="shared" si="0"/>
        <v>150000</v>
      </c>
      <c r="L37" s="4">
        <f>+VLOOKUP(C37,Indicadores!B:P,15,FALSE)</f>
        <v>0.54003333333333325</v>
      </c>
      <c r="M37" s="1" t="str">
        <f t="shared" si="6"/>
        <v>No Cumple</v>
      </c>
      <c r="N37" s="5">
        <f t="shared" si="7"/>
        <v>0</v>
      </c>
      <c r="O37" s="5">
        <f t="shared" si="1"/>
        <v>50000</v>
      </c>
      <c r="P37" s="4">
        <v>0.95</v>
      </c>
      <c r="Q37" s="5" t="str">
        <f t="shared" si="8"/>
        <v>Cumple</v>
      </c>
      <c r="R37" s="5">
        <f t="shared" si="9"/>
        <v>47500</v>
      </c>
      <c r="S37" s="5">
        <f t="shared" si="2"/>
        <v>50000</v>
      </c>
      <c r="T37" s="4">
        <f>+VLOOKUP(C37,Indicadores!B:V,21,FALSE)</f>
        <v>1</v>
      </c>
      <c r="U37" s="35" t="str">
        <f t="shared" si="10"/>
        <v>Cumple</v>
      </c>
      <c r="V37" s="2">
        <f t="shared" si="11"/>
        <v>50000</v>
      </c>
      <c r="W37" s="5" t="str">
        <f t="shared" si="12"/>
        <v>SI</v>
      </c>
      <c r="X37" s="5">
        <f t="shared" si="13"/>
        <v>97500</v>
      </c>
      <c r="Y37" s="1"/>
    </row>
    <row r="38" spans="2:25" hidden="1" x14ac:dyDescent="0.25">
      <c r="B38" s="1" t="s">
        <v>233</v>
      </c>
      <c r="C38" s="1" t="s">
        <v>43</v>
      </c>
      <c r="D38" s="1" t="s">
        <v>242</v>
      </c>
      <c r="E38" s="1" t="s">
        <v>303</v>
      </c>
      <c r="F38" s="2">
        <f t="shared" si="3"/>
        <v>250000</v>
      </c>
      <c r="G38" s="4">
        <f>+VLOOKUP(C38,Indicadores!B:C,2,FALSE)</f>
        <v>0.7536272727272727</v>
      </c>
      <c r="H38" s="1" t="str">
        <f t="shared" si="4"/>
        <v>Cumple</v>
      </c>
      <c r="I38" s="4">
        <f>+VLOOKUP(C38,Indicadores!B:F,5,FALSE)</f>
        <v>1</v>
      </c>
      <c r="J38" s="1" t="str">
        <f t="shared" si="5"/>
        <v>Cumple</v>
      </c>
      <c r="K38" s="9">
        <f t="shared" ref="K38:K69" si="14">+$F$4*$K$3</f>
        <v>150000</v>
      </c>
      <c r="L38" s="4">
        <f>+VLOOKUP(C38,Indicadores!B:P,15,FALSE)</f>
        <v>0.57143333333333335</v>
      </c>
      <c r="M38" s="1" t="str">
        <f t="shared" si="6"/>
        <v>No Cumple</v>
      </c>
      <c r="N38" s="5">
        <f t="shared" si="7"/>
        <v>0</v>
      </c>
      <c r="O38" s="5">
        <f t="shared" ref="O38:O69" si="15">+$F$4*$O$3</f>
        <v>50000</v>
      </c>
      <c r="P38" s="4">
        <v>0.95</v>
      </c>
      <c r="Q38" s="5" t="str">
        <f t="shared" si="8"/>
        <v>Cumple</v>
      </c>
      <c r="R38" s="5">
        <f t="shared" si="9"/>
        <v>47500</v>
      </c>
      <c r="S38" s="5">
        <f t="shared" ref="S38:S69" si="16">+$F$4*$S$3</f>
        <v>50000</v>
      </c>
      <c r="T38" s="4">
        <f>+VLOOKUP(C38,Indicadores!B:V,21,FALSE)</f>
        <v>1</v>
      </c>
      <c r="U38" s="35" t="str">
        <f t="shared" si="10"/>
        <v>Cumple</v>
      </c>
      <c r="V38" s="2">
        <f t="shared" si="11"/>
        <v>50000</v>
      </c>
      <c r="W38" s="5" t="str">
        <f t="shared" si="12"/>
        <v>SI</v>
      </c>
      <c r="X38" s="5">
        <f t="shared" si="13"/>
        <v>97500</v>
      </c>
      <c r="Y38" s="1"/>
    </row>
    <row r="39" spans="2:25" x14ac:dyDescent="0.25">
      <c r="B39" s="1" t="s">
        <v>233</v>
      </c>
      <c r="C39" s="3" t="s">
        <v>44</v>
      </c>
      <c r="D39" s="1" t="s">
        <v>242</v>
      </c>
      <c r="E39" s="1" t="s">
        <v>303</v>
      </c>
      <c r="F39" s="2">
        <f t="shared" si="3"/>
        <v>250000</v>
      </c>
      <c r="G39" s="4">
        <f>+VLOOKUP(C39,Indicadores!B:C,2,FALSE)</f>
        <v>0.78246363636363625</v>
      </c>
      <c r="H39" s="1" t="str">
        <f t="shared" si="4"/>
        <v>Cumple</v>
      </c>
      <c r="I39" s="4">
        <f>+VLOOKUP(C39,Indicadores!B:F,5,FALSE)</f>
        <v>0.93333333333333335</v>
      </c>
      <c r="J39" s="1" t="str">
        <f t="shared" si="5"/>
        <v>Cumple</v>
      </c>
      <c r="K39" s="9">
        <f t="shared" si="14"/>
        <v>150000</v>
      </c>
      <c r="L39" s="4">
        <f>+VLOOKUP(C39,Indicadores!B:P,15,FALSE)</f>
        <v>0.72526666666666662</v>
      </c>
      <c r="M39" s="1" t="str">
        <f t="shared" si="6"/>
        <v>No Cumple</v>
      </c>
      <c r="N39" s="5">
        <f t="shared" si="7"/>
        <v>0</v>
      </c>
      <c r="O39" s="5">
        <f t="shared" si="15"/>
        <v>50000</v>
      </c>
      <c r="P39" s="4">
        <v>0.95</v>
      </c>
      <c r="Q39" s="5" t="str">
        <f t="shared" si="8"/>
        <v>Cumple</v>
      </c>
      <c r="R39" s="5">
        <f t="shared" si="9"/>
        <v>47500</v>
      </c>
      <c r="S39" s="5">
        <f t="shared" si="16"/>
        <v>50000</v>
      </c>
      <c r="T39" s="4">
        <f>+VLOOKUP(C39,Indicadores!B:V,21,FALSE)</f>
        <v>0.5</v>
      </c>
      <c r="U39" s="35" t="str">
        <f t="shared" si="10"/>
        <v>No Cumple</v>
      </c>
      <c r="V39" s="2">
        <f t="shared" si="11"/>
        <v>0</v>
      </c>
      <c r="W39" s="5" t="str">
        <f t="shared" si="12"/>
        <v>SI</v>
      </c>
      <c r="X39" s="5">
        <f t="shared" si="13"/>
        <v>47500</v>
      </c>
      <c r="Y39" s="1"/>
    </row>
    <row r="40" spans="2:25" hidden="1" x14ac:dyDescent="0.25">
      <c r="B40" s="1" t="s">
        <v>233</v>
      </c>
      <c r="C40" s="1" t="s">
        <v>45</v>
      </c>
      <c r="D40" s="1" t="s">
        <v>242</v>
      </c>
      <c r="E40" s="1" t="s">
        <v>303</v>
      </c>
      <c r="F40" s="2">
        <f t="shared" si="3"/>
        <v>250000</v>
      </c>
      <c r="G40" s="4">
        <f>+VLOOKUP(C40,Indicadores!B:C,2,FALSE)</f>
        <v>0.37843636363636352</v>
      </c>
      <c r="H40" s="1" t="str">
        <f t="shared" si="4"/>
        <v>No Cumple</v>
      </c>
      <c r="I40" s="4">
        <f>+VLOOKUP(C40,Indicadores!B:F,5,FALSE)</f>
        <v>1</v>
      </c>
      <c r="J40" s="1" t="str">
        <f t="shared" si="5"/>
        <v>Cumple</v>
      </c>
      <c r="K40" s="9">
        <f t="shared" si="14"/>
        <v>150000</v>
      </c>
      <c r="L40" s="4">
        <f>+VLOOKUP(C40,Indicadores!B:P,15,FALSE)</f>
        <v>5.4266666666666664E-2</v>
      </c>
      <c r="M40" s="1" t="str">
        <f t="shared" si="6"/>
        <v>No Cumple</v>
      </c>
      <c r="N40" s="5">
        <f t="shared" si="7"/>
        <v>0</v>
      </c>
      <c r="O40" s="5">
        <f t="shared" si="15"/>
        <v>50000</v>
      </c>
      <c r="P40" s="4">
        <v>0.95</v>
      </c>
      <c r="Q40" s="5" t="str">
        <f t="shared" si="8"/>
        <v>Cumple</v>
      </c>
      <c r="R40" s="5">
        <f t="shared" si="9"/>
        <v>47500</v>
      </c>
      <c r="S40" s="5">
        <f t="shared" si="16"/>
        <v>50000</v>
      </c>
      <c r="T40" s="4">
        <f>+VLOOKUP(C40,Indicadores!B:V,21,FALSE)</f>
        <v>0.49419999999999997</v>
      </c>
      <c r="U40" s="35" t="str">
        <f t="shared" si="10"/>
        <v>No Cumple</v>
      </c>
      <c r="V40" s="2">
        <f t="shared" si="11"/>
        <v>0</v>
      </c>
      <c r="W40" s="5" t="str">
        <f t="shared" si="12"/>
        <v>SI</v>
      </c>
      <c r="X40" s="5">
        <f t="shared" si="13"/>
        <v>47500</v>
      </c>
      <c r="Y40" s="1"/>
    </row>
    <row r="41" spans="2:25" hidden="1" x14ac:dyDescent="0.25">
      <c r="B41" s="1" t="s">
        <v>233</v>
      </c>
      <c r="C41" s="1" t="s">
        <v>46</v>
      </c>
      <c r="D41" s="1" t="s">
        <v>242</v>
      </c>
      <c r="E41" s="1" t="s">
        <v>303</v>
      </c>
      <c r="F41" s="2">
        <f t="shared" si="3"/>
        <v>250000</v>
      </c>
      <c r="G41" s="4">
        <f>+VLOOKUP(C41,Indicadores!B:C,2,FALSE)</f>
        <v>0.7530363636363635</v>
      </c>
      <c r="H41" s="1" t="str">
        <f t="shared" si="4"/>
        <v>Cumple</v>
      </c>
      <c r="I41" s="4">
        <f>+VLOOKUP(C41,Indicadores!B:F,5,FALSE)</f>
        <v>0.95238095238095233</v>
      </c>
      <c r="J41" s="1" t="str">
        <f t="shared" si="5"/>
        <v>Cumple</v>
      </c>
      <c r="K41" s="9">
        <f t="shared" si="14"/>
        <v>150000</v>
      </c>
      <c r="L41" s="4">
        <f>+VLOOKUP(C41,Indicadores!B:P,15,FALSE)</f>
        <v>0.49006666666666665</v>
      </c>
      <c r="M41" s="1" t="str">
        <f t="shared" si="6"/>
        <v>No Cumple</v>
      </c>
      <c r="N41" s="5">
        <f t="shared" si="7"/>
        <v>0</v>
      </c>
      <c r="O41" s="5">
        <f t="shared" si="15"/>
        <v>50000</v>
      </c>
      <c r="P41" s="4">
        <v>0.95</v>
      </c>
      <c r="Q41" s="5" t="str">
        <f t="shared" si="8"/>
        <v>Cumple</v>
      </c>
      <c r="R41" s="5">
        <f t="shared" si="9"/>
        <v>47500</v>
      </c>
      <c r="S41" s="5">
        <f t="shared" si="16"/>
        <v>50000</v>
      </c>
      <c r="T41" s="4">
        <f>+VLOOKUP(C41,Indicadores!B:V,21,FALSE)</f>
        <v>0.49559999999999998</v>
      </c>
      <c r="U41" s="35" t="str">
        <f t="shared" si="10"/>
        <v>No Cumple</v>
      </c>
      <c r="V41" s="2">
        <f t="shared" si="11"/>
        <v>0</v>
      </c>
      <c r="W41" s="5" t="str">
        <f t="shared" si="12"/>
        <v>SI</v>
      </c>
      <c r="X41" s="5">
        <f t="shared" si="13"/>
        <v>47500</v>
      </c>
      <c r="Y41" s="1"/>
    </row>
    <row r="42" spans="2:25" hidden="1" x14ac:dyDescent="0.25">
      <c r="B42" s="1" t="s">
        <v>233</v>
      </c>
      <c r="C42" s="3" t="s">
        <v>47</v>
      </c>
      <c r="D42" s="1" t="s">
        <v>242</v>
      </c>
      <c r="E42" s="1" t="s">
        <v>303</v>
      </c>
      <c r="F42" s="2">
        <f t="shared" si="3"/>
        <v>250000</v>
      </c>
      <c r="G42" s="4">
        <f>+VLOOKUP(C42,Indicadores!B:C,2,FALSE)</f>
        <v>0.78945454545454541</v>
      </c>
      <c r="H42" s="1" t="str">
        <f t="shared" si="4"/>
        <v>Cumple</v>
      </c>
      <c r="I42" s="4">
        <f>+VLOOKUP(C42,Indicadores!B:F,5,FALSE)</f>
        <v>1</v>
      </c>
      <c r="J42" s="1" t="str">
        <f t="shared" si="5"/>
        <v>Cumple</v>
      </c>
      <c r="K42" s="9">
        <f t="shared" si="14"/>
        <v>150000</v>
      </c>
      <c r="L42" s="4">
        <f>+VLOOKUP(C42,Indicadores!B:P,15,FALSE)</f>
        <v>0.47879999999999995</v>
      </c>
      <c r="M42" s="1" t="str">
        <f t="shared" si="6"/>
        <v>No Cumple</v>
      </c>
      <c r="N42" s="5">
        <f t="shared" si="7"/>
        <v>0</v>
      </c>
      <c r="O42" s="5">
        <f t="shared" si="15"/>
        <v>50000</v>
      </c>
      <c r="P42" s="4">
        <v>0.95</v>
      </c>
      <c r="Q42" s="5" t="str">
        <f t="shared" si="8"/>
        <v>Cumple</v>
      </c>
      <c r="R42" s="5">
        <f t="shared" si="9"/>
        <v>47500</v>
      </c>
      <c r="S42" s="5">
        <f t="shared" si="16"/>
        <v>50000</v>
      </c>
      <c r="T42" s="4">
        <f>+VLOOKUP(C42,Indicadores!B:V,21,FALSE)</f>
        <v>0.49559999999999998</v>
      </c>
      <c r="U42" s="35" t="str">
        <f t="shared" si="10"/>
        <v>No Cumple</v>
      </c>
      <c r="V42" s="2">
        <f t="shared" si="11"/>
        <v>0</v>
      </c>
      <c r="W42" s="5" t="str">
        <f t="shared" si="12"/>
        <v>SI</v>
      </c>
      <c r="X42" s="5">
        <f t="shared" si="13"/>
        <v>47500</v>
      </c>
      <c r="Y42" s="1"/>
    </row>
    <row r="43" spans="2:25" x14ac:dyDescent="0.25">
      <c r="B43" s="1" t="s">
        <v>233</v>
      </c>
      <c r="C43" s="1" t="s">
        <v>48</v>
      </c>
      <c r="D43" s="1" t="s">
        <v>242</v>
      </c>
      <c r="E43" s="1" t="s">
        <v>303</v>
      </c>
      <c r="F43" s="2">
        <f t="shared" si="3"/>
        <v>250000</v>
      </c>
      <c r="G43" s="4">
        <f>+VLOOKUP(C43,Indicadores!B:C,2,FALSE)</f>
        <v>0.75649999999999984</v>
      </c>
      <c r="H43" s="1" t="str">
        <f t="shared" si="4"/>
        <v>Cumple</v>
      </c>
      <c r="I43" s="4">
        <f>+VLOOKUP(C43,Indicadores!B:F,5,FALSE)</f>
        <v>1</v>
      </c>
      <c r="J43" s="1" t="str">
        <f t="shared" si="5"/>
        <v>Cumple</v>
      </c>
      <c r="K43" s="9">
        <f t="shared" si="14"/>
        <v>150000</v>
      </c>
      <c r="L43" s="4">
        <f>+VLOOKUP(C43,Indicadores!B:P,15,FALSE)</f>
        <v>0.66666666666666663</v>
      </c>
      <c r="M43" s="1" t="str">
        <f t="shared" si="6"/>
        <v>No Cumple</v>
      </c>
      <c r="N43" s="5">
        <f t="shared" si="7"/>
        <v>0</v>
      </c>
      <c r="O43" s="5">
        <f t="shared" si="15"/>
        <v>50000</v>
      </c>
      <c r="P43" s="4">
        <v>0.95</v>
      </c>
      <c r="Q43" s="5" t="str">
        <f t="shared" si="8"/>
        <v>Cumple</v>
      </c>
      <c r="R43" s="5">
        <f t="shared" si="9"/>
        <v>47500</v>
      </c>
      <c r="S43" s="5">
        <f t="shared" si="16"/>
        <v>50000</v>
      </c>
      <c r="T43" s="4">
        <f>+VLOOKUP(C43,Indicadores!B:V,21,FALSE)</f>
        <v>0.96430000000000005</v>
      </c>
      <c r="U43" s="35" t="str">
        <f t="shared" si="10"/>
        <v>No Cumple</v>
      </c>
      <c r="V43" s="2">
        <f t="shared" si="11"/>
        <v>0</v>
      </c>
      <c r="W43" s="5" t="str">
        <f t="shared" si="12"/>
        <v>SI</v>
      </c>
      <c r="X43" s="5">
        <f t="shared" si="13"/>
        <v>47500</v>
      </c>
      <c r="Y43" s="1"/>
    </row>
    <row r="44" spans="2:25" hidden="1" x14ac:dyDescent="0.25">
      <c r="B44" s="1" t="s">
        <v>233</v>
      </c>
      <c r="C44" s="1" t="s">
        <v>49</v>
      </c>
      <c r="D44" s="1" t="s">
        <v>241</v>
      </c>
      <c r="E44" s="1" t="s">
        <v>338</v>
      </c>
      <c r="F44" s="2">
        <f t="shared" si="3"/>
        <v>250000</v>
      </c>
      <c r="G44" s="4">
        <f>+VLOOKUP(C44,Indicadores!B:C,2,FALSE)</f>
        <v>0.89160909090909091</v>
      </c>
      <c r="H44" s="1" t="str">
        <f t="shared" si="4"/>
        <v>Cumple</v>
      </c>
      <c r="I44" s="4">
        <f>+VLOOKUP(C44,Indicadores!B:F,5,FALSE)</f>
        <v>1</v>
      </c>
      <c r="J44" s="1" t="str">
        <f t="shared" si="5"/>
        <v>Cumple</v>
      </c>
      <c r="K44" s="9">
        <f t="shared" si="14"/>
        <v>150000</v>
      </c>
      <c r="L44" s="4">
        <f>+VLOOKUP(C44,Indicadores!B:P,15,FALSE)</f>
        <v>0.85896666666666677</v>
      </c>
      <c r="M44" s="1" t="str">
        <f t="shared" si="6"/>
        <v>Cumple</v>
      </c>
      <c r="N44" s="5">
        <f t="shared" si="7"/>
        <v>120000</v>
      </c>
      <c r="O44" s="5">
        <f t="shared" si="15"/>
        <v>50000</v>
      </c>
      <c r="P44" s="4">
        <v>0.95</v>
      </c>
      <c r="Q44" s="5" t="str">
        <f t="shared" si="8"/>
        <v>Cumple</v>
      </c>
      <c r="R44" s="5">
        <f t="shared" si="9"/>
        <v>47500</v>
      </c>
      <c r="S44" s="5">
        <f t="shared" si="16"/>
        <v>50000</v>
      </c>
      <c r="T44" s="4">
        <f>+VLOOKUP(C44,Indicadores!B:V,21,FALSE)</f>
        <v>0.5</v>
      </c>
      <c r="U44" s="35" t="str">
        <f t="shared" si="10"/>
        <v>No Cumple</v>
      </c>
      <c r="V44" s="2">
        <f t="shared" si="11"/>
        <v>0</v>
      </c>
      <c r="W44" s="5" t="str">
        <f t="shared" si="12"/>
        <v>SI</v>
      </c>
      <c r="X44" s="5">
        <f t="shared" si="13"/>
        <v>167500</v>
      </c>
      <c r="Y44" s="1"/>
    </row>
    <row r="45" spans="2:25" hidden="1" x14ac:dyDescent="0.25">
      <c r="B45" s="1" t="s">
        <v>233</v>
      </c>
      <c r="C45" s="1" t="s">
        <v>50</v>
      </c>
      <c r="D45" s="1" t="s">
        <v>242</v>
      </c>
      <c r="E45" s="1" t="s">
        <v>303</v>
      </c>
      <c r="F45" s="2">
        <f t="shared" si="3"/>
        <v>250000</v>
      </c>
      <c r="G45" s="4">
        <f>+VLOOKUP(C45,Indicadores!B:C,2,FALSE)</f>
        <v>0.79950909090909095</v>
      </c>
      <c r="H45" s="1" t="str">
        <f t="shared" si="4"/>
        <v>Cumple</v>
      </c>
      <c r="I45" s="4">
        <f>+VLOOKUP(C45,Indicadores!B:F,5,FALSE)</f>
        <v>1</v>
      </c>
      <c r="J45" s="1" t="str">
        <f t="shared" si="5"/>
        <v>Cumple</v>
      </c>
      <c r="K45" s="9">
        <f t="shared" si="14"/>
        <v>150000</v>
      </c>
      <c r="L45" s="4">
        <f>+VLOOKUP(C45,Indicadores!B:P,15,FALSE)</f>
        <v>0.51119999999999999</v>
      </c>
      <c r="M45" s="1" t="str">
        <f t="shared" si="6"/>
        <v>No Cumple</v>
      </c>
      <c r="N45" s="5">
        <f t="shared" si="7"/>
        <v>0</v>
      </c>
      <c r="O45" s="5">
        <f t="shared" si="15"/>
        <v>50000</v>
      </c>
      <c r="P45" s="4">
        <v>0.95</v>
      </c>
      <c r="Q45" s="5" t="str">
        <f t="shared" si="8"/>
        <v>Cumple</v>
      </c>
      <c r="R45" s="5">
        <f t="shared" si="9"/>
        <v>47500</v>
      </c>
      <c r="S45" s="5">
        <f t="shared" si="16"/>
        <v>50000</v>
      </c>
      <c r="T45" s="4">
        <f>+VLOOKUP(C45,Indicadores!B:V,21,FALSE)</f>
        <v>0.5</v>
      </c>
      <c r="U45" s="35" t="str">
        <f t="shared" si="10"/>
        <v>No Cumple</v>
      </c>
      <c r="V45" s="2">
        <f t="shared" si="11"/>
        <v>0</v>
      </c>
      <c r="W45" s="5" t="str">
        <f t="shared" si="12"/>
        <v>SI</v>
      </c>
      <c r="X45" s="5">
        <f t="shared" si="13"/>
        <v>47500</v>
      </c>
      <c r="Y45" s="1"/>
    </row>
    <row r="46" spans="2:25" hidden="1" x14ac:dyDescent="0.25">
      <c r="B46" s="1" t="s">
        <v>233</v>
      </c>
      <c r="C46" s="1" t="s">
        <v>51</v>
      </c>
      <c r="D46" s="1" t="s">
        <v>242</v>
      </c>
      <c r="E46" s="1" t="s">
        <v>303</v>
      </c>
      <c r="F46" s="2">
        <f t="shared" si="3"/>
        <v>250000</v>
      </c>
      <c r="G46" s="4">
        <f>+VLOOKUP(C46,Indicadores!B:C,2,FALSE)</f>
        <v>0.7218181818181818</v>
      </c>
      <c r="H46" s="1" t="str">
        <f t="shared" si="4"/>
        <v>Cumple</v>
      </c>
      <c r="I46" s="4">
        <f>+VLOOKUP(C46,Indicadores!B:F,5,FALSE)</f>
        <v>1</v>
      </c>
      <c r="J46" s="1" t="str">
        <f t="shared" si="5"/>
        <v>Cumple</v>
      </c>
      <c r="K46" s="9">
        <f t="shared" si="14"/>
        <v>150000</v>
      </c>
      <c r="L46" s="4">
        <f>+VLOOKUP(C46,Indicadores!B:P,15,FALSE)</f>
        <v>0.32666666666666666</v>
      </c>
      <c r="M46" s="1" t="str">
        <f t="shared" si="6"/>
        <v>No Cumple</v>
      </c>
      <c r="N46" s="5">
        <f t="shared" si="7"/>
        <v>0</v>
      </c>
      <c r="O46" s="5">
        <f t="shared" si="15"/>
        <v>50000</v>
      </c>
      <c r="P46" s="4">
        <v>0.95</v>
      </c>
      <c r="Q46" s="5" t="str">
        <f t="shared" si="8"/>
        <v>Cumple</v>
      </c>
      <c r="R46" s="5">
        <f t="shared" si="9"/>
        <v>47500</v>
      </c>
      <c r="S46" s="5">
        <f t="shared" si="16"/>
        <v>50000</v>
      </c>
      <c r="T46" s="4">
        <f>+VLOOKUP(C46,Indicadores!B:V,21,FALSE)</f>
        <v>0.48</v>
      </c>
      <c r="U46" s="35" t="str">
        <f t="shared" si="10"/>
        <v>No Cumple</v>
      </c>
      <c r="V46" s="2">
        <f t="shared" si="11"/>
        <v>0</v>
      </c>
      <c r="W46" s="5" t="str">
        <f t="shared" si="12"/>
        <v>SI</v>
      </c>
      <c r="X46" s="5">
        <f t="shared" si="13"/>
        <v>47500</v>
      </c>
      <c r="Y46" s="1"/>
    </row>
    <row r="47" spans="2:25" hidden="1" x14ac:dyDescent="0.25">
      <c r="B47" s="1" t="s">
        <v>233</v>
      </c>
      <c r="C47" s="1" t="s">
        <v>52</v>
      </c>
      <c r="D47" s="1" t="s">
        <v>242</v>
      </c>
      <c r="E47" s="1" t="s">
        <v>303</v>
      </c>
      <c r="F47" s="2">
        <f t="shared" si="3"/>
        <v>250000</v>
      </c>
      <c r="G47" s="4">
        <f>+VLOOKUP(C47,Indicadores!B:C,2,FALSE)</f>
        <v>0.3695</v>
      </c>
      <c r="H47" s="1" t="str">
        <f t="shared" si="4"/>
        <v>No Cumple</v>
      </c>
      <c r="I47" s="4">
        <f>+VLOOKUP(C47,Indicadores!B:F,5,FALSE)</f>
        <v>1</v>
      </c>
      <c r="J47" s="1" t="str">
        <f t="shared" si="5"/>
        <v>Cumple</v>
      </c>
      <c r="K47" s="9">
        <f t="shared" si="14"/>
        <v>150000</v>
      </c>
      <c r="L47" s="4">
        <f>+VLOOKUP(C47,Indicadores!B:P,15,FALSE)</f>
        <v>0.10453333333333333</v>
      </c>
      <c r="M47" s="1" t="str">
        <f t="shared" si="6"/>
        <v>No Cumple</v>
      </c>
      <c r="N47" s="5">
        <f t="shared" si="7"/>
        <v>0</v>
      </c>
      <c r="O47" s="5">
        <f t="shared" si="15"/>
        <v>50000</v>
      </c>
      <c r="P47" s="4">
        <v>0.95</v>
      </c>
      <c r="Q47" s="5" t="str">
        <f t="shared" si="8"/>
        <v>Cumple</v>
      </c>
      <c r="R47" s="5">
        <f t="shared" si="9"/>
        <v>47500</v>
      </c>
      <c r="S47" s="5">
        <f t="shared" si="16"/>
        <v>50000</v>
      </c>
      <c r="T47" s="4">
        <f>+VLOOKUP(C47,Indicadores!B:V,21,FALSE)</f>
        <v>0.9839</v>
      </c>
      <c r="U47" s="35" t="str">
        <f t="shared" si="10"/>
        <v>No Cumple</v>
      </c>
      <c r="V47" s="2">
        <f t="shared" si="11"/>
        <v>0</v>
      </c>
      <c r="W47" s="5" t="str">
        <f t="shared" si="12"/>
        <v>SI</v>
      </c>
      <c r="X47" s="5">
        <f t="shared" si="13"/>
        <v>47500</v>
      </c>
      <c r="Y47" s="1"/>
    </row>
    <row r="48" spans="2:25" x14ac:dyDescent="0.25">
      <c r="B48" s="1" t="s">
        <v>233</v>
      </c>
      <c r="C48" s="1" t="s">
        <v>53</v>
      </c>
      <c r="D48" s="1" t="s">
        <v>242</v>
      </c>
      <c r="E48" s="1" t="s">
        <v>303</v>
      </c>
      <c r="F48" s="2">
        <f t="shared" si="3"/>
        <v>250000</v>
      </c>
      <c r="G48" s="4">
        <f>+VLOOKUP(C48,Indicadores!B:C,2,FALSE)</f>
        <v>0.77899090909090918</v>
      </c>
      <c r="H48" s="1" t="str">
        <f t="shared" si="4"/>
        <v>Cumple</v>
      </c>
      <c r="I48" s="4">
        <f>+VLOOKUP(C48,Indicadores!B:F,5,FALSE)</f>
        <v>1</v>
      </c>
      <c r="J48" s="1" t="str">
        <f t="shared" si="5"/>
        <v>Cumple</v>
      </c>
      <c r="K48" s="9">
        <f t="shared" si="14"/>
        <v>150000</v>
      </c>
      <c r="L48" s="4">
        <f>+VLOOKUP(C48,Indicadores!B:P,15,FALSE)</f>
        <v>0.60586666666666666</v>
      </c>
      <c r="M48" s="1" t="str">
        <f t="shared" si="6"/>
        <v>No Cumple</v>
      </c>
      <c r="N48" s="5">
        <f t="shared" si="7"/>
        <v>0</v>
      </c>
      <c r="O48" s="5">
        <f t="shared" si="15"/>
        <v>50000</v>
      </c>
      <c r="P48" s="4">
        <v>0.95</v>
      </c>
      <c r="Q48" s="5" t="str">
        <f t="shared" si="8"/>
        <v>Cumple</v>
      </c>
      <c r="R48" s="5">
        <f t="shared" si="9"/>
        <v>47500</v>
      </c>
      <c r="S48" s="5">
        <f t="shared" si="16"/>
        <v>50000</v>
      </c>
      <c r="T48" s="4">
        <f>+VLOOKUP(C48,Indicadores!B:V,21,FALSE)</f>
        <v>0.5</v>
      </c>
      <c r="U48" s="35" t="str">
        <f t="shared" si="10"/>
        <v>No Cumple</v>
      </c>
      <c r="V48" s="2">
        <f t="shared" si="11"/>
        <v>0</v>
      </c>
      <c r="W48" s="5" t="str">
        <f t="shared" si="12"/>
        <v>SI</v>
      </c>
      <c r="X48" s="5">
        <f t="shared" si="13"/>
        <v>47500</v>
      </c>
      <c r="Y48" s="1"/>
    </row>
    <row r="49" spans="2:25" hidden="1" x14ac:dyDescent="0.25">
      <c r="B49" s="1" t="s">
        <v>233</v>
      </c>
      <c r="C49" s="1" t="s">
        <v>54</v>
      </c>
      <c r="D49" s="1" t="s">
        <v>242</v>
      </c>
      <c r="E49" s="1" t="s">
        <v>303</v>
      </c>
      <c r="F49" s="2">
        <f t="shared" si="3"/>
        <v>250000</v>
      </c>
      <c r="G49" s="4">
        <f>+VLOOKUP(C49,Indicadores!B:C,2,FALSE)</f>
        <v>0.74939999999999996</v>
      </c>
      <c r="H49" s="1" t="str">
        <f t="shared" si="4"/>
        <v>Cumple</v>
      </c>
      <c r="I49" s="4">
        <f>+VLOOKUP(C49,Indicadores!B:F,5,FALSE)</f>
        <v>1</v>
      </c>
      <c r="J49" s="1" t="str">
        <f t="shared" si="5"/>
        <v>Cumple</v>
      </c>
      <c r="K49" s="9">
        <f t="shared" si="14"/>
        <v>150000</v>
      </c>
      <c r="L49" s="4">
        <f>+VLOOKUP(C49,Indicadores!B:P,15,FALSE)</f>
        <v>0.37559999999999999</v>
      </c>
      <c r="M49" s="1" t="str">
        <f t="shared" si="6"/>
        <v>No Cumple</v>
      </c>
      <c r="N49" s="5">
        <f t="shared" si="7"/>
        <v>0</v>
      </c>
      <c r="O49" s="5">
        <f t="shared" si="15"/>
        <v>50000</v>
      </c>
      <c r="P49" s="4">
        <v>0.95</v>
      </c>
      <c r="Q49" s="5" t="str">
        <f t="shared" si="8"/>
        <v>Cumple</v>
      </c>
      <c r="R49" s="5">
        <f t="shared" si="9"/>
        <v>47500</v>
      </c>
      <c r="S49" s="5">
        <f t="shared" si="16"/>
        <v>50000</v>
      </c>
      <c r="T49" s="4">
        <f>+VLOOKUP(C49,Indicadores!B:V,21,FALSE)</f>
        <v>0.97299999999999998</v>
      </c>
      <c r="U49" s="35" t="str">
        <f t="shared" si="10"/>
        <v>No Cumple</v>
      </c>
      <c r="V49" s="2">
        <f t="shared" si="11"/>
        <v>0</v>
      </c>
      <c r="W49" s="5" t="str">
        <f t="shared" si="12"/>
        <v>SI</v>
      </c>
      <c r="X49" s="5">
        <f t="shared" si="13"/>
        <v>47500</v>
      </c>
      <c r="Y49" s="1"/>
    </row>
    <row r="50" spans="2:25" hidden="1" x14ac:dyDescent="0.25">
      <c r="B50" s="1" t="s">
        <v>233</v>
      </c>
      <c r="C50" s="1" t="s">
        <v>55</v>
      </c>
      <c r="D50" s="1" t="s">
        <v>242</v>
      </c>
      <c r="E50" s="1" t="s">
        <v>303</v>
      </c>
      <c r="F50" s="2">
        <f t="shared" si="3"/>
        <v>250000</v>
      </c>
      <c r="G50" s="4">
        <f>+VLOOKUP(C50,Indicadores!B:C,2,FALSE)</f>
        <v>0.83699090909090923</v>
      </c>
      <c r="H50" s="1" t="str">
        <f t="shared" si="4"/>
        <v>Cumple</v>
      </c>
      <c r="I50" s="4">
        <f>+VLOOKUP(C50,Indicadores!B:F,5,FALSE)</f>
        <v>1</v>
      </c>
      <c r="J50" s="1" t="str">
        <f t="shared" si="5"/>
        <v>Cumple</v>
      </c>
      <c r="K50" s="9">
        <f t="shared" si="14"/>
        <v>150000</v>
      </c>
      <c r="L50" s="4">
        <f>+VLOOKUP(C50,Indicadores!B:P,15,FALSE)</f>
        <v>0.83046666666666669</v>
      </c>
      <c r="M50" s="1" t="str">
        <f t="shared" si="6"/>
        <v>Cumple</v>
      </c>
      <c r="N50" s="5">
        <f t="shared" si="7"/>
        <v>120000</v>
      </c>
      <c r="O50" s="5">
        <f t="shared" si="15"/>
        <v>50000</v>
      </c>
      <c r="P50" s="4">
        <v>0.95</v>
      </c>
      <c r="Q50" s="5" t="str">
        <f t="shared" si="8"/>
        <v>Cumple</v>
      </c>
      <c r="R50" s="5">
        <f t="shared" si="9"/>
        <v>47500</v>
      </c>
      <c r="S50" s="5">
        <f t="shared" si="16"/>
        <v>50000</v>
      </c>
      <c r="T50" s="4">
        <f>+VLOOKUP(C50,Indicadores!B:V,21,FALSE)</f>
        <v>0.5</v>
      </c>
      <c r="U50" s="35" t="str">
        <f t="shared" si="10"/>
        <v>No Cumple</v>
      </c>
      <c r="V50" s="2">
        <f t="shared" si="11"/>
        <v>0</v>
      </c>
      <c r="W50" s="5" t="str">
        <f t="shared" si="12"/>
        <v>SI</v>
      </c>
      <c r="X50" s="5">
        <f t="shared" si="13"/>
        <v>167500</v>
      </c>
      <c r="Y50" s="1"/>
    </row>
    <row r="51" spans="2:25" hidden="1" x14ac:dyDescent="0.25">
      <c r="B51" s="1" t="s">
        <v>233</v>
      </c>
      <c r="C51" s="1" t="s">
        <v>56</v>
      </c>
      <c r="D51" s="1" t="s">
        <v>242</v>
      </c>
      <c r="E51" s="1" t="s">
        <v>303</v>
      </c>
      <c r="F51" s="2">
        <f t="shared" si="3"/>
        <v>250000</v>
      </c>
      <c r="G51" s="4">
        <f>+VLOOKUP(C51,Indicadores!B:C,2,FALSE)</f>
        <v>0.75</v>
      </c>
      <c r="H51" s="1" t="str">
        <f t="shared" si="4"/>
        <v>Cumple</v>
      </c>
      <c r="I51" s="4">
        <f>+VLOOKUP(C51,Indicadores!B:F,5,FALSE)</f>
        <v>1</v>
      </c>
      <c r="J51" s="1" t="str">
        <f t="shared" si="5"/>
        <v>Cumple</v>
      </c>
      <c r="K51" s="9">
        <f t="shared" si="14"/>
        <v>150000</v>
      </c>
      <c r="L51" s="4">
        <f>+VLOOKUP(C51,Indicadores!B:P,15,FALSE)</f>
        <v>0.34089999999999998</v>
      </c>
      <c r="M51" s="1" t="str">
        <f t="shared" si="6"/>
        <v>No Cumple</v>
      </c>
      <c r="N51" s="5">
        <f t="shared" si="7"/>
        <v>0</v>
      </c>
      <c r="O51" s="5">
        <f t="shared" si="15"/>
        <v>50000</v>
      </c>
      <c r="P51" s="4">
        <v>0.95</v>
      </c>
      <c r="Q51" s="5" t="str">
        <f t="shared" si="8"/>
        <v>Cumple</v>
      </c>
      <c r="R51" s="5">
        <f t="shared" si="9"/>
        <v>47500</v>
      </c>
      <c r="S51" s="5">
        <f t="shared" si="16"/>
        <v>50000</v>
      </c>
      <c r="T51" s="4">
        <f>+VLOOKUP(C51,Indicadores!B:V,21,FALSE)</f>
        <v>0.5</v>
      </c>
      <c r="U51" s="35" t="str">
        <f t="shared" si="10"/>
        <v>No Cumple</v>
      </c>
      <c r="V51" s="2">
        <f t="shared" si="11"/>
        <v>0</v>
      </c>
      <c r="W51" s="5" t="str">
        <f t="shared" si="12"/>
        <v>SI</v>
      </c>
      <c r="X51" s="5">
        <f t="shared" si="13"/>
        <v>47500</v>
      </c>
      <c r="Y51" s="8"/>
    </row>
    <row r="52" spans="2:25" hidden="1" x14ac:dyDescent="0.25">
      <c r="B52" s="1" t="s">
        <v>233</v>
      </c>
      <c r="C52" s="1" t="s">
        <v>57</v>
      </c>
      <c r="D52" s="1" t="s">
        <v>242</v>
      </c>
      <c r="E52" s="1" t="s">
        <v>303</v>
      </c>
      <c r="F52" s="2">
        <f t="shared" si="3"/>
        <v>250000</v>
      </c>
      <c r="G52" s="4">
        <f>+VLOOKUP(C52,Indicadores!B:C,2,FALSE)</f>
        <v>0.91754545454545455</v>
      </c>
      <c r="H52" s="1" t="str">
        <f t="shared" si="4"/>
        <v>Cumple</v>
      </c>
      <c r="I52" s="4">
        <f>+VLOOKUP(C52,Indicadores!B:F,5,FALSE)</f>
        <v>1</v>
      </c>
      <c r="J52" s="1" t="str">
        <f t="shared" si="5"/>
        <v>Cumple</v>
      </c>
      <c r="K52" s="9">
        <f t="shared" si="14"/>
        <v>150000</v>
      </c>
      <c r="L52" s="4">
        <f>+VLOOKUP(C52,Indicadores!B:P,15,FALSE)</f>
        <v>0.87790000000000001</v>
      </c>
      <c r="M52" s="1" t="str">
        <f t="shared" si="6"/>
        <v>Cumple</v>
      </c>
      <c r="N52" s="5">
        <f t="shared" si="7"/>
        <v>120000</v>
      </c>
      <c r="O52" s="5">
        <f t="shared" si="15"/>
        <v>50000</v>
      </c>
      <c r="P52" s="4">
        <v>0.95</v>
      </c>
      <c r="Q52" s="5" t="str">
        <f t="shared" si="8"/>
        <v>Cumple</v>
      </c>
      <c r="R52" s="5">
        <f t="shared" si="9"/>
        <v>47500</v>
      </c>
      <c r="S52" s="5">
        <f t="shared" si="16"/>
        <v>50000</v>
      </c>
      <c r="T52" s="4">
        <f>+VLOOKUP(C52,Indicadores!B:V,21,FALSE)</f>
        <v>0.5</v>
      </c>
      <c r="U52" s="35" t="str">
        <f t="shared" si="10"/>
        <v>No Cumple</v>
      </c>
      <c r="V52" s="2">
        <f t="shared" si="11"/>
        <v>0</v>
      </c>
      <c r="W52" s="5" t="str">
        <f t="shared" si="12"/>
        <v>SI</v>
      </c>
      <c r="X52" s="5">
        <f t="shared" si="13"/>
        <v>167500</v>
      </c>
      <c r="Y52" s="1"/>
    </row>
    <row r="53" spans="2:25" hidden="1" x14ac:dyDescent="0.25">
      <c r="B53" s="1" t="s">
        <v>233</v>
      </c>
      <c r="C53" s="1" t="s">
        <v>58</v>
      </c>
      <c r="D53" s="1" t="s">
        <v>242</v>
      </c>
      <c r="E53" s="1" t="s">
        <v>303</v>
      </c>
      <c r="F53" s="2">
        <f t="shared" si="3"/>
        <v>250000</v>
      </c>
      <c r="G53" s="4">
        <f>+VLOOKUP(C53,Indicadores!B:C,2,FALSE)</f>
        <v>0.76043636363636358</v>
      </c>
      <c r="H53" s="1" t="str">
        <f t="shared" si="4"/>
        <v>Cumple</v>
      </c>
      <c r="I53" s="4">
        <f>+VLOOKUP(C53,Indicadores!B:F,5,FALSE)</f>
        <v>1</v>
      </c>
      <c r="J53" s="1" t="str">
        <f t="shared" si="5"/>
        <v>Cumple</v>
      </c>
      <c r="K53" s="9">
        <f t="shared" si="14"/>
        <v>150000</v>
      </c>
      <c r="L53" s="4">
        <f>+VLOOKUP(C53,Indicadores!B:P,15,FALSE)</f>
        <v>0.41436666666666661</v>
      </c>
      <c r="M53" s="1" t="str">
        <f t="shared" si="6"/>
        <v>No Cumple</v>
      </c>
      <c r="N53" s="5">
        <f t="shared" si="7"/>
        <v>0</v>
      </c>
      <c r="O53" s="5">
        <f t="shared" si="15"/>
        <v>50000</v>
      </c>
      <c r="P53" s="4">
        <v>0.95</v>
      </c>
      <c r="Q53" s="5" t="str">
        <f t="shared" si="8"/>
        <v>Cumple</v>
      </c>
      <c r="R53" s="5">
        <f t="shared" si="9"/>
        <v>47500</v>
      </c>
      <c r="S53" s="5">
        <f t="shared" si="16"/>
        <v>50000</v>
      </c>
      <c r="T53" s="4">
        <f>+VLOOKUP(C53,Indicadores!B:V,21,FALSE)</f>
        <v>0.49480000000000002</v>
      </c>
      <c r="U53" s="35" t="str">
        <f t="shared" si="10"/>
        <v>No Cumple</v>
      </c>
      <c r="V53" s="2">
        <f t="shared" si="11"/>
        <v>0</v>
      </c>
      <c r="W53" s="5" t="str">
        <f t="shared" si="12"/>
        <v>SI</v>
      </c>
      <c r="X53" s="5">
        <f t="shared" si="13"/>
        <v>47500</v>
      </c>
      <c r="Y53" s="1"/>
    </row>
    <row r="54" spans="2:25" hidden="1" x14ac:dyDescent="0.25">
      <c r="B54" s="1" t="s">
        <v>234</v>
      </c>
      <c r="C54" s="1" t="s">
        <v>59</v>
      </c>
      <c r="D54" s="1" t="s">
        <v>243</v>
      </c>
      <c r="E54" s="1" t="s">
        <v>339</v>
      </c>
      <c r="F54" s="2">
        <f t="shared" si="3"/>
        <v>250000</v>
      </c>
      <c r="G54" s="4">
        <f>+VLOOKUP(C54,Indicadores!B:C,2,FALSE)</f>
        <v>0.75942727272727273</v>
      </c>
      <c r="H54" s="1" t="str">
        <f t="shared" si="4"/>
        <v>Cumple</v>
      </c>
      <c r="I54" s="4">
        <f>+VLOOKUP(C54,Indicadores!B:F,5,FALSE)</f>
        <v>1</v>
      </c>
      <c r="J54" s="1" t="str">
        <f t="shared" si="5"/>
        <v>Cumple</v>
      </c>
      <c r="K54" s="9">
        <f t="shared" si="14"/>
        <v>150000</v>
      </c>
      <c r="L54" s="4">
        <f>+VLOOKUP(C54,Indicadores!B:P,15,FALSE)</f>
        <v>0.52253333333333341</v>
      </c>
      <c r="M54" s="1" t="str">
        <f t="shared" si="6"/>
        <v>No Cumple</v>
      </c>
      <c r="N54" s="5">
        <f t="shared" si="7"/>
        <v>0</v>
      </c>
      <c r="O54" s="5">
        <f t="shared" si="15"/>
        <v>50000</v>
      </c>
      <c r="P54" s="4">
        <v>0.95</v>
      </c>
      <c r="Q54" s="5" t="str">
        <f t="shared" si="8"/>
        <v>Cumple</v>
      </c>
      <c r="R54" s="5">
        <f t="shared" si="9"/>
        <v>47500</v>
      </c>
      <c r="S54" s="5">
        <f t="shared" si="16"/>
        <v>50000</v>
      </c>
      <c r="T54" s="4">
        <f>+VLOOKUP(C54,Indicadores!B:V,21,FALSE)</f>
        <v>1</v>
      </c>
      <c r="U54" s="35" t="str">
        <f t="shared" si="10"/>
        <v>Cumple</v>
      </c>
      <c r="V54" s="2">
        <f t="shared" si="11"/>
        <v>50000</v>
      </c>
      <c r="W54" s="5" t="str">
        <f t="shared" si="12"/>
        <v>SI</v>
      </c>
      <c r="X54" s="5">
        <f t="shared" si="13"/>
        <v>97500</v>
      </c>
      <c r="Y54" s="1"/>
    </row>
    <row r="55" spans="2:25" hidden="1" x14ac:dyDescent="0.25">
      <c r="B55" s="1" t="s">
        <v>234</v>
      </c>
      <c r="C55" s="1" t="s">
        <v>60</v>
      </c>
      <c r="D55" s="1" t="s">
        <v>243</v>
      </c>
      <c r="E55" s="1" t="s">
        <v>339</v>
      </c>
      <c r="F55" s="2">
        <f t="shared" si="3"/>
        <v>250000</v>
      </c>
      <c r="G55" s="4">
        <f>+VLOOKUP(C55,Indicadores!B:C,2,FALSE)</f>
        <v>0.74545454545454559</v>
      </c>
      <c r="H55" s="1" t="str">
        <f t="shared" si="4"/>
        <v>Cumple</v>
      </c>
      <c r="I55" s="4">
        <f>+VLOOKUP(C55,Indicadores!B:F,5,FALSE)</f>
        <v>1</v>
      </c>
      <c r="J55" s="1" t="str">
        <f t="shared" si="5"/>
        <v>Cumple</v>
      </c>
      <c r="K55" s="9">
        <f t="shared" si="14"/>
        <v>150000</v>
      </c>
      <c r="L55" s="4">
        <f>+VLOOKUP(C55,Indicadores!B:P,15,FALSE)</f>
        <v>0.51333333333333331</v>
      </c>
      <c r="M55" s="1" t="str">
        <f t="shared" si="6"/>
        <v>No Cumple</v>
      </c>
      <c r="N55" s="5">
        <f t="shared" si="7"/>
        <v>0</v>
      </c>
      <c r="O55" s="5">
        <f t="shared" si="15"/>
        <v>50000</v>
      </c>
      <c r="P55" s="4">
        <v>0.95</v>
      </c>
      <c r="Q55" s="5" t="str">
        <f t="shared" si="8"/>
        <v>Cumple</v>
      </c>
      <c r="R55" s="5">
        <f t="shared" si="9"/>
        <v>47500</v>
      </c>
      <c r="S55" s="5">
        <f t="shared" si="16"/>
        <v>50000</v>
      </c>
      <c r="T55" s="4">
        <f>+VLOOKUP(C55,Indicadores!B:V,21,FALSE)</f>
        <v>0.49</v>
      </c>
      <c r="U55" s="35" t="str">
        <f t="shared" si="10"/>
        <v>No Cumple</v>
      </c>
      <c r="V55" s="2">
        <f t="shared" si="11"/>
        <v>0</v>
      </c>
      <c r="W55" s="5" t="str">
        <f t="shared" si="12"/>
        <v>SI</v>
      </c>
      <c r="X55" s="5">
        <f t="shared" si="13"/>
        <v>47500</v>
      </c>
      <c r="Y55" s="1"/>
    </row>
    <row r="56" spans="2:25" hidden="1" x14ac:dyDescent="0.25">
      <c r="B56" s="1" t="s">
        <v>234</v>
      </c>
      <c r="C56" s="1" t="s">
        <v>61</v>
      </c>
      <c r="D56" s="1" t="s">
        <v>243</v>
      </c>
      <c r="E56" s="1" t="s">
        <v>339</v>
      </c>
      <c r="F56" s="2">
        <f t="shared" si="3"/>
        <v>250000</v>
      </c>
      <c r="G56" s="4">
        <f>+VLOOKUP(C56,Indicadores!B:C,2,FALSE)</f>
        <v>0.81584545454545454</v>
      </c>
      <c r="H56" s="1" t="str">
        <f t="shared" si="4"/>
        <v>Cumple</v>
      </c>
      <c r="I56" s="4">
        <f>+VLOOKUP(C56,Indicadores!B:F,5,FALSE)</f>
        <v>1</v>
      </c>
      <c r="J56" s="1" t="str">
        <f t="shared" si="5"/>
        <v>Cumple</v>
      </c>
      <c r="K56" s="9">
        <f t="shared" si="14"/>
        <v>150000</v>
      </c>
      <c r="L56" s="4">
        <f>+VLOOKUP(C56,Indicadores!B:P,15,FALSE)</f>
        <v>0.57356666666666667</v>
      </c>
      <c r="M56" s="1" t="str">
        <f t="shared" si="6"/>
        <v>No Cumple</v>
      </c>
      <c r="N56" s="5">
        <f t="shared" si="7"/>
        <v>0</v>
      </c>
      <c r="O56" s="5">
        <f t="shared" si="15"/>
        <v>50000</v>
      </c>
      <c r="P56" s="4">
        <v>0.95</v>
      </c>
      <c r="Q56" s="5" t="str">
        <f t="shared" si="8"/>
        <v>Cumple</v>
      </c>
      <c r="R56" s="5">
        <f t="shared" si="9"/>
        <v>47500</v>
      </c>
      <c r="S56" s="5">
        <f t="shared" si="16"/>
        <v>50000</v>
      </c>
      <c r="T56" s="4">
        <f>+VLOOKUP(C56,Indicadores!B:V,21,FALSE)</f>
        <v>0.5</v>
      </c>
      <c r="U56" s="35" t="str">
        <f t="shared" si="10"/>
        <v>No Cumple</v>
      </c>
      <c r="V56" s="2">
        <f t="shared" si="11"/>
        <v>0</v>
      </c>
      <c r="W56" s="5" t="str">
        <f t="shared" si="12"/>
        <v>SI</v>
      </c>
      <c r="X56" s="5">
        <f t="shared" si="13"/>
        <v>47500</v>
      </c>
      <c r="Y56" s="1"/>
    </row>
    <row r="57" spans="2:25" x14ac:dyDescent="0.25">
      <c r="B57" s="1" t="s">
        <v>234</v>
      </c>
      <c r="C57" s="1" t="s">
        <v>62</v>
      </c>
      <c r="D57" s="1" t="s">
        <v>243</v>
      </c>
      <c r="E57" s="1" t="s">
        <v>339</v>
      </c>
      <c r="F57" s="2">
        <f t="shared" si="3"/>
        <v>250000</v>
      </c>
      <c r="G57" s="4">
        <f>+VLOOKUP(C57,Indicadores!B:C,2,FALSE)</f>
        <v>0.85741818181818197</v>
      </c>
      <c r="H57" s="1" t="str">
        <f t="shared" si="4"/>
        <v>Cumple</v>
      </c>
      <c r="I57" s="4">
        <f>+VLOOKUP(C57,Indicadores!B:F,5,FALSE)</f>
        <v>0.95</v>
      </c>
      <c r="J57" s="1" t="str">
        <f t="shared" si="5"/>
        <v>Cumple</v>
      </c>
      <c r="K57" s="9">
        <f t="shared" si="14"/>
        <v>150000</v>
      </c>
      <c r="L57" s="4">
        <f>+VLOOKUP(C57,Indicadores!B:P,15,FALSE)</f>
        <v>0.73606666666666676</v>
      </c>
      <c r="M57" s="1" t="str">
        <f t="shared" si="6"/>
        <v>No Cumple</v>
      </c>
      <c r="N57" s="5">
        <f t="shared" si="7"/>
        <v>0</v>
      </c>
      <c r="O57" s="5">
        <f t="shared" si="15"/>
        <v>50000</v>
      </c>
      <c r="P57" s="4">
        <v>0.95</v>
      </c>
      <c r="Q57" s="5" t="str">
        <f t="shared" si="8"/>
        <v>Cumple</v>
      </c>
      <c r="R57" s="5">
        <f t="shared" si="9"/>
        <v>47500</v>
      </c>
      <c r="S57" s="5">
        <f t="shared" si="16"/>
        <v>50000</v>
      </c>
      <c r="T57" s="4">
        <f>+VLOOKUP(C57,Indicadores!B:V,21,FALSE)</f>
        <v>0.5</v>
      </c>
      <c r="U57" s="35" t="str">
        <f t="shared" si="10"/>
        <v>No Cumple</v>
      </c>
      <c r="V57" s="2">
        <f t="shared" si="11"/>
        <v>0</v>
      </c>
      <c r="W57" s="5" t="str">
        <f t="shared" si="12"/>
        <v>SI</v>
      </c>
      <c r="X57" s="5">
        <f t="shared" si="13"/>
        <v>47500</v>
      </c>
      <c r="Y57" s="1"/>
    </row>
    <row r="58" spans="2:25" hidden="1" x14ac:dyDescent="0.25">
      <c r="B58" s="1" t="s">
        <v>234</v>
      </c>
      <c r="C58" s="1" t="s">
        <v>63</v>
      </c>
      <c r="D58" s="1" t="s">
        <v>243</v>
      </c>
      <c r="E58" s="1" t="s">
        <v>339</v>
      </c>
      <c r="F58" s="2">
        <f t="shared" si="3"/>
        <v>250000</v>
      </c>
      <c r="G58" s="4">
        <f>+VLOOKUP(C58,Indicadores!B:C,2,FALSE)</f>
        <v>0.81049090909090904</v>
      </c>
      <c r="H58" s="1" t="str">
        <f t="shared" si="4"/>
        <v>Cumple</v>
      </c>
      <c r="I58" s="4">
        <f>+VLOOKUP(C58,Indicadores!B:F,5,FALSE)</f>
        <v>1</v>
      </c>
      <c r="J58" s="1" t="str">
        <f t="shared" si="5"/>
        <v>Cumple</v>
      </c>
      <c r="K58" s="9">
        <f t="shared" si="14"/>
        <v>150000</v>
      </c>
      <c r="L58" s="4">
        <f>+VLOOKUP(C58,Indicadores!B:P,15,FALSE)</f>
        <v>0.46286666666666659</v>
      </c>
      <c r="M58" s="1" t="str">
        <f t="shared" si="6"/>
        <v>No Cumple</v>
      </c>
      <c r="N58" s="5">
        <f t="shared" si="7"/>
        <v>0</v>
      </c>
      <c r="O58" s="5">
        <f t="shared" si="15"/>
        <v>50000</v>
      </c>
      <c r="P58" s="4">
        <v>0.95</v>
      </c>
      <c r="Q58" s="5" t="str">
        <f t="shared" si="8"/>
        <v>Cumple</v>
      </c>
      <c r="R58" s="5">
        <f t="shared" si="9"/>
        <v>47500</v>
      </c>
      <c r="S58" s="5">
        <f t="shared" si="16"/>
        <v>50000</v>
      </c>
      <c r="T58" s="4">
        <f>+VLOOKUP(C58,Indicadores!B:V,21,FALSE)</f>
        <v>0.5</v>
      </c>
      <c r="U58" s="35" t="str">
        <f t="shared" si="10"/>
        <v>No Cumple</v>
      </c>
      <c r="V58" s="2">
        <f t="shared" si="11"/>
        <v>0</v>
      </c>
      <c r="W58" s="5" t="str">
        <f t="shared" si="12"/>
        <v>SI</v>
      </c>
      <c r="X58" s="5">
        <f t="shared" si="13"/>
        <v>47500</v>
      </c>
      <c r="Y58" s="1"/>
    </row>
    <row r="59" spans="2:25" hidden="1" x14ac:dyDescent="0.25">
      <c r="B59" s="1" t="s">
        <v>234</v>
      </c>
      <c r="C59" s="1" t="s">
        <v>64</v>
      </c>
      <c r="D59" s="1" t="s">
        <v>243</v>
      </c>
      <c r="E59" s="1" t="s">
        <v>339</v>
      </c>
      <c r="F59" s="2">
        <f t="shared" si="3"/>
        <v>250000</v>
      </c>
      <c r="G59" s="4">
        <f>+VLOOKUP(C59,Indicadores!B:C,2,FALSE)</f>
        <v>0.79825454545454544</v>
      </c>
      <c r="H59" s="1" t="str">
        <f t="shared" si="4"/>
        <v>Cumple</v>
      </c>
      <c r="I59" s="4">
        <f>+VLOOKUP(C59,Indicadores!B:F,5,FALSE)</f>
        <v>1</v>
      </c>
      <c r="J59" s="1" t="str">
        <f t="shared" si="5"/>
        <v>Cumple</v>
      </c>
      <c r="K59" s="9">
        <f t="shared" si="14"/>
        <v>150000</v>
      </c>
      <c r="L59" s="4">
        <f>+VLOOKUP(C59,Indicadores!B:P,15,FALSE)</f>
        <v>0.36109999999999998</v>
      </c>
      <c r="M59" s="1" t="str">
        <f t="shared" si="6"/>
        <v>No Cumple</v>
      </c>
      <c r="N59" s="5">
        <f t="shared" si="7"/>
        <v>0</v>
      </c>
      <c r="O59" s="5">
        <f t="shared" si="15"/>
        <v>50000</v>
      </c>
      <c r="P59" s="4">
        <v>0.95</v>
      </c>
      <c r="Q59" s="5" t="str">
        <f t="shared" si="8"/>
        <v>Cumple</v>
      </c>
      <c r="R59" s="5">
        <f t="shared" si="9"/>
        <v>47500</v>
      </c>
      <c r="S59" s="5">
        <f t="shared" si="16"/>
        <v>50000</v>
      </c>
      <c r="T59" s="4">
        <f>+VLOOKUP(C59,Indicadores!B:V,21,FALSE)</f>
        <v>1</v>
      </c>
      <c r="U59" s="35" t="str">
        <f t="shared" si="10"/>
        <v>Cumple</v>
      </c>
      <c r="V59" s="2">
        <f t="shared" si="11"/>
        <v>50000</v>
      </c>
      <c r="W59" s="5" t="str">
        <f t="shared" si="12"/>
        <v>SI</v>
      </c>
      <c r="X59" s="5">
        <f t="shared" si="13"/>
        <v>97500</v>
      </c>
      <c r="Y59" s="1"/>
    </row>
    <row r="60" spans="2:25" hidden="1" x14ac:dyDescent="0.25">
      <c r="B60" s="1" t="s">
        <v>234</v>
      </c>
      <c r="C60" s="1" t="s">
        <v>65</v>
      </c>
      <c r="D60" s="1" t="s">
        <v>243</v>
      </c>
      <c r="E60" s="1" t="s">
        <v>339</v>
      </c>
      <c r="F60" s="2">
        <f t="shared" si="3"/>
        <v>250000</v>
      </c>
      <c r="G60" s="4">
        <f>+VLOOKUP(C60,Indicadores!B:C,2,FALSE)</f>
        <v>0.76489090909090907</v>
      </c>
      <c r="H60" s="1" t="str">
        <f t="shared" si="4"/>
        <v>Cumple</v>
      </c>
      <c r="I60" s="4">
        <f>+VLOOKUP(C60,Indicadores!B:F,5,FALSE)</f>
        <v>0.92307692307692313</v>
      </c>
      <c r="J60" s="1" t="str">
        <f t="shared" si="5"/>
        <v>Cumple</v>
      </c>
      <c r="K60" s="9">
        <f t="shared" si="14"/>
        <v>150000</v>
      </c>
      <c r="L60" s="4">
        <f>+VLOOKUP(C60,Indicadores!B:P,15,FALSE)</f>
        <v>0.50383333333333336</v>
      </c>
      <c r="M60" s="1" t="str">
        <f t="shared" si="6"/>
        <v>No Cumple</v>
      </c>
      <c r="N60" s="5">
        <f t="shared" si="7"/>
        <v>0</v>
      </c>
      <c r="O60" s="5">
        <f t="shared" si="15"/>
        <v>50000</v>
      </c>
      <c r="P60" s="4">
        <v>0.95</v>
      </c>
      <c r="Q60" s="5" t="str">
        <f t="shared" si="8"/>
        <v>Cumple</v>
      </c>
      <c r="R60" s="5">
        <f t="shared" si="9"/>
        <v>47500</v>
      </c>
      <c r="S60" s="5">
        <f t="shared" si="16"/>
        <v>50000</v>
      </c>
      <c r="T60" s="4">
        <f>+VLOOKUP(C60,Indicadores!B:V,21,FALSE)</f>
        <v>0.5</v>
      </c>
      <c r="U60" s="35" t="str">
        <f t="shared" si="10"/>
        <v>No Cumple</v>
      </c>
      <c r="V60" s="2">
        <f t="shared" si="11"/>
        <v>0</v>
      </c>
      <c r="W60" s="5" t="str">
        <f t="shared" si="12"/>
        <v>SI</v>
      </c>
      <c r="X60" s="5">
        <f t="shared" si="13"/>
        <v>47500</v>
      </c>
      <c r="Y60" s="1"/>
    </row>
    <row r="61" spans="2:25" x14ac:dyDescent="0.25">
      <c r="B61" s="1" t="s">
        <v>234</v>
      </c>
      <c r="C61" s="1" t="s">
        <v>66</v>
      </c>
      <c r="D61" s="1" t="s">
        <v>243</v>
      </c>
      <c r="E61" s="1" t="s">
        <v>339</v>
      </c>
      <c r="F61" s="2">
        <f t="shared" si="3"/>
        <v>250000</v>
      </c>
      <c r="G61" s="4">
        <f>+VLOOKUP(C61,Indicadores!B:C,2,FALSE)</f>
        <v>0.79330909090909085</v>
      </c>
      <c r="H61" s="1" t="str">
        <f t="shared" si="4"/>
        <v>Cumple</v>
      </c>
      <c r="I61" s="4">
        <f>+VLOOKUP(C61,Indicadores!B:F,5,FALSE)</f>
        <v>1</v>
      </c>
      <c r="J61" s="1" t="str">
        <f t="shared" si="5"/>
        <v>Cumple</v>
      </c>
      <c r="K61" s="9">
        <f t="shared" si="14"/>
        <v>150000</v>
      </c>
      <c r="L61" s="4">
        <f>+VLOOKUP(C61,Indicadores!B:P,15,FALSE)</f>
        <v>0.6166666666666667</v>
      </c>
      <c r="M61" s="1" t="str">
        <f t="shared" si="6"/>
        <v>No Cumple</v>
      </c>
      <c r="N61" s="5">
        <f t="shared" si="7"/>
        <v>0</v>
      </c>
      <c r="O61" s="5">
        <f t="shared" si="15"/>
        <v>50000</v>
      </c>
      <c r="P61" s="4">
        <v>0.95</v>
      </c>
      <c r="Q61" s="5" t="str">
        <f t="shared" si="8"/>
        <v>Cumple</v>
      </c>
      <c r="R61" s="5">
        <f t="shared" si="9"/>
        <v>47500</v>
      </c>
      <c r="S61" s="5">
        <f t="shared" si="16"/>
        <v>50000</v>
      </c>
      <c r="T61" s="4">
        <f>+VLOOKUP(C61,Indicadores!B:V,21,FALSE)</f>
        <v>1</v>
      </c>
      <c r="U61" s="35" t="str">
        <f t="shared" si="10"/>
        <v>Cumple</v>
      </c>
      <c r="V61" s="2">
        <f t="shared" si="11"/>
        <v>50000</v>
      </c>
      <c r="W61" s="5" t="str">
        <f t="shared" si="12"/>
        <v>SI</v>
      </c>
      <c r="X61" s="5">
        <f t="shared" si="13"/>
        <v>97500</v>
      </c>
      <c r="Y61" s="1"/>
    </row>
    <row r="62" spans="2:25" x14ac:dyDescent="0.25">
      <c r="B62" s="1" t="s">
        <v>234</v>
      </c>
      <c r="C62" s="1" t="s">
        <v>67</v>
      </c>
      <c r="D62" s="1" t="s">
        <v>243</v>
      </c>
      <c r="E62" s="1" t="s">
        <v>339</v>
      </c>
      <c r="F62" s="2">
        <f t="shared" si="3"/>
        <v>250000</v>
      </c>
      <c r="G62" s="4">
        <f>+VLOOKUP(C62,Indicadores!B:C,2,FALSE)</f>
        <v>0.79930909090909086</v>
      </c>
      <c r="H62" s="1" t="str">
        <f t="shared" si="4"/>
        <v>Cumple</v>
      </c>
      <c r="I62" s="4">
        <f>+VLOOKUP(C62,Indicadores!B:F,5,FALSE)</f>
        <v>1</v>
      </c>
      <c r="J62" s="1" t="str">
        <f t="shared" si="5"/>
        <v>Cumple</v>
      </c>
      <c r="K62" s="9">
        <f t="shared" si="14"/>
        <v>150000</v>
      </c>
      <c r="L62" s="4">
        <f>+VLOOKUP(C62,Indicadores!B:P,15,FALSE)</f>
        <v>0.68553333333333333</v>
      </c>
      <c r="M62" s="1" t="str">
        <f t="shared" si="6"/>
        <v>No Cumple</v>
      </c>
      <c r="N62" s="5">
        <f t="shared" si="7"/>
        <v>0</v>
      </c>
      <c r="O62" s="5">
        <f t="shared" si="15"/>
        <v>50000</v>
      </c>
      <c r="P62" s="4">
        <v>0.95</v>
      </c>
      <c r="Q62" s="5" t="str">
        <f t="shared" si="8"/>
        <v>Cumple</v>
      </c>
      <c r="R62" s="5">
        <f t="shared" si="9"/>
        <v>47500</v>
      </c>
      <c r="S62" s="5">
        <f t="shared" si="16"/>
        <v>50000</v>
      </c>
      <c r="T62" s="4">
        <f>+VLOOKUP(C62,Indicadores!B:V,21,FALSE)</f>
        <v>0.5</v>
      </c>
      <c r="U62" s="35" t="str">
        <f t="shared" si="10"/>
        <v>No Cumple</v>
      </c>
      <c r="V62" s="2">
        <f t="shared" si="11"/>
        <v>0</v>
      </c>
      <c r="W62" s="5" t="str">
        <f t="shared" si="12"/>
        <v>SI</v>
      </c>
      <c r="X62" s="5">
        <f t="shared" si="13"/>
        <v>47500</v>
      </c>
      <c r="Y62" s="1"/>
    </row>
    <row r="63" spans="2:25" hidden="1" x14ac:dyDescent="0.25">
      <c r="B63" s="1" t="s">
        <v>234</v>
      </c>
      <c r="C63" s="1" t="s">
        <v>68</v>
      </c>
      <c r="D63" s="1" t="s">
        <v>243</v>
      </c>
      <c r="E63" s="1" t="s">
        <v>339</v>
      </c>
      <c r="F63" s="2">
        <f t="shared" si="3"/>
        <v>250000</v>
      </c>
      <c r="G63" s="4">
        <f>+VLOOKUP(C63,Indicadores!B:C,2,FALSE)</f>
        <v>0.79154545454545444</v>
      </c>
      <c r="H63" s="1" t="str">
        <f t="shared" si="4"/>
        <v>Cumple</v>
      </c>
      <c r="I63" s="4">
        <f>+VLOOKUP(C63,Indicadores!B:F,5,FALSE)</f>
        <v>0.82352941176470584</v>
      </c>
      <c r="J63" s="1" t="str">
        <f t="shared" si="5"/>
        <v>Cumple</v>
      </c>
      <c r="K63" s="9">
        <f t="shared" si="14"/>
        <v>150000</v>
      </c>
      <c r="L63" s="4">
        <f>+VLOOKUP(C63,Indicadores!B:P,15,FALSE)</f>
        <v>0.45789999999999997</v>
      </c>
      <c r="M63" s="1" t="str">
        <f t="shared" si="6"/>
        <v>No Cumple</v>
      </c>
      <c r="N63" s="5">
        <f t="shared" si="7"/>
        <v>0</v>
      </c>
      <c r="O63" s="5">
        <f t="shared" si="15"/>
        <v>50000</v>
      </c>
      <c r="P63" s="4">
        <v>0.95</v>
      </c>
      <c r="Q63" s="5" t="str">
        <f t="shared" si="8"/>
        <v>Cumple</v>
      </c>
      <c r="R63" s="5">
        <f t="shared" si="9"/>
        <v>47500</v>
      </c>
      <c r="S63" s="5">
        <f t="shared" si="16"/>
        <v>50000</v>
      </c>
      <c r="T63" s="4">
        <f>+VLOOKUP(C63,Indicadores!B:V,21,FALSE)</f>
        <v>0.5</v>
      </c>
      <c r="U63" s="35" t="str">
        <f t="shared" si="10"/>
        <v>No Cumple</v>
      </c>
      <c r="V63" s="2">
        <f t="shared" si="11"/>
        <v>0</v>
      </c>
      <c r="W63" s="5" t="str">
        <f t="shared" si="12"/>
        <v>SI</v>
      </c>
      <c r="X63" s="5">
        <f t="shared" si="13"/>
        <v>47500</v>
      </c>
      <c r="Y63" s="1"/>
    </row>
    <row r="64" spans="2:25" hidden="1" x14ac:dyDescent="0.25">
      <c r="B64" s="1" t="s">
        <v>234</v>
      </c>
      <c r="C64" s="1" t="s">
        <v>69</v>
      </c>
      <c r="D64" s="1" t="s">
        <v>243</v>
      </c>
      <c r="E64" s="1" t="s">
        <v>339</v>
      </c>
      <c r="F64" s="2">
        <f t="shared" si="3"/>
        <v>250000</v>
      </c>
      <c r="G64" s="4">
        <f>+VLOOKUP(C64,Indicadores!B:C,2,FALSE)</f>
        <v>0.78886363636363643</v>
      </c>
      <c r="H64" s="1" t="str">
        <f t="shared" si="4"/>
        <v>Cumple</v>
      </c>
      <c r="I64" s="4">
        <f>+VLOOKUP(C64,Indicadores!B:F,5,FALSE)</f>
        <v>1</v>
      </c>
      <c r="J64" s="1" t="str">
        <f t="shared" si="5"/>
        <v>Cumple</v>
      </c>
      <c r="K64" s="9">
        <f t="shared" si="14"/>
        <v>150000</v>
      </c>
      <c r="L64" s="4">
        <f>+VLOOKUP(C64,Indicadores!B:P,15,FALSE)</f>
        <v>0.57169999999999999</v>
      </c>
      <c r="M64" s="1" t="str">
        <f t="shared" si="6"/>
        <v>No Cumple</v>
      </c>
      <c r="N64" s="5">
        <f t="shared" si="7"/>
        <v>0</v>
      </c>
      <c r="O64" s="5">
        <f t="shared" si="15"/>
        <v>50000</v>
      </c>
      <c r="P64" s="4">
        <v>0.95</v>
      </c>
      <c r="Q64" s="5" t="str">
        <f t="shared" si="8"/>
        <v>Cumple</v>
      </c>
      <c r="R64" s="5">
        <f t="shared" si="9"/>
        <v>47500</v>
      </c>
      <c r="S64" s="5">
        <f t="shared" si="16"/>
        <v>50000</v>
      </c>
      <c r="T64" s="4">
        <f>+VLOOKUP(C64,Indicadores!B:V,21,FALSE)</f>
        <v>0.99195</v>
      </c>
      <c r="U64" s="35" t="str">
        <f t="shared" si="10"/>
        <v>No Cumple</v>
      </c>
      <c r="V64" s="2">
        <f t="shared" si="11"/>
        <v>0</v>
      </c>
      <c r="W64" s="5" t="str">
        <f t="shared" si="12"/>
        <v>SI</v>
      </c>
      <c r="X64" s="5">
        <f t="shared" si="13"/>
        <v>47500</v>
      </c>
      <c r="Y64" s="1"/>
    </row>
    <row r="65" spans="2:25" hidden="1" x14ac:dyDescent="0.25">
      <c r="B65" s="1" t="s">
        <v>234</v>
      </c>
      <c r="C65" s="1" t="s">
        <v>70</v>
      </c>
      <c r="D65" s="1" t="s">
        <v>243</v>
      </c>
      <c r="E65" s="1" t="s">
        <v>339</v>
      </c>
      <c r="F65" s="2">
        <f t="shared" si="3"/>
        <v>250000</v>
      </c>
      <c r="G65" s="4">
        <f>+VLOOKUP(C65,Indicadores!B:C,2,FALSE)</f>
        <v>0.75610909090909084</v>
      </c>
      <c r="H65" s="1" t="str">
        <f t="shared" si="4"/>
        <v>Cumple</v>
      </c>
      <c r="I65" s="4">
        <f>+VLOOKUP(C65,Indicadores!B:F,5,FALSE)</f>
        <v>1</v>
      </c>
      <c r="J65" s="1" t="str">
        <f t="shared" si="5"/>
        <v>Cumple</v>
      </c>
      <c r="K65" s="9">
        <f t="shared" si="14"/>
        <v>150000</v>
      </c>
      <c r="L65" s="4">
        <f>+VLOOKUP(C65,Indicadores!B:P,15,FALSE)</f>
        <v>0.36493333333333333</v>
      </c>
      <c r="M65" s="1" t="str">
        <f t="shared" si="6"/>
        <v>No Cumple</v>
      </c>
      <c r="N65" s="5">
        <f t="shared" si="7"/>
        <v>0</v>
      </c>
      <c r="O65" s="5">
        <f t="shared" si="15"/>
        <v>50000</v>
      </c>
      <c r="P65" s="4">
        <v>0.95</v>
      </c>
      <c r="Q65" s="5" t="str">
        <f t="shared" si="8"/>
        <v>Cumple</v>
      </c>
      <c r="R65" s="5">
        <f t="shared" si="9"/>
        <v>47500</v>
      </c>
      <c r="S65" s="5">
        <f t="shared" si="16"/>
        <v>50000</v>
      </c>
      <c r="T65" s="4">
        <f>+VLOOKUP(C65,Indicadores!B:V,21,FALSE)</f>
        <v>0.5</v>
      </c>
      <c r="U65" s="35" t="str">
        <f t="shared" si="10"/>
        <v>No Cumple</v>
      </c>
      <c r="V65" s="2">
        <f t="shared" si="11"/>
        <v>0</v>
      </c>
      <c r="W65" s="5" t="str">
        <f t="shared" si="12"/>
        <v>SI</v>
      </c>
      <c r="X65" s="5">
        <f t="shared" si="13"/>
        <v>47500</v>
      </c>
      <c r="Y65" s="1"/>
    </row>
    <row r="66" spans="2:25" x14ac:dyDescent="0.25">
      <c r="B66" s="1" t="s">
        <v>234</v>
      </c>
      <c r="C66" s="1" t="s">
        <v>71</v>
      </c>
      <c r="D66" s="1" t="s">
        <v>243</v>
      </c>
      <c r="E66" s="1" t="s">
        <v>339</v>
      </c>
      <c r="F66" s="2">
        <f t="shared" si="3"/>
        <v>250000</v>
      </c>
      <c r="G66" s="4">
        <f>+VLOOKUP(C66,Indicadores!B:C,2,FALSE)</f>
        <v>0.84487272727272711</v>
      </c>
      <c r="H66" s="1" t="str">
        <f t="shared" si="4"/>
        <v>Cumple</v>
      </c>
      <c r="I66" s="4">
        <f>+VLOOKUP(C66,Indicadores!B:F,5,FALSE)</f>
        <v>0.92307692307692313</v>
      </c>
      <c r="J66" s="1" t="str">
        <f t="shared" si="5"/>
        <v>Cumple</v>
      </c>
      <c r="K66" s="9">
        <f t="shared" si="14"/>
        <v>150000</v>
      </c>
      <c r="L66" s="4">
        <f>+VLOOKUP(C66,Indicadores!B:P,15,FALSE)</f>
        <v>0.79596666666666671</v>
      </c>
      <c r="M66" s="1" t="str">
        <f t="shared" si="6"/>
        <v>No Cumple</v>
      </c>
      <c r="N66" s="5">
        <f t="shared" si="7"/>
        <v>0</v>
      </c>
      <c r="O66" s="5">
        <f t="shared" si="15"/>
        <v>50000</v>
      </c>
      <c r="P66" s="4">
        <v>0.95</v>
      </c>
      <c r="Q66" s="5" t="str">
        <f t="shared" si="8"/>
        <v>Cumple</v>
      </c>
      <c r="R66" s="5">
        <f t="shared" si="9"/>
        <v>47500</v>
      </c>
      <c r="S66" s="5">
        <f t="shared" si="16"/>
        <v>50000</v>
      </c>
      <c r="T66" s="4">
        <f>+VLOOKUP(C66,Indicadores!B:V,21,FALSE)</f>
        <v>0.49454999999999999</v>
      </c>
      <c r="U66" s="35" t="str">
        <f t="shared" si="10"/>
        <v>No Cumple</v>
      </c>
      <c r="V66" s="2">
        <f t="shared" si="11"/>
        <v>0</v>
      </c>
      <c r="W66" s="5" t="str">
        <f t="shared" si="12"/>
        <v>SI</v>
      </c>
      <c r="X66" s="5">
        <f t="shared" si="13"/>
        <v>47500</v>
      </c>
      <c r="Y66" s="8"/>
    </row>
    <row r="67" spans="2:25" x14ac:dyDescent="0.25">
      <c r="B67" s="1" t="s">
        <v>234</v>
      </c>
      <c r="C67" s="1" t="s">
        <v>72</v>
      </c>
      <c r="D67" s="1" t="s">
        <v>243</v>
      </c>
      <c r="E67" s="1" t="s">
        <v>339</v>
      </c>
      <c r="F67" s="2">
        <f t="shared" si="3"/>
        <v>250000</v>
      </c>
      <c r="G67" s="4">
        <f>+VLOOKUP(C67,Indicadores!B:C,2,FALSE)</f>
        <v>0.80184545454545464</v>
      </c>
      <c r="H67" s="1" t="str">
        <f t="shared" si="4"/>
        <v>Cumple</v>
      </c>
      <c r="I67" s="4">
        <f>+VLOOKUP(C67,Indicadores!B:F,5,FALSE)</f>
        <v>1</v>
      </c>
      <c r="J67" s="1" t="str">
        <f t="shared" si="5"/>
        <v>Cumple</v>
      </c>
      <c r="K67" s="9">
        <f t="shared" si="14"/>
        <v>150000</v>
      </c>
      <c r="L67" s="4">
        <f>+VLOOKUP(C67,Indicadores!B:P,15,FALSE)</f>
        <v>0.70413333333333339</v>
      </c>
      <c r="M67" s="1" t="str">
        <f t="shared" si="6"/>
        <v>No Cumple</v>
      </c>
      <c r="N67" s="5">
        <f t="shared" si="7"/>
        <v>0</v>
      </c>
      <c r="O67" s="5">
        <f t="shared" si="15"/>
        <v>50000</v>
      </c>
      <c r="P67" s="4">
        <v>0.95</v>
      </c>
      <c r="Q67" s="5" t="str">
        <f t="shared" si="8"/>
        <v>Cumple</v>
      </c>
      <c r="R67" s="5">
        <f t="shared" si="9"/>
        <v>47500</v>
      </c>
      <c r="S67" s="5">
        <f t="shared" si="16"/>
        <v>50000</v>
      </c>
      <c r="T67" s="4">
        <f>+VLOOKUP(C67,Indicadores!B:V,21,FALSE)</f>
        <v>0.5</v>
      </c>
      <c r="U67" s="35" t="str">
        <f t="shared" si="10"/>
        <v>No Cumple</v>
      </c>
      <c r="V67" s="2">
        <f t="shared" si="11"/>
        <v>0</v>
      </c>
      <c r="W67" s="5" t="str">
        <f t="shared" si="12"/>
        <v>SI</v>
      </c>
      <c r="X67" s="5">
        <f t="shared" si="13"/>
        <v>47500</v>
      </c>
      <c r="Y67" s="1"/>
    </row>
    <row r="68" spans="2:25" hidden="1" x14ac:dyDescent="0.25">
      <c r="B68" s="1" t="s">
        <v>235</v>
      </c>
      <c r="C68" s="1" t="s">
        <v>73</v>
      </c>
      <c r="D68" s="1" t="s">
        <v>243</v>
      </c>
      <c r="E68" s="1" t="s">
        <v>340</v>
      </c>
      <c r="F68" s="2">
        <f t="shared" si="3"/>
        <v>250000</v>
      </c>
      <c r="G68" s="4">
        <f>+VLOOKUP(C68,Indicadores!B:C,2,FALSE)</f>
        <v>0.81913636363636355</v>
      </c>
      <c r="H68" s="1" t="str">
        <f t="shared" si="4"/>
        <v>Cumple</v>
      </c>
      <c r="I68" s="4">
        <f>+VLOOKUP(C68,Indicadores!B:F,5,FALSE)</f>
        <v>0.90476190476190477</v>
      </c>
      <c r="J68" s="1" t="str">
        <f t="shared" si="5"/>
        <v>Cumple</v>
      </c>
      <c r="K68" s="9">
        <f t="shared" si="14"/>
        <v>150000</v>
      </c>
      <c r="L68" s="4">
        <f>+VLOOKUP(C68,Indicadores!B:P,15,FALSE)</f>
        <v>0.53403333333333336</v>
      </c>
      <c r="M68" s="1" t="str">
        <f t="shared" si="6"/>
        <v>No Cumple</v>
      </c>
      <c r="N68" s="5">
        <f t="shared" si="7"/>
        <v>0</v>
      </c>
      <c r="O68" s="5">
        <f t="shared" si="15"/>
        <v>50000</v>
      </c>
      <c r="P68" s="4">
        <v>0.95</v>
      </c>
      <c r="Q68" s="5" t="str">
        <f t="shared" si="8"/>
        <v>Cumple</v>
      </c>
      <c r="R68" s="5">
        <f t="shared" si="9"/>
        <v>47500</v>
      </c>
      <c r="S68" s="5">
        <f t="shared" si="16"/>
        <v>50000</v>
      </c>
      <c r="T68" s="4">
        <f>+VLOOKUP(C68,Indicadores!B:V,21,FALSE)</f>
        <v>0.5</v>
      </c>
      <c r="U68" s="35" t="str">
        <f t="shared" si="10"/>
        <v>No Cumple</v>
      </c>
      <c r="V68" s="2">
        <f t="shared" si="11"/>
        <v>0</v>
      </c>
      <c r="W68" s="5" t="str">
        <f t="shared" si="12"/>
        <v>SI</v>
      </c>
      <c r="X68" s="5">
        <f t="shared" si="13"/>
        <v>47500</v>
      </c>
      <c r="Y68" s="1"/>
    </row>
    <row r="69" spans="2:25" x14ac:dyDescent="0.25">
      <c r="B69" s="1" t="s">
        <v>235</v>
      </c>
      <c r="C69" s="1" t="s">
        <v>74</v>
      </c>
      <c r="D69" s="1" t="s">
        <v>243</v>
      </c>
      <c r="E69" s="1" t="s">
        <v>340</v>
      </c>
      <c r="F69" s="2">
        <f t="shared" si="3"/>
        <v>250000</v>
      </c>
      <c r="G69" s="4">
        <f>+VLOOKUP(C69,Indicadores!B:C,2,FALSE)</f>
        <v>0.81587272727272719</v>
      </c>
      <c r="H69" s="1" t="str">
        <f t="shared" si="4"/>
        <v>Cumple</v>
      </c>
      <c r="I69" s="4">
        <f>+VLOOKUP(C69,Indicadores!B:F,5,FALSE)</f>
        <v>0.95454545454545459</v>
      </c>
      <c r="J69" s="1" t="str">
        <f t="shared" si="5"/>
        <v>Cumple</v>
      </c>
      <c r="K69" s="9">
        <f t="shared" si="14"/>
        <v>150000</v>
      </c>
      <c r="L69" s="4">
        <f>+VLOOKUP(C69,Indicadores!B:P,15,FALSE)</f>
        <v>0.5984666666666667</v>
      </c>
      <c r="M69" s="1" t="str">
        <f t="shared" si="6"/>
        <v>No Cumple</v>
      </c>
      <c r="N69" s="5">
        <f t="shared" si="7"/>
        <v>0</v>
      </c>
      <c r="O69" s="5">
        <f t="shared" si="15"/>
        <v>50000</v>
      </c>
      <c r="P69" s="4">
        <v>0.95</v>
      </c>
      <c r="Q69" s="5" t="str">
        <f t="shared" si="8"/>
        <v>Cumple</v>
      </c>
      <c r="R69" s="5">
        <f t="shared" si="9"/>
        <v>47500</v>
      </c>
      <c r="S69" s="5">
        <f t="shared" si="16"/>
        <v>50000</v>
      </c>
      <c r="T69" s="4">
        <f>+VLOOKUP(C69,Indicadores!B:V,21,FALSE)</f>
        <v>0.5</v>
      </c>
      <c r="U69" s="35" t="str">
        <f t="shared" si="10"/>
        <v>No Cumple</v>
      </c>
      <c r="V69" s="2">
        <f t="shared" si="11"/>
        <v>0</v>
      </c>
      <c r="W69" s="5" t="str">
        <f t="shared" si="12"/>
        <v>SI</v>
      </c>
      <c r="X69" s="5">
        <f t="shared" si="13"/>
        <v>47500</v>
      </c>
      <c r="Y69" s="1"/>
    </row>
    <row r="70" spans="2:25" hidden="1" x14ac:dyDescent="0.25">
      <c r="B70" s="1" t="s">
        <v>235</v>
      </c>
      <c r="C70" s="1" t="s">
        <v>75</v>
      </c>
      <c r="D70" s="1" t="s">
        <v>243</v>
      </c>
      <c r="E70" s="1" t="s">
        <v>340</v>
      </c>
      <c r="F70" s="2">
        <f t="shared" si="3"/>
        <v>250000</v>
      </c>
      <c r="G70" s="4">
        <f>+VLOOKUP(C70,Indicadores!B:C,2,FALSE)</f>
        <v>0.88816363636363638</v>
      </c>
      <c r="H70" s="1" t="str">
        <f t="shared" si="4"/>
        <v>Cumple</v>
      </c>
      <c r="I70" s="4">
        <f>+VLOOKUP(C70,Indicadores!B:F,5,FALSE)</f>
        <v>0.9642857142857143</v>
      </c>
      <c r="J70" s="1" t="str">
        <f t="shared" si="5"/>
        <v>Cumple</v>
      </c>
      <c r="K70" s="9">
        <f t="shared" ref="K70:K101" si="17">+$F$4*$K$3</f>
        <v>150000</v>
      </c>
      <c r="L70" s="4">
        <f>+VLOOKUP(C70,Indicadores!B:P,15,FALSE)</f>
        <v>0.91533333333333333</v>
      </c>
      <c r="M70" s="1" t="str">
        <f t="shared" si="6"/>
        <v>Cumple</v>
      </c>
      <c r="N70" s="5">
        <f t="shared" si="7"/>
        <v>135000</v>
      </c>
      <c r="O70" s="5">
        <f t="shared" ref="O70:O101" si="18">+$F$4*$O$3</f>
        <v>50000</v>
      </c>
      <c r="P70" s="4">
        <v>0.95</v>
      </c>
      <c r="Q70" s="5" t="str">
        <f t="shared" si="8"/>
        <v>Cumple</v>
      </c>
      <c r="R70" s="5">
        <f t="shared" si="9"/>
        <v>47500</v>
      </c>
      <c r="S70" s="5">
        <f t="shared" ref="S70:S101" si="19">+$F$4*$S$3</f>
        <v>50000</v>
      </c>
      <c r="T70" s="4">
        <f>+VLOOKUP(C70,Indicadores!B:V,21,FALSE)</f>
        <v>0.5</v>
      </c>
      <c r="U70" s="35" t="str">
        <f t="shared" si="10"/>
        <v>No Cumple</v>
      </c>
      <c r="V70" s="2">
        <f t="shared" si="11"/>
        <v>0</v>
      </c>
      <c r="W70" s="5" t="str">
        <f t="shared" si="12"/>
        <v>SI</v>
      </c>
      <c r="X70" s="5">
        <f t="shared" si="13"/>
        <v>182500</v>
      </c>
      <c r="Y70" s="1"/>
    </row>
    <row r="71" spans="2:25" x14ac:dyDescent="0.25">
      <c r="B71" s="1" t="s">
        <v>235</v>
      </c>
      <c r="C71" s="1" t="s">
        <v>76</v>
      </c>
      <c r="D71" s="1" t="s">
        <v>243</v>
      </c>
      <c r="E71" s="1" t="s">
        <v>340</v>
      </c>
      <c r="F71" s="2">
        <f t="shared" ref="F71:F134" si="20">+$F$4</f>
        <v>250000</v>
      </c>
      <c r="G71" s="4">
        <f>+VLOOKUP(C71,Indicadores!B:C,2,FALSE)</f>
        <v>0.80165454545454551</v>
      </c>
      <c r="H71" s="1" t="str">
        <f t="shared" ref="H71:H134" si="21">IF(G71&gt;=70%,"Cumple","No Cumple")</f>
        <v>Cumple</v>
      </c>
      <c r="I71" s="4">
        <f>+VLOOKUP(C71,Indicadores!B:F,5,FALSE)</f>
        <v>1</v>
      </c>
      <c r="J71" s="1" t="str">
        <f t="shared" ref="J71:J134" si="22">IF(I71&gt;=70%,"Cumple","No Cumple")</f>
        <v>Cumple</v>
      </c>
      <c r="K71" s="9">
        <f t="shared" si="17"/>
        <v>150000</v>
      </c>
      <c r="L71" s="4">
        <f>+VLOOKUP(C71,Indicadores!B:P,15,FALSE)</f>
        <v>0.61340000000000006</v>
      </c>
      <c r="M71" s="1" t="str">
        <f t="shared" ref="M71:M134" si="23">IF(L71&gt;=80%,"Cumple","No Cumple")</f>
        <v>No Cumple</v>
      </c>
      <c r="N71" s="5">
        <f t="shared" ref="N71:N136" si="24">IF(L71=80%,K71*70%,IF(AND(L71&gt;=81%,L71&lt;=90%),K71*80%,IF(AND(L71&gt;=91%,L71&lt;=95%),K71*90%,IF(L71=96%,K71*96%,IF(L71=97%,K71*97%,IF(L71=98%,K71*98%,IF(L71=99%,K71*99%,IF(L71=100%,K71,0))))))))</f>
        <v>0</v>
      </c>
      <c r="O71" s="5">
        <f t="shared" si="18"/>
        <v>50000</v>
      </c>
      <c r="P71" s="4">
        <v>0.95</v>
      </c>
      <c r="Q71" s="5" t="str">
        <f t="shared" ref="Q71:Q134" si="25">IF(P71&gt;=80%,"Cumple","No Cumple")</f>
        <v>Cumple</v>
      </c>
      <c r="R71" s="5">
        <f t="shared" ref="R71:R134" si="26">+O71*95%</f>
        <v>47500</v>
      </c>
      <c r="S71" s="5">
        <f t="shared" si="19"/>
        <v>50000</v>
      </c>
      <c r="T71" s="4">
        <f>+VLOOKUP(C71,Indicadores!B:V,21,FALSE)</f>
        <v>0.5</v>
      </c>
      <c r="U71" s="35" t="str">
        <f t="shared" ref="U71:U134" si="27">IF(T71&gt;=100%,"Cumple","No Cumple")</f>
        <v>No Cumple</v>
      </c>
      <c r="V71" s="2">
        <f t="shared" ref="V71:V134" si="28">IF(T71=80%,S71*70%,IF(AND(T71&gt;=81%,T71&lt;=90%),S71*80%,IF(AND(T71&gt;=91%,T71&lt;=95%),S71*90%,IF(T71=96%,S71*96%,IF(T71=97%,S71*97%,IF(T71=98%,S71*98%,IF(T71=99%,S71*99%,IF(T71=100%,S71,0))))))))</f>
        <v>0</v>
      </c>
      <c r="W71" s="5" t="str">
        <f t="shared" ref="W71:W134" si="29">IF(I71&gt;=70%,"SI","NO")</f>
        <v>SI</v>
      </c>
      <c r="X71" s="5">
        <f t="shared" ref="X71:X134" si="30">+IF(W71="SI",N71+R71+V71,0)</f>
        <v>47500</v>
      </c>
      <c r="Y71" s="1"/>
    </row>
    <row r="72" spans="2:25" hidden="1" x14ac:dyDescent="0.25">
      <c r="B72" s="1" t="s">
        <v>235</v>
      </c>
      <c r="C72" s="1" t="s">
        <v>77</v>
      </c>
      <c r="D72" s="1" t="s">
        <v>243</v>
      </c>
      <c r="E72" s="1" t="s">
        <v>340</v>
      </c>
      <c r="F72" s="2">
        <f t="shared" si="20"/>
        <v>250000</v>
      </c>
      <c r="G72" s="4">
        <f>+VLOOKUP(C72,Indicadores!B:C,2,FALSE)</f>
        <v>0.76715454545454553</v>
      </c>
      <c r="H72" s="1" t="str">
        <f t="shared" si="21"/>
        <v>Cumple</v>
      </c>
      <c r="I72" s="4">
        <f>+VLOOKUP(C72,Indicadores!B:F,5,FALSE)</f>
        <v>0.88888888888888884</v>
      </c>
      <c r="J72" s="1" t="str">
        <f t="shared" si="22"/>
        <v>Cumple</v>
      </c>
      <c r="K72" s="9">
        <f t="shared" si="17"/>
        <v>150000</v>
      </c>
      <c r="L72" s="4">
        <f>+VLOOKUP(C72,Indicadores!B:P,15,FALSE)</f>
        <v>0.44443333333333329</v>
      </c>
      <c r="M72" s="1" t="str">
        <f t="shared" si="23"/>
        <v>No Cumple</v>
      </c>
      <c r="N72" s="5">
        <f t="shared" si="24"/>
        <v>0</v>
      </c>
      <c r="O72" s="5">
        <f t="shared" si="18"/>
        <v>50000</v>
      </c>
      <c r="P72" s="4">
        <v>0.95</v>
      </c>
      <c r="Q72" s="5" t="str">
        <f t="shared" si="25"/>
        <v>Cumple</v>
      </c>
      <c r="R72" s="5">
        <f t="shared" si="26"/>
        <v>47500</v>
      </c>
      <c r="S72" s="5">
        <f t="shared" si="19"/>
        <v>50000</v>
      </c>
      <c r="T72" s="4">
        <f>+VLOOKUP(C72,Indicadores!B:V,21,FALSE)</f>
        <v>1</v>
      </c>
      <c r="U72" s="35" t="str">
        <f t="shared" si="27"/>
        <v>Cumple</v>
      </c>
      <c r="V72" s="2">
        <f t="shared" si="28"/>
        <v>50000</v>
      </c>
      <c r="W72" s="5" t="str">
        <f t="shared" si="29"/>
        <v>SI</v>
      </c>
      <c r="X72" s="5">
        <f t="shared" si="30"/>
        <v>97500</v>
      </c>
      <c r="Y72" s="1"/>
    </row>
    <row r="73" spans="2:25" hidden="1" x14ac:dyDescent="0.25">
      <c r="B73" s="1" t="s">
        <v>236</v>
      </c>
      <c r="C73" s="1" t="s">
        <v>78</v>
      </c>
      <c r="D73" s="1" t="s">
        <v>243</v>
      </c>
      <c r="E73" s="1" t="s">
        <v>340</v>
      </c>
      <c r="F73" s="2">
        <f t="shared" si="20"/>
        <v>250000</v>
      </c>
      <c r="G73" s="4">
        <f>+VLOOKUP(C73,Indicadores!B:C,2,FALSE)</f>
        <v>0.85227272727272729</v>
      </c>
      <c r="H73" s="1" t="str">
        <f t="shared" si="21"/>
        <v>Cumple</v>
      </c>
      <c r="I73" s="4">
        <f>+VLOOKUP(C73,Indicadores!B:F,5,FALSE)</f>
        <v>1</v>
      </c>
      <c r="J73" s="1" t="str">
        <f t="shared" si="22"/>
        <v>Cumple</v>
      </c>
      <c r="K73" s="9">
        <f t="shared" si="17"/>
        <v>150000</v>
      </c>
      <c r="L73" s="4">
        <f>+VLOOKUP(C73,Indicadores!B:P,15,FALSE)</f>
        <v>0.50556666666666672</v>
      </c>
      <c r="M73" s="1" t="str">
        <f t="shared" si="23"/>
        <v>No Cumple</v>
      </c>
      <c r="N73" s="5">
        <f t="shared" si="24"/>
        <v>0</v>
      </c>
      <c r="O73" s="5">
        <f t="shared" si="18"/>
        <v>50000</v>
      </c>
      <c r="P73" s="4">
        <v>0.95</v>
      </c>
      <c r="Q73" s="5" t="str">
        <f t="shared" si="25"/>
        <v>Cumple</v>
      </c>
      <c r="R73" s="5">
        <f t="shared" si="26"/>
        <v>47500</v>
      </c>
      <c r="S73" s="5">
        <f t="shared" si="19"/>
        <v>50000</v>
      </c>
      <c r="T73" s="4">
        <f>+VLOOKUP(C73,Indicadores!B:V,21,FALSE)</f>
        <v>0.5</v>
      </c>
      <c r="U73" s="35" t="str">
        <f t="shared" si="27"/>
        <v>No Cumple</v>
      </c>
      <c r="V73" s="2">
        <f t="shared" si="28"/>
        <v>0</v>
      </c>
      <c r="W73" s="5" t="str">
        <f t="shared" si="29"/>
        <v>SI</v>
      </c>
      <c r="X73" s="5">
        <f t="shared" si="30"/>
        <v>47500</v>
      </c>
      <c r="Y73" s="1"/>
    </row>
    <row r="74" spans="2:25" hidden="1" x14ac:dyDescent="0.25">
      <c r="B74" s="1" t="s">
        <v>236</v>
      </c>
      <c r="C74" s="1" t="s">
        <v>79</v>
      </c>
      <c r="D74" s="1" t="s">
        <v>243</v>
      </c>
      <c r="E74" s="1" t="s">
        <v>340</v>
      </c>
      <c r="F74" s="2">
        <f t="shared" si="20"/>
        <v>250000</v>
      </c>
      <c r="G74" s="4">
        <f>+VLOOKUP(C74,Indicadores!B:C,2,FALSE)</f>
        <v>0.87129090909090923</v>
      </c>
      <c r="H74" s="1" t="str">
        <f t="shared" si="21"/>
        <v>Cumple</v>
      </c>
      <c r="I74" s="4">
        <f>+VLOOKUP(C74,Indicadores!B:F,5,FALSE)</f>
        <v>0.96296296296296291</v>
      </c>
      <c r="J74" s="1" t="str">
        <f t="shared" si="22"/>
        <v>Cumple</v>
      </c>
      <c r="K74" s="9">
        <f t="shared" si="17"/>
        <v>150000</v>
      </c>
      <c r="L74" s="4">
        <f>+VLOOKUP(C74,Indicadores!B:P,15,FALSE)</f>
        <v>0.58183333333333331</v>
      </c>
      <c r="M74" s="1" t="str">
        <f t="shared" si="23"/>
        <v>No Cumple</v>
      </c>
      <c r="N74" s="5">
        <f t="shared" si="24"/>
        <v>0</v>
      </c>
      <c r="O74" s="5">
        <f t="shared" si="18"/>
        <v>50000</v>
      </c>
      <c r="P74" s="4">
        <v>0.95</v>
      </c>
      <c r="Q74" s="5" t="str">
        <f t="shared" si="25"/>
        <v>Cumple</v>
      </c>
      <c r="R74" s="5">
        <f t="shared" si="26"/>
        <v>47500</v>
      </c>
      <c r="S74" s="5">
        <f t="shared" si="19"/>
        <v>50000</v>
      </c>
      <c r="T74" s="4">
        <f>+VLOOKUP(C74,Indicadores!B:V,21,FALSE)</f>
        <v>0.5</v>
      </c>
      <c r="U74" s="35" t="str">
        <f t="shared" si="27"/>
        <v>No Cumple</v>
      </c>
      <c r="V74" s="2">
        <f t="shared" si="28"/>
        <v>0</v>
      </c>
      <c r="W74" s="5" t="str">
        <f t="shared" si="29"/>
        <v>SI</v>
      </c>
      <c r="X74" s="5">
        <f t="shared" si="30"/>
        <v>47500</v>
      </c>
      <c r="Y74" s="1"/>
    </row>
    <row r="75" spans="2:25" hidden="1" x14ac:dyDescent="0.25">
      <c r="B75" s="1" t="s">
        <v>236</v>
      </c>
      <c r="C75" s="1" t="s">
        <v>80</v>
      </c>
      <c r="D75" s="1" t="s">
        <v>243</v>
      </c>
      <c r="E75" s="1" t="s">
        <v>340</v>
      </c>
      <c r="F75" s="2">
        <f t="shared" si="20"/>
        <v>250000</v>
      </c>
      <c r="G75" s="4">
        <f>+VLOOKUP(C75,Indicadores!B:C,2,FALSE)</f>
        <v>0.77189090909090907</v>
      </c>
      <c r="H75" s="1" t="str">
        <f t="shared" si="21"/>
        <v>Cumple</v>
      </c>
      <c r="I75" s="4">
        <f>+VLOOKUP(C75,Indicadores!B:F,5,FALSE)</f>
        <v>0.96</v>
      </c>
      <c r="J75" s="1" t="str">
        <f t="shared" si="22"/>
        <v>Cumple</v>
      </c>
      <c r="K75" s="9">
        <f t="shared" si="17"/>
        <v>150000</v>
      </c>
      <c r="L75" s="4">
        <f>+VLOOKUP(C75,Indicadores!B:P,15,FALSE)</f>
        <v>0.44980000000000003</v>
      </c>
      <c r="M75" s="1" t="str">
        <f t="shared" si="23"/>
        <v>No Cumple</v>
      </c>
      <c r="N75" s="5">
        <f t="shared" si="24"/>
        <v>0</v>
      </c>
      <c r="O75" s="5">
        <f t="shared" si="18"/>
        <v>50000</v>
      </c>
      <c r="P75" s="4">
        <v>0.95</v>
      </c>
      <c r="Q75" s="5" t="str">
        <f t="shared" si="25"/>
        <v>Cumple</v>
      </c>
      <c r="R75" s="5">
        <f t="shared" si="26"/>
        <v>47500</v>
      </c>
      <c r="S75" s="5">
        <f t="shared" si="19"/>
        <v>50000</v>
      </c>
      <c r="T75" s="4">
        <f>+VLOOKUP(C75,Indicadores!B:V,21,FALSE)</f>
        <v>0.5</v>
      </c>
      <c r="U75" s="35" t="str">
        <f t="shared" si="27"/>
        <v>No Cumple</v>
      </c>
      <c r="V75" s="2">
        <f t="shared" si="28"/>
        <v>0</v>
      </c>
      <c r="W75" s="5" t="str">
        <f t="shared" si="29"/>
        <v>SI</v>
      </c>
      <c r="X75" s="5">
        <f t="shared" si="30"/>
        <v>47500</v>
      </c>
      <c r="Y75" s="1"/>
    </row>
    <row r="76" spans="2:25" hidden="1" x14ac:dyDescent="0.25">
      <c r="B76" s="1" t="s">
        <v>236</v>
      </c>
      <c r="C76" s="1" t="s">
        <v>81</v>
      </c>
      <c r="D76" s="1" t="s">
        <v>243</v>
      </c>
      <c r="E76" s="1" t="s">
        <v>340</v>
      </c>
      <c r="F76" s="2">
        <f t="shared" si="20"/>
        <v>250000</v>
      </c>
      <c r="G76" s="4">
        <f>+VLOOKUP(C76,Indicadores!B:C,2,FALSE)</f>
        <v>0.79692727272727271</v>
      </c>
      <c r="H76" s="1" t="str">
        <f t="shared" si="21"/>
        <v>Cumple</v>
      </c>
      <c r="I76" s="4">
        <f>+VLOOKUP(C76,Indicadores!B:F,5,FALSE)</f>
        <v>1</v>
      </c>
      <c r="J76" s="1" t="str">
        <f t="shared" si="22"/>
        <v>Cumple</v>
      </c>
      <c r="K76" s="9">
        <f t="shared" si="17"/>
        <v>150000</v>
      </c>
      <c r="L76" s="4">
        <f>+VLOOKUP(C76,Indicadores!B:P,15,FALSE)</f>
        <v>0.5949333333333332</v>
      </c>
      <c r="M76" s="1" t="str">
        <f t="shared" si="23"/>
        <v>No Cumple</v>
      </c>
      <c r="N76" s="5">
        <f t="shared" si="24"/>
        <v>0</v>
      </c>
      <c r="O76" s="5">
        <f t="shared" si="18"/>
        <v>50000</v>
      </c>
      <c r="P76" s="4">
        <v>0.95</v>
      </c>
      <c r="Q76" s="5" t="str">
        <f t="shared" si="25"/>
        <v>Cumple</v>
      </c>
      <c r="R76" s="5">
        <f t="shared" si="26"/>
        <v>47500</v>
      </c>
      <c r="S76" s="5">
        <f t="shared" si="19"/>
        <v>50000</v>
      </c>
      <c r="T76" s="4">
        <f>+VLOOKUP(C76,Indicadores!B:V,21,FALSE)</f>
        <v>0.49469999999999997</v>
      </c>
      <c r="U76" s="35" t="str">
        <f t="shared" si="27"/>
        <v>No Cumple</v>
      </c>
      <c r="V76" s="2">
        <f t="shared" si="28"/>
        <v>0</v>
      </c>
      <c r="W76" s="5" t="str">
        <f t="shared" si="29"/>
        <v>SI</v>
      </c>
      <c r="X76" s="5">
        <f t="shared" si="30"/>
        <v>47500</v>
      </c>
      <c r="Y76" s="1"/>
    </row>
    <row r="77" spans="2:25" hidden="1" x14ac:dyDescent="0.25">
      <c r="B77" s="1" t="s">
        <v>236</v>
      </c>
      <c r="C77" s="1" t="s">
        <v>82</v>
      </c>
      <c r="D77" s="1" t="s">
        <v>243</v>
      </c>
      <c r="E77" s="1" t="s">
        <v>340</v>
      </c>
      <c r="F77" s="2">
        <f t="shared" si="20"/>
        <v>250000</v>
      </c>
      <c r="G77" s="4">
        <f>+VLOOKUP(C77,Indicadores!B:C,2,FALSE)</f>
        <v>0.76105454545454554</v>
      </c>
      <c r="H77" s="1" t="str">
        <f t="shared" si="21"/>
        <v>Cumple</v>
      </c>
      <c r="I77" s="4">
        <f>+VLOOKUP(C77,Indicadores!B:F,5,FALSE)</f>
        <v>1</v>
      </c>
      <c r="J77" s="1" t="str">
        <f t="shared" si="22"/>
        <v>Cumple</v>
      </c>
      <c r="K77" s="9">
        <f t="shared" si="17"/>
        <v>150000</v>
      </c>
      <c r="L77" s="4">
        <f>+VLOOKUP(C77,Indicadores!B:P,15,FALSE)</f>
        <v>0.51383333333333336</v>
      </c>
      <c r="M77" s="1" t="str">
        <f t="shared" si="23"/>
        <v>No Cumple</v>
      </c>
      <c r="N77" s="5">
        <f t="shared" si="24"/>
        <v>0</v>
      </c>
      <c r="O77" s="5">
        <f t="shared" si="18"/>
        <v>50000</v>
      </c>
      <c r="P77" s="4">
        <v>0.95</v>
      </c>
      <c r="Q77" s="5" t="str">
        <f t="shared" si="25"/>
        <v>Cumple</v>
      </c>
      <c r="R77" s="5">
        <f t="shared" si="26"/>
        <v>47500</v>
      </c>
      <c r="S77" s="5">
        <f t="shared" si="19"/>
        <v>50000</v>
      </c>
      <c r="T77" s="4">
        <f>+VLOOKUP(C77,Indicadores!B:V,21,FALSE)</f>
        <v>0.5</v>
      </c>
      <c r="U77" s="35" t="str">
        <f t="shared" si="27"/>
        <v>No Cumple</v>
      </c>
      <c r="V77" s="2">
        <f t="shared" si="28"/>
        <v>0</v>
      </c>
      <c r="W77" s="5" t="str">
        <f t="shared" si="29"/>
        <v>SI</v>
      </c>
      <c r="X77" s="5">
        <f t="shared" si="30"/>
        <v>47500</v>
      </c>
      <c r="Y77" s="1"/>
    </row>
    <row r="78" spans="2:25" hidden="1" x14ac:dyDescent="0.25">
      <c r="B78" s="1" t="s">
        <v>235</v>
      </c>
      <c r="C78" s="1" t="s">
        <v>83</v>
      </c>
      <c r="D78" s="1" t="s">
        <v>243</v>
      </c>
      <c r="E78" s="1" t="s">
        <v>340</v>
      </c>
      <c r="F78" s="2">
        <f t="shared" si="20"/>
        <v>250000</v>
      </c>
      <c r="G78" s="4">
        <f>+VLOOKUP(C78,Indicadores!B:C,2,FALSE)</f>
        <v>0.79361818181818211</v>
      </c>
      <c r="H78" s="1" t="str">
        <f t="shared" si="21"/>
        <v>Cumple</v>
      </c>
      <c r="I78" s="4">
        <f>+VLOOKUP(C78,Indicadores!B:F,5,FALSE)</f>
        <v>1</v>
      </c>
      <c r="J78" s="1" t="str">
        <f t="shared" si="22"/>
        <v>Cumple</v>
      </c>
      <c r="K78" s="9">
        <f t="shared" si="17"/>
        <v>150000</v>
      </c>
      <c r="L78" s="4">
        <f>+VLOOKUP(C78,Indicadores!B:P,15,FALSE)</f>
        <v>0.41783333333333333</v>
      </c>
      <c r="M78" s="1" t="str">
        <f t="shared" si="23"/>
        <v>No Cumple</v>
      </c>
      <c r="N78" s="5">
        <f t="shared" si="24"/>
        <v>0</v>
      </c>
      <c r="O78" s="5">
        <f t="shared" si="18"/>
        <v>50000</v>
      </c>
      <c r="P78" s="4">
        <v>0.95</v>
      </c>
      <c r="Q78" s="5" t="str">
        <f t="shared" si="25"/>
        <v>Cumple</v>
      </c>
      <c r="R78" s="5">
        <f t="shared" si="26"/>
        <v>47500</v>
      </c>
      <c r="S78" s="5">
        <f t="shared" si="19"/>
        <v>50000</v>
      </c>
      <c r="T78" s="4">
        <f>+VLOOKUP(C78,Indicadores!B:V,21,FALSE)</f>
        <v>0.99324999999999997</v>
      </c>
      <c r="U78" s="35" t="str">
        <f t="shared" si="27"/>
        <v>No Cumple</v>
      </c>
      <c r="V78" s="2">
        <f t="shared" si="28"/>
        <v>0</v>
      </c>
      <c r="W78" s="5" t="str">
        <f t="shared" si="29"/>
        <v>SI</v>
      </c>
      <c r="X78" s="5">
        <f t="shared" si="30"/>
        <v>47500</v>
      </c>
      <c r="Y78" s="1"/>
    </row>
    <row r="79" spans="2:25" x14ac:dyDescent="0.25">
      <c r="B79" s="1" t="s">
        <v>237</v>
      </c>
      <c r="C79" s="1" t="s">
        <v>84</v>
      </c>
      <c r="D79" s="1" t="s">
        <v>242</v>
      </c>
      <c r="E79" s="1" t="s">
        <v>341</v>
      </c>
      <c r="F79" s="2">
        <f t="shared" si="20"/>
        <v>250000</v>
      </c>
      <c r="G79" s="4">
        <f>+VLOOKUP(C79,Indicadores!B:C,2,FALSE)</f>
        <v>0.82598181818181826</v>
      </c>
      <c r="H79" s="1" t="str">
        <f t="shared" si="21"/>
        <v>Cumple</v>
      </c>
      <c r="I79" s="4">
        <f>+VLOOKUP(C79,Indicadores!B:F,5,FALSE)</f>
        <v>0.875</v>
      </c>
      <c r="J79" s="1" t="str">
        <f t="shared" si="22"/>
        <v>Cumple</v>
      </c>
      <c r="K79" s="9">
        <f t="shared" si="17"/>
        <v>150000</v>
      </c>
      <c r="L79" s="4">
        <f>+VLOOKUP(C79,Indicadores!B:P,15,FALSE)</f>
        <v>0.63683333333333336</v>
      </c>
      <c r="M79" s="1" t="str">
        <f t="shared" si="23"/>
        <v>No Cumple</v>
      </c>
      <c r="N79" s="5">
        <f t="shared" si="24"/>
        <v>0</v>
      </c>
      <c r="O79" s="5">
        <f t="shared" si="18"/>
        <v>50000</v>
      </c>
      <c r="P79" s="4">
        <v>0.95</v>
      </c>
      <c r="Q79" s="5" t="str">
        <f t="shared" si="25"/>
        <v>Cumple</v>
      </c>
      <c r="R79" s="5">
        <f t="shared" si="26"/>
        <v>47500</v>
      </c>
      <c r="S79" s="5">
        <f t="shared" si="19"/>
        <v>50000</v>
      </c>
      <c r="T79" s="4">
        <f>+VLOOKUP(C79,Indicadores!B:V,21,FALSE)</f>
        <v>1</v>
      </c>
      <c r="U79" s="35" t="str">
        <f t="shared" si="27"/>
        <v>Cumple</v>
      </c>
      <c r="V79" s="2">
        <f t="shared" si="28"/>
        <v>50000</v>
      </c>
      <c r="W79" s="5" t="str">
        <f t="shared" si="29"/>
        <v>SI</v>
      </c>
      <c r="X79" s="5">
        <f t="shared" si="30"/>
        <v>97500</v>
      </c>
      <c r="Y79" s="1"/>
    </row>
    <row r="80" spans="2:25" hidden="1" x14ac:dyDescent="0.25">
      <c r="B80" s="1" t="s">
        <v>237</v>
      </c>
      <c r="C80" s="1" t="s">
        <v>85</v>
      </c>
      <c r="D80" s="1" t="s">
        <v>242</v>
      </c>
      <c r="E80" s="1" t="s">
        <v>341</v>
      </c>
      <c r="F80" s="2">
        <f t="shared" si="20"/>
        <v>250000</v>
      </c>
      <c r="G80" s="4">
        <f>+VLOOKUP(C80,Indicadores!B:C,2,FALSE)</f>
        <v>0.76119999999999988</v>
      </c>
      <c r="H80" s="1" t="str">
        <f t="shared" si="21"/>
        <v>Cumple</v>
      </c>
      <c r="I80" s="4">
        <f>+VLOOKUP(C80,Indicadores!B:F,5,FALSE)</f>
        <v>0.77777777777777779</v>
      </c>
      <c r="J80" s="1" t="str">
        <f t="shared" si="22"/>
        <v>Cumple</v>
      </c>
      <c r="K80" s="9">
        <f t="shared" si="17"/>
        <v>150000</v>
      </c>
      <c r="L80" s="4">
        <f>+VLOOKUP(C80,Indicadores!B:P,15,FALSE)</f>
        <v>0.36109999999999998</v>
      </c>
      <c r="M80" s="1" t="str">
        <f t="shared" si="23"/>
        <v>No Cumple</v>
      </c>
      <c r="N80" s="5">
        <f t="shared" si="24"/>
        <v>0</v>
      </c>
      <c r="O80" s="5">
        <f t="shared" si="18"/>
        <v>50000</v>
      </c>
      <c r="P80" s="4">
        <v>0.95</v>
      </c>
      <c r="Q80" s="5" t="str">
        <f t="shared" si="25"/>
        <v>Cumple</v>
      </c>
      <c r="R80" s="5">
        <f t="shared" si="26"/>
        <v>47500</v>
      </c>
      <c r="S80" s="5">
        <f t="shared" si="19"/>
        <v>50000</v>
      </c>
      <c r="T80" s="4">
        <f>+VLOOKUP(C80,Indicadores!B:V,21,FALSE)</f>
        <v>0.99255000000000004</v>
      </c>
      <c r="U80" s="35" t="str">
        <f t="shared" si="27"/>
        <v>No Cumple</v>
      </c>
      <c r="V80" s="2">
        <f t="shared" si="28"/>
        <v>0</v>
      </c>
      <c r="W80" s="5" t="str">
        <f t="shared" si="29"/>
        <v>SI</v>
      </c>
      <c r="X80" s="5">
        <f t="shared" si="30"/>
        <v>47500</v>
      </c>
      <c r="Y80" s="1"/>
    </row>
    <row r="81" spans="2:25" x14ac:dyDescent="0.25">
      <c r="B81" s="1" t="s">
        <v>237</v>
      </c>
      <c r="C81" s="1" t="s">
        <v>86</v>
      </c>
      <c r="D81" s="1" t="s">
        <v>242</v>
      </c>
      <c r="E81" s="1" t="s">
        <v>341</v>
      </c>
      <c r="F81" s="2">
        <f t="shared" si="20"/>
        <v>250000</v>
      </c>
      <c r="G81" s="4">
        <f>+VLOOKUP(C81,Indicadores!B:C,2,FALSE)</f>
        <v>0.82840000000000014</v>
      </c>
      <c r="H81" s="1" t="str">
        <f t="shared" si="21"/>
        <v>Cumple</v>
      </c>
      <c r="I81" s="4">
        <f>+VLOOKUP(C81,Indicadores!B:F,5,FALSE)</f>
        <v>1</v>
      </c>
      <c r="J81" s="1" t="str">
        <f t="shared" si="22"/>
        <v>Cumple</v>
      </c>
      <c r="K81" s="9">
        <f t="shared" si="17"/>
        <v>150000</v>
      </c>
      <c r="L81" s="4">
        <f>+VLOOKUP(C81,Indicadores!B:P,15,FALSE)</f>
        <v>0.76429999999999998</v>
      </c>
      <c r="M81" s="1" t="str">
        <f t="shared" si="23"/>
        <v>No Cumple</v>
      </c>
      <c r="N81" s="5">
        <f t="shared" si="24"/>
        <v>0</v>
      </c>
      <c r="O81" s="5">
        <f t="shared" si="18"/>
        <v>50000</v>
      </c>
      <c r="P81" s="4">
        <v>0.95</v>
      </c>
      <c r="Q81" s="5" t="str">
        <f t="shared" si="25"/>
        <v>Cumple</v>
      </c>
      <c r="R81" s="5">
        <f t="shared" si="26"/>
        <v>47500</v>
      </c>
      <c r="S81" s="5">
        <f t="shared" si="19"/>
        <v>50000</v>
      </c>
      <c r="T81" s="4">
        <f>+VLOOKUP(C81,Indicadores!B:V,21,FALSE)</f>
        <v>1</v>
      </c>
      <c r="U81" s="35" t="str">
        <f t="shared" si="27"/>
        <v>Cumple</v>
      </c>
      <c r="V81" s="2">
        <f t="shared" si="28"/>
        <v>50000</v>
      </c>
      <c r="W81" s="5" t="str">
        <f t="shared" si="29"/>
        <v>SI</v>
      </c>
      <c r="X81" s="5">
        <f t="shared" si="30"/>
        <v>97500</v>
      </c>
      <c r="Y81" s="1"/>
    </row>
    <row r="82" spans="2:25" hidden="1" x14ac:dyDescent="0.25">
      <c r="B82" s="1" t="s">
        <v>237</v>
      </c>
      <c r="C82" s="1" t="s">
        <v>87</v>
      </c>
      <c r="D82" s="1" t="s">
        <v>242</v>
      </c>
      <c r="E82" s="1" t="s">
        <v>341</v>
      </c>
      <c r="F82" s="2">
        <f t="shared" si="20"/>
        <v>250000</v>
      </c>
      <c r="G82" s="4">
        <f>+VLOOKUP(C82,Indicadores!B:C,2,FALSE)</f>
        <v>0.74914545454545456</v>
      </c>
      <c r="H82" s="1" t="str">
        <f t="shared" si="21"/>
        <v>Cumple</v>
      </c>
      <c r="I82" s="4">
        <f>+VLOOKUP(C82,Indicadores!B:F,5,FALSE)</f>
        <v>0.91666666666666663</v>
      </c>
      <c r="J82" s="1" t="str">
        <f t="shared" si="22"/>
        <v>Cumple</v>
      </c>
      <c r="K82" s="9">
        <f t="shared" si="17"/>
        <v>150000</v>
      </c>
      <c r="L82" s="4">
        <f>+VLOOKUP(C82,Indicadores!B:P,15,FALSE)</f>
        <v>0.39433333333333337</v>
      </c>
      <c r="M82" s="1" t="str">
        <f t="shared" si="23"/>
        <v>No Cumple</v>
      </c>
      <c r="N82" s="5">
        <f t="shared" si="24"/>
        <v>0</v>
      </c>
      <c r="O82" s="5">
        <f t="shared" si="18"/>
        <v>50000</v>
      </c>
      <c r="P82" s="4">
        <v>0.95</v>
      </c>
      <c r="Q82" s="5" t="str">
        <f t="shared" si="25"/>
        <v>Cumple</v>
      </c>
      <c r="R82" s="5">
        <f t="shared" si="26"/>
        <v>47500</v>
      </c>
      <c r="S82" s="5">
        <f t="shared" si="19"/>
        <v>50000</v>
      </c>
      <c r="T82" s="4">
        <f>+VLOOKUP(C82,Indicadores!B:V,21,FALSE)</f>
        <v>0.96199999999999997</v>
      </c>
      <c r="U82" s="35" t="str">
        <f t="shared" si="27"/>
        <v>No Cumple</v>
      </c>
      <c r="V82" s="2">
        <f t="shared" si="28"/>
        <v>0</v>
      </c>
      <c r="W82" s="5" t="str">
        <f t="shared" si="29"/>
        <v>SI</v>
      </c>
      <c r="X82" s="5">
        <f t="shared" si="30"/>
        <v>47500</v>
      </c>
      <c r="Y82" s="1"/>
    </row>
    <row r="83" spans="2:25" hidden="1" x14ac:dyDescent="0.25">
      <c r="B83" s="1" t="s">
        <v>237</v>
      </c>
      <c r="C83" s="1" t="s">
        <v>88</v>
      </c>
      <c r="D83" s="1" t="s">
        <v>242</v>
      </c>
      <c r="E83" s="1" t="s">
        <v>341</v>
      </c>
      <c r="F83" s="2">
        <f t="shared" si="20"/>
        <v>250000</v>
      </c>
      <c r="G83" s="4">
        <f>+VLOOKUP(C83,Indicadores!B:C,2,FALSE)</f>
        <v>0.78275454545454548</v>
      </c>
      <c r="H83" s="1" t="str">
        <f t="shared" si="21"/>
        <v>Cumple</v>
      </c>
      <c r="I83" s="4">
        <f>+VLOOKUP(C83,Indicadores!B:F,5,FALSE)</f>
        <v>0.875</v>
      </c>
      <c r="J83" s="1" t="str">
        <f t="shared" si="22"/>
        <v>Cumple</v>
      </c>
      <c r="K83" s="9">
        <f t="shared" si="17"/>
        <v>150000</v>
      </c>
      <c r="L83" s="4">
        <f>+VLOOKUP(C83,Indicadores!B:P,15,FALSE)</f>
        <v>0.40563333333333335</v>
      </c>
      <c r="M83" s="1" t="str">
        <f t="shared" si="23"/>
        <v>No Cumple</v>
      </c>
      <c r="N83" s="5">
        <f t="shared" si="24"/>
        <v>0</v>
      </c>
      <c r="O83" s="5">
        <f t="shared" si="18"/>
        <v>50000</v>
      </c>
      <c r="P83" s="4">
        <v>0.95</v>
      </c>
      <c r="Q83" s="5" t="str">
        <f t="shared" si="25"/>
        <v>Cumple</v>
      </c>
      <c r="R83" s="5">
        <f t="shared" si="26"/>
        <v>47500</v>
      </c>
      <c r="S83" s="5">
        <f t="shared" si="19"/>
        <v>50000</v>
      </c>
      <c r="T83" s="4">
        <f>+VLOOKUP(C83,Indicadores!B:V,21,FALSE)</f>
        <v>1</v>
      </c>
      <c r="U83" s="35" t="str">
        <f t="shared" si="27"/>
        <v>Cumple</v>
      </c>
      <c r="V83" s="2">
        <f t="shared" si="28"/>
        <v>50000</v>
      </c>
      <c r="W83" s="5" t="str">
        <f t="shared" si="29"/>
        <v>SI</v>
      </c>
      <c r="X83" s="5">
        <f t="shared" si="30"/>
        <v>97500</v>
      </c>
      <c r="Y83" s="1"/>
    </row>
    <row r="84" spans="2:25" hidden="1" x14ac:dyDescent="0.25">
      <c r="B84" s="1" t="s">
        <v>237</v>
      </c>
      <c r="C84" s="1" t="s">
        <v>89</v>
      </c>
      <c r="D84" s="1" t="s">
        <v>242</v>
      </c>
      <c r="E84" s="1" t="s">
        <v>341</v>
      </c>
      <c r="F84" s="2">
        <f t="shared" si="20"/>
        <v>250000</v>
      </c>
      <c r="G84" s="4">
        <f>+VLOOKUP(C84,Indicadores!B:C,2,FALSE)</f>
        <v>0.72260000000000002</v>
      </c>
      <c r="H84" s="1" t="str">
        <f t="shared" si="21"/>
        <v>Cumple</v>
      </c>
      <c r="I84" s="4">
        <f>+VLOOKUP(C84,Indicadores!B:F,5,FALSE)</f>
        <v>0.8</v>
      </c>
      <c r="J84" s="1" t="str">
        <f t="shared" si="22"/>
        <v>Cumple</v>
      </c>
      <c r="K84" s="9">
        <f t="shared" si="17"/>
        <v>150000</v>
      </c>
      <c r="L84" s="4">
        <f>+VLOOKUP(C84,Indicadores!B:P,15,FALSE)</f>
        <v>0.3276</v>
      </c>
      <c r="M84" s="1" t="str">
        <f t="shared" si="23"/>
        <v>No Cumple</v>
      </c>
      <c r="N84" s="5">
        <f t="shared" si="24"/>
        <v>0</v>
      </c>
      <c r="O84" s="5">
        <f t="shared" si="18"/>
        <v>50000</v>
      </c>
      <c r="P84" s="4">
        <v>0.95</v>
      </c>
      <c r="Q84" s="5" t="str">
        <f t="shared" si="25"/>
        <v>Cumple</v>
      </c>
      <c r="R84" s="5">
        <f t="shared" si="26"/>
        <v>47500</v>
      </c>
      <c r="S84" s="5">
        <f t="shared" si="19"/>
        <v>50000</v>
      </c>
      <c r="T84" s="4">
        <f>+VLOOKUP(C84,Indicadores!B:V,21,FALSE)</f>
        <v>0.98280000000000001</v>
      </c>
      <c r="U84" s="35" t="str">
        <f t="shared" si="27"/>
        <v>No Cumple</v>
      </c>
      <c r="V84" s="2">
        <f t="shared" si="28"/>
        <v>0</v>
      </c>
      <c r="W84" s="5" t="str">
        <f t="shared" si="29"/>
        <v>SI</v>
      </c>
      <c r="X84" s="5">
        <f t="shared" si="30"/>
        <v>47500</v>
      </c>
      <c r="Y84" s="1"/>
    </row>
    <row r="85" spans="2:25" hidden="1" x14ac:dyDescent="0.25">
      <c r="B85" s="1" t="s">
        <v>237</v>
      </c>
      <c r="C85" s="1" t="s">
        <v>90</v>
      </c>
      <c r="D85" s="1" t="s">
        <v>242</v>
      </c>
      <c r="E85" s="1" t="s">
        <v>341</v>
      </c>
      <c r="F85" s="2">
        <f t="shared" si="20"/>
        <v>250000</v>
      </c>
      <c r="G85" s="4">
        <f>+VLOOKUP(C85,Indicadores!B:C,2,FALSE)</f>
        <v>0.74503636363636361</v>
      </c>
      <c r="H85" s="1" t="str">
        <f t="shared" si="21"/>
        <v>Cumple</v>
      </c>
      <c r="I85" s="4">
        <f>+VLOOKUP(C85,Indicadores!B:F,5,FALSE)</f>
        <v>0.94117647058823528</v>
      </c>
      <c r="J85" s="1" t="str">
        <f t="shared" si="22"/>
        <v>Cumple</v>
      </c>
      <c r="K85" s="9">
        <f t="shared" si="17"/>
        <v>150000</v>
      </c>
      <c r="L85" s="4">
        <f>+VLOOKUP(C85,Indicadores!B:P,15,FALSE)</f>
        <v>0.33333333333333331</v>
      </c>
      <c r="M85" s="1" t="str">
        <f t="shared" si="23"/>
        <v>No Cumple</v>
      </c>
      <c r="N85" s="5">
        <f t="shared" si="24"/>
        <v>0</v>
      </c>
      <c r="O85" s="5">
        <f t="shared" si="18"/>
        <v>50000</v>
      </c>
      <c r="P85" s="4">
        <v>0.95</v>
      </c>
      <c r="Q85" s="5" t="str">
        <f t="shared" si="25"/>
        <v>Cumple</v>
      </c>
      <c r="R85" s="5">
        <f t="shared" si="26"/>
        <v>47500</v>
      </c>
      <c r="S85" s="5">
        <f t="shared" si="19"/>
        <v>50000</v>
      </c>
      <c r="T85" s="4">
        <f>+VLOOKUP(C85,Indicadores!B:V,21,FALSE)</f>
        <v>1</v>
      </c>
      <c r="U85" s="35" t="str">
        <f t="shared" si="27"/>
        <v>Cumple</v>
      </c>
      <c r="V85" s="2">
        <f t="shared" si="28"/>
        <v>50000</v>
      </c>
      <c r="W85" s="5" t="str">
        <f t="shared" si="29"/>
        <v>SI</v>
      </c>
      <c r="X85" s="5">
        <f t="shared" si="30"/>
        <v>97500</v>
      </c>
      <c r="Y85" s="1"/>
    </row>
    <row r="86" spans="2:25" hidden="1" x14ac:dyDescent="0.25">
      <c r="B86" s="1" t="s">
        <v>237</v>
      </c>
      <c r="C86" s="1" t="s">
        <v>91</v>
      </c>
      <c r="D86" s="1" t="s">
        <v>242</v>
      </c>
      <c r="E86" s="1" t="s">
        <v>341</v>
      </c>
      <c r="F86" s="2">
        <f t="shared" si="20"/>
        <v>250000</v>
      </c>
      <c r="G86" s="4">
        <f>+VLOOKUP(C86,Indicadores!B:C,2,FALSE)</f>
        <v>0.79571818181818188</v>
      </c>
      <c r="H86" s="1" t="str">
        <f t="shared" si="21"/>
        <v>Cumple</v>
      </c>
      <c r="I86" s="4">
        <f>+VLOOKUP(C86,Indicadores!B:F,5,FALSE)</f>
        <v>0.94117647058823528</v>
      </c>
      <c r="J86" s="1" t="str">
        <f t="shared" si="22"/>
        <v>Cumple</v>
      </c>
      <c r="K86" s="9">
        <f t="shared" si="17"/>
        <v>150000</v>
      </c>
      <c r="L86" s="4">
        <f>+VLOOKUP(C86,Indicadores!B:P,15,FALSE)</f>
        <v>0.42996666666666666</v>
      </c>
      <c r="M86" s="1" t="str">
        <f t="shared" si="23"/>
        <v>No Cumple</v>
      </c>
      <c r="N86" s="5">
        <f t="shared" si="24"/>
        <v>0</v>
      </c>
      <c r="O86" s="5">
        <f t="shared" si="18"/>
        <v>50000</v>
      </c>
      <c r="P86" s="4">
        <v>0.95</v>
      </c>
      <c r="Q86" s="5" t="str">
        <f t="shared" si="25"/>
        <v>Cumple</v>
      </c>
      <c r="R86" s="5">
        <f t="shared" si="26"/>
        <v>47500</v>
      </c>
      <c r="S86" s="5">
        <f t="shared" si="19"/>
        <v>50000</v>
      </c>
      <c r="T86" s="4">
        <f>+VLOOKUP(C86,Indicadores!B:V,21,FALSE)</f>
        <v>1</v>
      </c>
      <c r="U86" s="35" t="str">
        <f t="shared" si="27"/>
        <v>Cumple</v>
      </c>
      <c r="V86" s="2">
        <f t="shared" si="28"/>
        <v>50000</v>
      </c>
      <c r="W86" s="5" t="str">
        <f t="shared" si="29"/>
        <v>SI</v>
      </c>
      <c r="X86" s="5">
        <f t="shared" si="30"/>
        <v>97500</v>
      </c>
      <c r="Y86" s="1"/>
    </row>
    <row r="87" spans="2:25" hidden="1" x14ac:dyDescent="0.25">
      <c r="B87" s="1" t="s">
        <v>237</v>
      </c>
      <c r="C87" s="1" t="s">
        <v>92</v>
      </c>
      <c r="D87" s="1" t="s">
        <v>242</v>
      </c>
      <c r="E87" s="1" t="s">
        <v>341</v>
      </c>
      <c r="F87" s="2">
        <f t="shared" si="20"/>
        <v>250000</v>
      </c>
      <c r="G87" s="4">
        <f>+VLOOKUP(C87,Indicadores!B:C,2,FALSE)</f>
        <v>0.82714545454545452</v>
      </c>
      <c r="H87" s="1" t="str">
        <f t="shared" si="21"/>
        <v>Cumple</v>
      </c>
      <c r="I87" s="4">
        <f>+VLOOKUP(C87,Indicadores!B:F,5,FALSE)</f>
        <v>0.84615384615384615</v>
      </c>
      <c r="J87" s="1" t="str">
        <f t="shared" si="22"/>
        <v>Cumple</v>
      </c>
      <c r="K87" s="9">
        <f t="shared" si="17"/>
        <v>150000</v>
      </c>
      <c r="L87" s="4">
        <f>+VLOOKUP(C87,Indicadores!B:P,15,FALSE)</f>
        <v>0.42756666666666665</v>
      </c>
      <c r="M87" s="1" t="str">
        <f t="shared" si="23"/>
        <v>No Cumple</v>
      </c>
      <c r="N87" s="5">
        <f t="shared" si="24"/>
        <v>0</v>
      </c>
      <c r="O87" s="5">
        <f t="shared" si="18"/>
        <v>50000</v>
      </c>
      <c r="P87" s="4">
        <v>0.95</v>
      </c>
      <c r="Q87" s="5" t="str">
        <f t="shared" si="25"/>
        <v>Cumple</v>
      </c>
      <c r="R87" s="5">
        <f t="shared" si="26"/>
        <v>47500</v>
      </c>
      <c r="S87" s="5">
        <f t="shared" si="19"/>
        <v>50000</v>
      </c>
      <c r="T87" s="4">
        <f>+VLOOKUP(C87,Indicadores!B:V,21,FALSE)</f>
        <v>1</v>
      </c>
      <c r="U87" s="35" t="str">
        <f t="shared" si="27"/>
        <v>Cumple</v>
      </c>
      <c r="V87" s="2">
        <f t="shared" si="28"/>
        <v>50000</v>
      </c>
      <c r="W87" s="5" t="str">
        <f t="shared" si="29"/>
        <v>SI</v>
      </c>
      <c r="X87" s="5">
        <f t="shared" si="30"/>
        <v>97500</v>
      </c>
      <c r="Y87" s="1"/>
    </row>
    <row r="88" spans="2:25" hidden="1" x14ac:dyDescent="0.25">
      <c r="B88" s="1" t="s">
        <v>237</v>
      </c>
      <c r="C88" s="1" t="s">
        <v>93</v>
      </c>
      <c r="D88" s="1" t="s">
        <v>242</v>
      </c>
      <c r="E88" s="1" t="s">
        <v>341</v>
      </c>
      <c r="F88" s="2">
        <f t="shared" si="20"/>
        <v>250000</v>
      </c>
      <c r="G88" s="4">
        <f>+VLOOKUP(C88,Indicadores!B:C,2,FALSE)</f>
        <v>0.86898181818181797</v>
      </c>
      <c r="H88" s="1" t="str">
        <f t="shared" si="21"/>
        <v>Cumple</v>
      </c>
      <c r="I88" s="4">
        <f>+VLOOKUP(C88,Indicadores!B:F,5,FALSE)</f>
        <v>1</v>
      </c>
      <c r="J88" s="1" t="str">
        <f t="shared" si="22"/>
        <v>Cumple</v>
      </c>
      <c r="K88" s="9">
        <f t="shared" si="17"/>
        <v>150000</v>
      </c>
      <c r="L88" s="4">
        <f>+VLOOKUP(C88,Indicadores!B:P,15,FALSE)</f>
        <v>0.85293333333333321</v>
      </c>
      <c r="M88" s="1" t="str">
        <f t="shared" si="23"/>
        <v>Cumple</v>
      </c>
      <c r="N88" s="5">
        <f t="shared" si="24"/>
        <v>120000</v>
      </c>
      <c r="O88" s="5">
        <f t="shared" si="18"/>
        <v>50000</v>
      </c>
      <c r="P88" s="4">
        <v>0.95</v>
      </c>
      <c r="Q88" s="5" t="str">
        <f t="shared" si="25"/>
        <v>Cumple</v>
      </c>
      <c r="R88" s="5">
        <f t="shared" si="26"/>
        <v>47500</v>
      </c>
      <c r="S88" s="5">
        <f t="shared" si="19"/>
        <v>50000</v>
      </c>
      <c r="T88" s="4">
        <f>+VLOOKUP(C88,Indicadores!B:V,21,FALSE)</f>
        <v>1</v>
      </c>
      <c r="U88" s="35" t="str">
        <f t="shared" si="27"/>
        <v>Cumple</v>
      </c>
      <c r="V88" s="2">
        <f t="shared" si="28"/>
        <v>50000</v>
      </c>
      <c r="W88" s="5" t="str">
        <f t="shared" si="29"/>
        <v>SI</v>
      </c>
      <c r="X88" s="5">
        <f t="shared" si="30"/>
        <v>217500</v>
      </c>
      <c r="Y88" s="1"/>
    </row>
    <row r="89" spans="2:25" hidden="1" x14ac:dyDescent="0.25">
      <c r="B89" s="1" t="s">
        <v>237</v>
      </c>
      <c r="C89" s="1" t="s">
        <v>94</v>
      </c>
      <c r="D89" s="1" t="s">
        <v>242</v>
      </c>
      <c r="E89" s="1" t="s">
        <v>341</v>
      </c>
      <c r="F89" s="2">
        <f t="shared" si="20"/>
        <v>250000</v>
      </c>
      <c r="G89" s="4">
        <f>+VLOOKUP(C89,Indicadores!B:C,2,FALSE)</f>
        <v>0.74595454545454554</v>
      </c>
      <c r="H89" s="1" t="str">
        <f t="shared" si="21"/>
        <v>Cumple</v>
      </c>
      <c r="I89" s="4">
        <f>+VLOOKUP(C89,Indicadores!B:F,5,FALSE)</f>
        <v>1</v>
      </c>
      <c r="J89" s="1" t="str">
        <f t="shared" si="22"/>
        <v>Cumple</v>
      </c>
      <c r="K89" s="9">
        <f t="shared" si="17"/>
        <v>150000</v>
      </c>
      <c r="L89" s="4">
        <f>+VLOOKUP(C89,Indicadores!B:P,15,FALSE)</f>
        <v>0.37683333333333335</v>
      </c>
      <c r="M89" s="1" t="str">
        <f t="shared" si="23"/>
        <v>No Cumple</v>
      </c>
      <c r="N89" s="5">
        <f t="shared" si="24"/>
        <v>0</v>
      </c>
      <c r="O89" s="5">
        <f t="shared" si="18"/>
        <v>50000</v>
      </c>
      <c r="P89" s="4">
        <v>0.95</v>
      </c>
      <c r="Q89" s="5" t="str">
        <f t="shared" si="25"/>
        <v>Cumple</v>
      </c>
      <c r="R89" s="5">
        <f t="shared" si="26"/>
        <v>47500</v>
      </c>
      <c r="S89" s="5">
        <f t="shared" si="19"/>
        <v>50000</v>
      </c>
      <c r="T89" s="4">
        <f>+VLOOKUP(C89,Indicadores!B:V,21,FALSE)</f>
        <v>1</v>
      </c>
      <c r="U89" s="35" t="str">
        <f t="shared" si="27"/>
        <v>Cumple</v>
      </c>
      <c r="V89" s="2">
        <f t="shared" si="28"/>
        <v>50000</v>
      </c>
      <c r="W89" s="5" t="str">
        <f t="shared" si="29"/>
        <v>SI</v>
      </c>
      <c r="X89" s="5">
        <f t="shared" si="30"/>
        <v>97500</v>
      </c>
      <c r="Y89" s="1"/>
    </row>
    <row r="90" spans="2:25" hidden="1" x14ac:dyDescent="0.25">
      <c r="B90" s="1" t="s">
        <v>237</v>
      </c>
      <c r="C90" s="1" t="s">
        <v>95</v>
      </c>
      <c r="D90" s="1" t="s">
        <v>242</v>
      </c>
      <c r="E90" s="1" t="s">
        <v>341</v>
      </c>
      <c r="F90" s="2">
        <f t="shared" si="20"/>
        <v>250000</v>
      </c>
      <c r="G90" s="4">
        <f>+VLOOKUP(C90,Indicadores!B:C,2,FALSE)</f>
        <v>0.67727272727272714</v>
      </c>
      <c r="H90" s="1" t="str">
        <f t="shared" si="21"/>
        <v>No Cumple</v>
      </c>
      <c r="I90" s="4">
        <f>+VLOOKUP(C90,Indicadores!B:F,5,FALSE)</f>
        <v>1</v>
      </c>
      <c r="J90" s="1" t="str">
        <f t="shared" si="22"/>
        <v>Cumple</v>
      </c>
      <c r="K90" s="9">
        <f t="shared" si="17"/>
        <v>150000</v>
      </c>
      <c r="L90" s="4">
        <f>+VLOOKUP(C90,Indicadores!B:P,15,FALSE)</f>
        <v>0.31109999999999999</v>
      </c>
      <c r="M90" s="1" t="str">
        <f t="shared" si="23"/>
        <v>No Cumple</v>
      </c>
      <c r="N90" s="5">
        <f t="shared" si="24"/>
        <v>0</v>
      </c>
      <c r="O90" s="5">
        <f t="shared" si="18"/>
        <v>50000</v>
      </c>
      <c r="P90" s="4">
        <v>0.95</v>
      </c>
      <c r="Q90" s="5" t="str">
        <f t="shared" si="25"/>
        <v>Cumple</v>
      </c>
      <c r="R90" s="5">
        <f t="shared" si="26"/>
        <v>47500</v>
      </c>
      <c r="S90" s="5">
        <f t="shared" si="19"/>
        <v>50000</v>
      </c>
      <c r="T90" s="4">
        <f>+VLOOKUP(C90,Indicadores!B:V,21,FALSE)</f>
        <v>0.97499999999999998</v>
      </c>
      <c r="U90" s="35" t="str">
        <f t="shared" si="27"/>
        <v>No Cumple</v>
      </c>
      <c r="V90" s="2">
        <f t="shared" si="28"/>
        <v>0</v>
      </c>
      <c r="W90" s="5" t="str">
        <f t="shared" si="29"/>
        <v>SI</v>
      </c>
      <c r="X90" s="5">
        <f t="shared" si="30"/>
        <v>47500</v>
      </c>
      <c r="Y90" s="1"/>
    </row>
    <row r="91" spans="2:25" hidden="1" x14ac:dyDescent="0.25">
      <c r="B91" s="1" t="s">
        <v>237</v>
      </c>
      <c r="C91" s="1" t="s">
        <v>96</v>
      </c>
      <c r="D91" s="1" t="s">
        <v>242</v>
      </c>
      <c r="E91" s="1" t="s">
        <v>341</v>
      </c>
      <c r="F91" s="2">
        <f t="shared" si="20"/>
        <v>250000</v>
      </c>
      <c r="G91" s="4">
        <f>+VLOOKUP(C91,Indicadores!B:C,2,FALSE)</f>
        <v>0.38425454545454546</v>
      </c>
      <c r="H91" s="1" t="str">
        <f t="shared" si="21"/>
        <v>No Cumple</v>
      </c>
      <c r="I91" s="4">
        <f>+VLOOKUP(C91,Indicadores!B:F,5,FALSE)</f>
        <v>0.88235294117647056</v>
      </c>
      <c r="J91" s="1" t="str">
        <f t="shared" si="22"/>
        <v>Cumple</v>
      </c>
      <c r="K91" s="9">
        <f t="shared" si="17"/>
        <v>150000</v>
      </c>
      <c r="L91" s="4">
        <f>+VLOOKUP(C91,Indicadores!B:P,15,FALSE)</f>
        <v>0.17169999999999999</v>
      </c>
      <c r="M91" s="1" t="str">
        <f t="shared" si="23"/>
        <v>No Cumple</v>
      </c>
      <c r="N91" s="5">
        <f t="shared" si="24"/>
        <v>0</v>
      </c>
      <c r="O91" s="5">
        <f t="shared" si="18"/>
        <v>50000</v>
      </c>
      <c r="P91" s="4">
        <v>0.95</v>
      </c>
      <c r="Q91" s="5" t="str">
        <f t="shared" si="25"/>
        <v>Cumple</v>
      </c>
      <c r="R91" s="5">
        <f t="shared" si="26"/>
        <v>47500</v>
      </c>
      <c r="S91" s="5">
        <f t="shared" si="19"/>
        <v>50000</v>
      </c>
      <c r="T91" s="4">
        <f>+VLOOKUP(C91,Indicadores!B:V,21,FALSE)</f>
        <v>0.94664999999999999</v>
      </c>
      <c r="U91" s="35" t="str">
        <f t="shared" si="27"/>
        <v>No Cumple</v>
      </c>
      <c r="V91" s="2">
        <f t="shared" si="28"/>
        <v>45000</v>
      </c>
      <c r="W91" s="5" t="str">
        <f t="shared" si="29"/>
        <v>SI</v>
      </c>
      <c r="X91" s="5">
        <f t="shared" si="30"/>
        <v>92500</v>
      </c>
      <c r="Y91" s="1"/>
    </row>
    <row r="92" spans="2:25" x14ac:dyDescent="0.25">
      <c r="B92" s="1" t="s">
        <v>237</v>
      </c>
      <c r="C92" s="1" t="s">
        <v>97</v>
      </c>
      <c r="D92" s="1" t="s">
        <v>242</v>
      </c>
      <c r="E92" s="1" t="s">
        <v>341</v>
      </c>
      <c r="F92" s="2">
        <f t="shared" si="20"/>
        <v>250000</v>
      </c>
      <c r="G92" s="4">
        <f>+VLOOKUP(C92,Indicadores!B:C,2,FALSE)</f>
        <v>0.82099999999999984</v>
      </c>
      <c r="H92" s="1" t="str">
        <f t="shared" si="21"/>
        <v>Cumple</v>
      </c>
      <c r="I92" s="4">
        <f>+VLOOKUP(C92,Indicadores!B:F,5,FALSE)</f>
        <v>1</v>
      </c>
      <c r="J92" s="1" t="str">
        <f t="shared" si="22"/>
        <v>Cumple</v>
      </c>
      <c r="K92" s="9">
        <f t="shared" si="17"/>
        <v>150000</v>
      </c>
      <c r="L92" s="4">
        <f>+VLOOKUP(C92,Indicadores!B:P,15,FALSE)</f>
        <v>0.68066666666666664</v>
      </c>
      <c r="M92" s="1" t="str">
        <f t="shared" si="23"/>
        <v>No Cumple</v>
      </c>
      <c r="N92" s="5">
        <f t="shared" si="24"/>
        <v>0</v>
      </c>
      <c r="O92" s="5">
        <f t="shared" si="18"/>
        <v>50000</v>
      </c>
      <c r="P92" s="4">
        <v>0.95</v>
      </c>
      <c r="Q92" s="5" t="str">
        <f t="shared" si="25"/>
        <v>Cumple</v>
      </c>
      <c r="R92" s="5">
        <f t="shared" si="26"/>
        <v>47500</v>
      </c>
      <c r="S92" s="5">
        <f t="shared" si="19"/>
        <v>50000</v>
      </c>
      <c r="T92" s="4">
        <f>+VLOOKUP(C92,Indicadores!B:V,21,FALSE)</f>
        <v>1</v>
      </c>
      <c r="U92" s="35" t="str">
        <f t="shared" si="27"/>
        <v>Cumple</v>
      </c>
      <c r="V92" s="2">
        <f t="shared" si="28"/>
        <v>50000</v>
      </c>
      <c r="W92" s="5" t="str">
        <f t="shared" si="29"/>
        <v>SI</v>
      </c>
      <c r="X92" s="5">
        <f t="shared" si="30"/>
        <v>97500</v>
      </c>
      <c r="Y92" s="1"/>
    </row>
    <row r="93" spans="2:25" hidden="1" x14ac:dyDescent="0.25">
      <c r="B93" s="1" t="s">
        <v>237</v>
      </c>
      <c r="C93" s="1" t="s">
        <v>98</v>
      </c>
      <c r="D93" s="1" t="s">
        <v>242</v>
      </c>
      <c r="E93" s="1" t="s">
        <v>341</v>
      </c>
      <c r="F93" s="2">
        <f t="shared" si="20"/>
        <v>250000</v>
      </c>
      <c r="G93" s="4">
        <f>+VLOOKUP(C93,Indicadores!B:C,2,FALSE)</f>
        <v>0.76918181818181819</v>
      </c>
      <c r="H93" s="1" t="str">
        <f t="shared" si="21"/>
        <v>Cumple</v>
      </c>
      <c r="I93" s="4">
        <f>+VLOOKUP(C93,Indicadores!B:F,5,FALSE)</f>
        <v>1</v>
      </c>
      <c r="J93" s="1" t="str">
        <f t="shared" si="22"/>
        <v>Cumple</v>
      </c>
      <c r="K93" s="9">
        <f t="shared" si="17"/>
        <v>150000</v>
      </c>
      <c r="L93" s="4">
        <f>+VLOOKUP(C93,Indicadores!B:P,15,FALSE)</f>
        <v>0.59393333333333331</v>
      </c>
      <c r="M93" s="1" t="str">
        <f t="shared" si="23"/>
        <v>No Cumple</v>
      </c>
      <c r="N93" s="5">
        <f t="shared" si="24"/>
        <v>0</v>
      </c>
      <c r="O93" s="5">
        <f t="shared" si="18"/>
        <v>50000</v>
      </c>
      <c r="P93" s="4">
        <v>0.95</v>
      </c>
      <c r="Q93" s="5" t="str">
        <f t="shared" si="25"/>
        <v>Cumple</v>
      </c>
      <c r="R93" s="5">
        <f t="shared" si="26"/>
        <v>47500</v>
      </c>
      <c r="S93" s="5">
        <f t="shared" si="19"/>
        <v>50000</v>
      </c>
      <c r="T93" s="4">
        <f>+VLOOKUP(C93,Indicadores!B:V,21,FALSE)</f>
        <v>1</v>
      </c>
      <c r="U93" s="35" t="str">
        <f t="shared" si="27"/>
        <v>Cumple</v>
      </c>
      <c r="V93" s="2">
        <f t="shared" si="28"/>
        <v>50000</v>
      </c>
      <c r="W93" s="5" t="str">
        <f t="shared" si="29"/>
        <v>SI</v>
      </c>
      <c r="X93" s="5">
        <f t="shared" si="30"/>
        <v>97500</v>
      </c>
      <c r="Y93" s="1"/>
    </row>
    <row r="94" spans="2:25" hidden="1" x14ac:dyDescent="0.25">
      <c r="B94" s="1" t="s">
        <v>237</v>
      </c>
      <c r="C94" s="1" t="s">
        <v>99</v>
      </c>
      <c r="D94" s="1" t="s">
        <v>242</v>
      </c>
      <c r="E94" s="1" t="s">
        <v>341</v>
      </c>
      <c r="F94" s="2">
        <f t="shared" si="20"/>
        <v>250000</v>
      </c>
      <c r="G94" s="4">
        <f>+VLOOKUP(C94,Indicadores!B:C,2,FALSE)</f>
        <v>0.79091818181818185</v>
      </c>
      <c r="H94" s="1" t="str">
        <f t="shared" si="21"/>
        <v>Cumple</v>
      </c>
      <c r="I94" s="4">
        <f>+VLOOKUP(C94,Indicadores!B:F,5,FALSE)</f>
        <v>0.9</v>
      </c>
      <c r="J94" s="1" t="str">
        <f t="shared" si="22"/>
        <v>Cumple</v>
      </c>
      <c r="K94" s="9">
        <f t="shared" si="17"/>
        <v>150000</v>
      </c>
      <c r="L94" s="4">
        <f>+VLOOKUP(C94,Indicadores!B:P,15,FALSE)</f>
        <v>0.33333333333333331</v>
      </c>
      <c r="M94" s="1" t="str">
        <f t="shared" si="23"/>
        <v>No Cumple</v>
      </c>
      <c r="N94" s="5">
        <f t="shared" si="24"/>
        <v>0</v>
      </c>
      <c r="O94" s="5">
        <f t="shared" si="18"/>
        <v>50000</v>
      </c>
      <c r="P94" s="4">
        <v>0.95</v>
      </c>
      <c r="Q94" s="5" t="str">
        <f t="shared" si="25"/>
        <v>Cumple</v>
      </c>
      <c r="R94" s="5">
        <f t="shared" si="26"/>
        <v>47500</v>
      </c>
      <c r="S94" s="5">
        <f t="shared" si="19"/>
        <v>50000</v>
      </c>
      <c r="T94" s="4">
        <f>+VLOOKUP(C94,Indicadores!B:V,21,FALSE)</f>
        <v>1</v>
      </c>
      <c r="U94" s="35" t="str">
        <f t="shared" si="27"/>
        <v>Cumple</v>
      </c>
      <c r="V94" s="2">
        <f t="shared" si="28"/>
        <v>50000</v>
      </c>
      <c r="W94" s="5" t="str">
        <f t="shared" si="29"/>
        <v>SI</v>
      </c>
      <c r="X94" s="5">
        <f t="shared" si="30"/>
        <v>97500</v>
      </c>
      <c r="Y94" s="1"/>
    </row>
    <row r="95" spans="2:25" hidden="1" x14ac:dyDescent="0.25">
      <c r="B95" s="1" t="s">
        <v>237</v>
      </c>
      <c r="C95" s="1" t="s">
        <v>100</v>
      </c>
      <c r="D95" s="1" t="s">
        <v>242</v>
      </c>
      <c r="E95" s="1" t="s">
        <v>341</v>
      </c>
      <c r="F95" s="2">
        <f t="shared" si="20"/>
        <v>250000</v>
      </c>
      <c r="G95" s="4">
        <f>+VLOOKUP(C95,Indicadores!B:C,2,FALSE)</f>
        <v>0.54912727272727269</v>
      </c>
      <c r="H95" s="1" t="str">
        <f t="shared" si="21"/>
        <v>No Cumple</v>
      </c>
      <c r="I95" s="4">
        <f>+VLOOKUP(C95,Indicadores!B:F,5,FALSE)</f>
        <v>1</v>
      </c>
      <c r="J95" s="1" t="str">
        <f t="shared" si="22"/>
        <v>Cumple</v>
      </c>
      <c r="K95" s="9">
        <f t="shared" si="17"/>
        <v>150000</v>
      </c>
      <c r="L95" s="4">
        <f>+VLOOKUP(C95,Indicadores!B:P,15,FALSE)</f>
        <v>0.32163333333333333</v>
      </c>
      <c r="M95" s="1" t="str">
        <f t="shared" si="23"/>
        <v>No Cumple</v>
      </c>
      <c r="N95" s="5">
        <f t="shared" si="24"/>
        <v>0</v>
      </c>
      <c r="O95" s="5">
        <f t="shared" si="18"/>
        <v>50000</v>
      </c>
      <c r="P95" s="4">
        <v>0.95</v>
      </c>
      <c r="Q95" s="5" t="str">
        <f t="shared" si="25"/>
        <v>Cumple</v>
      </c>
      <c r="R95" s="5">
        <f t="shared" si="26"/>
        <v>47500</v>
      </c>
      <c r="S95" s="5">
        <f t="shared" si="19"/>
        <v>50000</v>
      </c>
      <c r="T95" s="4">
        <f>+VLOOKUP(C95,Indicadores!B:V,21,FALSE)</f>
        <v>0.80200000000000005</v>
      </c>
      <c r="U95" s="35" t="str">
        <f t="shared" si="27"/>
        <v>No Cumple</v>
      </c>
      <c r="V95" s="2">
        <f t="shared" si="28"/>
        <v>0</v>
      </c>
      <c r="W95" s="5" t="str">
        <f t="shared" si="29"/>
        <v>SI</v>
      </c>
      <c r="X95" s="5">
        <f t="shared" si="30"/>
        <v>47500</v>
      </c>
      <c r="Y95" s="1"/>
    </row>
    <row r="96" spans="2:25" x14ac:dyDescent="0.25">
      <c r="B96" s="1" t="s">
        <v>238</v>
      </c>
      <c r="C96" s="1" t="s">
        <v>101</v>
      </c>
      <c r="D96" s="1" t="s">
        <v>243</v>
      </c>
      <c r="E96" s="1" t="s">
        <v>342</v>
      </c>
      <c r="F96" s="2">
        <f t="shared" si="20"/>
        <v>250000</v>
      </c>
      <c r="G96" s="4">
        <f>+VLOOKUP(C96,Indicadores!B:C,2,FALSE)</f>
        <v>0.79049090909090902</v>
      </c>
      <c r="H96" s="1" t="str">
        <f t="shared" si="21"/>
        <v>Cumple</v>
      </c>
      <c r="I96" s="4">
        <v>0.9</v>
      </c>
      <c r="J96" s="1" t="str">
        <f t="shared" si="22"/>
        <v>Cumple</v>
      </c>
      <c r="K96" s="9">
        <f t="shared" si="17"/>
        <v>150000</v>
      </c>
      <c r="L96" s="4">
        <f>+VLOOKUP(C96,Indicadores!B:P,15,FALSE)</f>
        <v>0.71229999999999993</v>
      </c>
      <c r="M96" s="1" t="str">
        <f t="shared" si="23"/>
        <v>No Cumple</v>
      </c>
      <c r="N96" s="5">
        <f t="shared" si="24"/>
        <v>0</v>
      </c>
      <c r="O96" s="5">
        <f t="shared" si="18"/>
        <v>50000</v>
      </c>
      <c r="P96" s="4">
        <v>0.95</v>
      </c>
      <c r="Q96" s="5" t="str">
        <f t="shared" si="25"/>
        <v>Cumple</v>
      </c>
      <c r="R96" s="5">
        <f t="shared" si="26"/>
        <v>47500</v>
      </c>
      <c r="S96" s="5">
        <f t="shared" si="19"/>
        <v>50000</v>
      </c>
      <c r="T96" s="4">
        <f>+VLOOKUP(C96,Indicadores!B:V,21,FALSE)</f>
        <v>0.5</v>
      </c>
      <c r="U96" s="35" t="str">
        <f t="shared" si="27"/>
        <v>No Cumple</v>
      </c>
      <c r="V96" s="2">
        <f t="shared" si="28"/>
        <v>0</v>
      </c>
      <c r="W96" s="5" t="str">
        <f t="shared" si="29"/>
        <v>SI</v>
      </c>
      <c r="X96" s="5">
        <f t="shared" si="30"/>
        <v>47500</v>
      </c>
      <c r="Y96" s="1"/>
    </row>
    <row r="97" spans="2:25" x14ac:dyDescent="0.25">
      <c r="B97" s="1" t="s">
        <v>238</v>
      </c>
      <c r="C97" s="1" t="s">
        <v>102</v>
      </c>
      <c r="D97" s="1" t="s">
        <v>243</v>
      </c>
      <c r="E97" s="1" t="s">
        <v>342</v>
      </c>
      <c r="F97" s="2">
        <f t="shared" si="20"/>
        <v>250000</v>
      </c>
      <c r="G97" s="4">
        <f>+VLOOKUP(C97,Indicadores!B:C,2,FALSE)</f>
        <v>0.80227272727272725</v>
      </c>
      <c r="H97" s="1" t="str">
        <f t="shared" si="21"/>
        <v>Cumple</v>
      </c>
      <c r="I97" s="4">
        <v>0.9</v>
      </c>
      <c r="J97" s="1" t="str">
        <f t="shared" si="22"/>
        <v>Cumple</v>
      </c>
      <c r="K97" s="9">
        <f t="shared" si="17"/>
        <v>150000</v>
      </c>
      <c r="L97" s="4">
        <f>+VLOOKUP(C97,Indicadores!B:P,15,FALSE)</f>
        <v>0.71583333333333332</v>
      </c>
      <c r="M97" s="1" t="str">
        <f t="shared" si="23"/>
        <v>No Cumple</v>
      </c>
      <c r="N97" s="5">
        <f t="shared" si="24"/>
        <v>0</v>
      </c>
      <c r="O97" s="5">
        <f t="shared" si="18"/>
        <v>50000</v>
      </c>
      <c r="P97" s="4">
        <v>0.95</v>
      </c>
      <c r="Q97" s="5" t="str">
        <f t="shared" si="25"/>
        <v>Cumple</v>
      </c>
      <c r="R97" s="5">
        <f t="shared" si="26"/>
        <v>47500</v>
      </c>
      <c r="S97" s="5">
        <f t="shared" si="19"/>
        <v>50000</v>
      </c>
      <c r="T97" s="4">
        <f>+VLOOKUP(C97,Indicadores!B:V,21,FALSE)</f>
        <v>0.5</v>
      </c>
      <c r="U97" s="35" t="str">
        <f t="shared" si="27"/>
        <v>No Cumple</v>
      </c>
      <c r="V97" s="2">
        <f t="shared" si="28"/>
        <v>0</v>
      </c>
      <c r="W97" s="5" t="str">
        <f t="shared" si="29"/>
        <v>SI</v>
      </c>
      <c r="X97" s="5">
        <f t="shared" si="30"/>
        <v>47500</v>
      </c>
      <c r="Y97" s="1"/>
    </row>
    <row r="98" spans="2:25" x14ac:dyDescent="0.25">
      <c r="B98" s="1" t="s">
        <v>238</v>
      </c>
      <c r="C98" s="1" t="s">
        <v>103</v>
      </c>
      <c r="D98" s="1" t="s">
        <v>243</v>
      </c>
      <c r="E98" s="1" t="s">
        <v>342</v>
      </c>
      <c r="F98" s="2">
        <f t="shared" si="20"/>
        <v>250000</v>
      </c>
      <c r="G98" s="4">
        <f>+VLOOKUP(C98,Indicadores!B:C,2,FALSE)</f>
        <v>0.77805454545454533</v>
      </c>
      <c r="H98" s="1" t="str">
        <f t="shared" si="21"/>
        <v>Cumple</v>
      </c>
      <c r="I98" s="4">
        <f>+VLOOKUP(C98,Indicadores!B:F,5,FALSE)</f>
        <v>0.94736842105263153</v>
      </c>
      <c r="J98" s="1" t="str">
        <f t="shared" si="22"/>
        <v>Cumple</v>
      </c>
      <c r="K98" s="9">
        <f t="shared" si="17"/>
        <v>150000</v>
      </c>
      <c r="L98" s="4">
        <f>+VLOOKUP(C98,Indicadores!B:P,15,FALSE)</f>
        <v>0.70289999999999997</v>
      </c>
      <c r="M98" s="1" t="str">
        <f t="shared" si="23"/>
        <v>No Cumple</v>
      </c>
      <c r="N98" s="5">
        <f t="shared" si="24"/>
        <v>0</v>
      </c>
      <c r="O98" s="5">
        <f t="shared" si="18"/>
        <v>50000</v>
      </c>
      <c r="P98" s="4">
        <v>0.95</v>
      </c>
      <c r="Q98" s="5" t="str">
        <f t="shared" si="25"/>
        <v>Cumple</v>
      </c>
      <c r="R98" s="5">
        <f t="shared" si="26"/>
        <v>47500</v>
      </c>
      <c r="S98" s="5">
        <f t="shared" si="19"/>
        <v>50000</v>
      </c>
      <c r="T98" s="4">
        <f>+VLOOKUP(C98,Indicadores!B:V,21,FALSE)</f>
        <v>0.5</v>
      </c>
      <c r="U98" s="35" t="str">
        <f t="shared" si="27"/>
        <v>No Cumple</v>
      </c>
      <c r="V98" s="2">
        <f t="shared" si="28"/>
        <v>0</v>
      </c>
      <c r="W98" s="5" t="str">
        <f t="shared" si="29"/>
        <v>SI</v>
      </c>
      <c r="X98" s="5">
        <f t="shared" si="30"/>
        <v>47500</v>
      </c>
      <c r="Y98" s="1"/>
    </row>
    <row r="99" spans="2:25" hidden="1" x14ac:dyDescent="0.25">
      <c r="B99" s="1" t="s">
        <v>238</v>
      </c>
      <c r="C99" s="1" t="s">
        <v>104</v>
      </c>
      <c r="D99" s="1" t="s">
        <v>243</v>
      </c>
      <c r="E99" s="1" t="s">
        <v>342</v>
      </c>
      <c r="F99" s="2">
        <f t="shared" si="20"/>
        <v>250000</v>
      </c>
      <c r="G99" s="4">
        <f>+VLOOKUP(C99,Indicadores!B:C,2,FALSE)</f>
        <v>0.53720909090909086</v>
      </c>
      <c r="H99" s="1" t="str">
        <f t="shared" si="21"/>
        <v>No Cumple</v>
      </c>
      <c r="I99" s="4">
        <f>+VLOOKUP(C99,Indicadores!B:F,5,FALSE)</f>
        <v>1</v>
      </c>
      <c r="J99" s="1" t="str">
        <f t="shared" si="22"/>
        <v>Cumple</v>
      </c>
      <c r="K99" s="9">
        <f t="shared" si="17"/>
        <v>150000</v>
      </c>
      <c r="L99" s="4">
        <f>+VLOOKUP(C99,Indicadores!B:P,15,FALSE)</f>
        <v>0.57576666666666665</v>
      </c>
      <c r="M99" s="1" t="str">
        <f t="shared" si="23"/>
        <v>No Cumple</v>
      </c>
      <c r="N99" s="5">
        <f t="shared" si="24"/>
        <v>0</v>
      </c>
      <c r="O99" s="5">
        <f t="shared" si="18"/>
        <v>50000</v>
      </c>
      <c r="P99" s="4">
        <v>0.95</v>
      </c>
      <c r="Q99" s="5" t="str">
        <f t="shared" si="25"/>
        <v>Cumple</v>
      </c>
      <c r="R99" s="5">
        <f t="shared" si="26"/>
        <v>47500</v>
      </c>
      <c r="S99" s="5">
        <f t="shared" si="19"/>
        <v>50000</v>
      </c>
      <c r="T99" s="4">
        <f>+VLOOKUP(C99,Indicadores!B:V,21,FALSE)</f>
        <v>0.72729999999999995</v>
      </c>
      <c r="U99" s="35" t="str">
        <f t="shared" si="27"/>
        <v>No Cumple</v>
      </c>
      <c r="V99" s="2">
        <f t="shared" si="28"/>
        <v>0</v>
      </c>
      <c r="W99" s="5" t="str">
        <f t="shared" si="29"/>
        <v>SI</v>
      </c>
      <c r="X99" s="5">
        <f t="shared" si="30"/>
        <v>47500</v>
      </c>
      <c r="Y99" s="1"/>
    </row>
    <row r="100" spans="2:25" hidden="1" x14ac:dyDescent="0.25">
      <c r="B100" s="1" t="s">
        <v>238</v>
      </c>
      <c r="C100" s="1" t="s">
        <v>105</v>
      </c>
      <c r="D100" s="1" t="s">
        <v>243</v>
      </c>
      <c r="E100" s="1" t="s">
        <v>342</v>
      </c>
      <c r="F100" s="2">
        <f t="shared" si="20"/>
        <v>250000</v>
      </c>
      <c r="G100" s="4">
        <f>+VLOOKUP(C100,Indicadores!B:C,2,FALSE)</f>
        <v>0.78260909090909081</v>
      </c>
      <c r="H100" s="1" t="str">
        <f t="shared" si="21"/>
        <v>Cumple</v>
      </c>
      <c r="I100" s="4">
        <f>+VLOOKUP(C100,Indicadores!B:F,5,FALSE)</f>
        <v>0.88235294117647056</v>
      </c>
      <c r="J100" s="1" t="str">
        <f t="shared" si="22"/>
        <v>Cumple</v>
      </c>
      <c r="K100" s="9">
        <f t="shared" si="17"/>
        <v>150000</v>
      </c>
      <c r="L100" s="4">
        <f>+VLOOKUP(C100,Indicadores!B:P,15,FALSE)</f>
        <v>0.51633333333333331</v>
      </c>
      <c r="M100" s="1" t="str">
        <f t="shared" si="23"/>
        <v>No Cumple</v>
      </c>
      <c r="N100" s="5">
        <f t="shared" si="24"/>
        <v>0</v>
      </c>
      <c r="O100" s="5">
        <f t="shared" si="18"/>
        <v>50000</v>
      </c>
      <c r="P100" s="4">
        <v>0.95</v>
      </c>
      <c r="Q100" s="5" t="str">
        <f t="shared" si="25"/>
        <v>Cumple</v>
      </c>
      <c r="R100" s="5">
        <f t="shared" si="26"/>
        <v>47500</v>
      </c>
      <c r="S100" s="5">
        <f t="shared" si="19"/>
        <v>50000</v>
      </c>
      <c r="T100" s="4">
        <f>+VLOOKUP(C100,Indicadores!B:V,21,FALSE)</f>
        <v>0.5</v>
      </c>
      <c r="U100" s="35" t="str">
        <f t="shared" si="27"/>
        <v>No Cumple</v>
      </c>
      <c r="V100" s="2">
        <f t="shared" si="28"/>
        <v>0</v>
      </c>
      <c r="W100" s="5" t="str">
        <f t="shared" si="29"/>
        <v>SI</v>
      </c>
      <c r="X100" s="5">
        <f t="shared" si="30"/>
        <v>47500</v>
      </c>
      <c r="Y100" s="1"/>
    </row>
    <row r="101" spans="2:25" hidden="1" x14ac:dyDescent="0.25">
      <c r="B101" s="1" t="s">
        <v>238</v>
      </c>
      <c r="C101" s="1" t="s">
        <v>106</v>
      </c>
      <c r="D101" s="1" t="s">
        <v>243</v>
      </c>
      <c r="E101" s="1" t="s">
        <v>342</v>
      </c>
      <c r="F101" s="2">
        <f t="shared" si="20"/>
        <v>250000</v>
      </c>
      <c r="G101" s="4">
        <f>+VLOOKUP(C101,Indicadores!B:C,2,FALSE)</f>
        <v>0.8538</v>
      </c>
      <c r="H101" s="1" t="str">
        <f t="shared" si="21"/>
        <v>Cumple</v>
      </c>
      <c r="I101" s="4">
        <f>+VLOOKUP(C101,Indicadores!B:F,5,FALSE)</f>
        <v>0.94736842105263153</v>
      </c>
      <c r="J101" s="1" t="str">
        <f t="shared" si="22"/>
        <v>Cumple</v>
      </c>
      <c r="K101" s="9">
        <f t="shared" si="17"/>
        <v>150000</v>
      </c>
      <c r="L101" s="4">
        <f>+VLOOKUP(C101,Indicadores!B:P,15,FALSE)</f>
        <v>0.84723333333333339</v>
      </c>
      <c r="M101" s="1" t="str">
        <f t="shared" si="23"/>
        <v>Cumple</v>
      </c>
      <c r="N101" s="5">
        <f t="shared" si="24"/>
        <v>120000</v>
      </c>
      <c r="O101" s="5">
        <f t="shared" si="18"/>
        <v>50000</v>
      </c>
      <c r="P101" s="4">
        <v>0.95</v>
      </c>
      <c r="Q101" s="5" t="str">
        <f t="shared" si="25"/>
        <v>Cumple</v>
      </c>
      <c r="R101" s="5">
        <f t="shared" si="26"/>
        <v>47500</v>
      </c>
      <c r="S101" s="5">
        <f t="shared" si="19"/>
        <v>50000</v>
      </c>
      <c r="T101" s="4">
        <f>+VLOOKUP(C101,Indicadores!B:V,21,FALSE)</f>
        <v>0.5</v>
      </c>
      <c r="U101" s="35" t="str">
        <f t="shared" si="27"/>
        <v>No Cumple</v>
      </c>
      <c r="V101" s="2">
        <f t="shared" si="28"/>
        <v>0</v>
      </c>
      <c r="W101" s="5" t="str">
        <f t="shared" si="29"/>
        <v>SI</v>
      </c>
      <c r="X101" s="5">
        <f t="shared" si="30"/>
        <v>167500</v>
      </c>
      <c r="Y101" s="1"/>
    </row>
    <row r="102" spans="2:25" x14ac:dyDescent="0.25">
      <c r="B102" s="1" t="s">
        <v>238</v>
      </c>
      <c r="C102" s="1" t="s">
        <v>107</v>
      </c>
      <c r="D102" s="1" t="s">
        <v>243</v>
      </c>
      <c r="E102" s="1" t="s">
        <v>342</v>
      </c>
      <c r="F102" s="2">
        <f t="shared" si="20"/>
        <v>250000</v>
      </c>
      <c r="G102" s="4">
        <f>+VLOOKUP(C102,Indicadores!B:C,2,FALSE)</f>
        <v>0.7662363636363636</v>
      </c>
      <c r="H102" s="1" t="str">
        <f t="shared" si="21"/>
        <v>Cumple</v>
      </c>
      <c r="I102" s="4">
        <f>+VLOOKUP(C102,Indicadores!B:F,5,FALSE)</f>
        <v>0.94444444444444442</v>
      </c>
      <c r="J102" s="1" t="str">
        <f t="shared" si="22"/>
        <v>Cumple</v>
      </c>
      <c r="K102" s="9">
        <f t="shared" ref="K102:K133" si="31">+$F$4*$K$3</f>
        <v>150000</v>
      </c>
      <c r="L102" s="4">
        <f>+VLOOKUP(C102,Indicadores!B:P,15,FALSE)</f>
        <v>0.60383333333333333</v>
      </c>
      <c r="M102" s="1" t="str">
        <f t="shared" si="23"/>
        <v>No Cumple</v>
      </c>
      <c r="N102" s="5">
        <f t="shared" si="24"/>
        <v>0</v>
      </c>
      <c r="O102" s="5">
        <f t="shared" ref="O102:O133" si="32">+$F$4*$O$3</f>
        <v>50000</v>
      </c>
      <c r="P102" s="4">
        <v>0.95</v>
      </c>
      <c r="Q102" s="5" t="str">
        <f t="shared" si="25"/>
        <v>Cumple</v>
      </c>
      <c r="R102" s="5">
        <f t="shared" si="26"/>
        <v>47500</v>
      </c>
      <c r="S102" s="5">
        <f t="shared" ref="S102:S133" si="33">+$F$4*$S$3</f>
        <v>50000</v>
      </c>
      <c r="T102" s="4">
        <f>+VLOOKUP(C102,Indicadores!B:V,21,FALSE)</f>
        <v>0.5</v>
      </c>
      <c r="U102" s="35" t="str">
        <f t="shared" si="27"/>
        <v>No Cumple</v>
      </c>
      <c r="V102" s="2">
        <f t="shared" si="28"/>
        <v>0</v>
      </c>
      <c r="W102" s="5" t="str">
        <f t="shared" si="29"/>
        <v>SI</v>
      </c>
      <c r="X102" s="5">
        <f t="shared" si="30"/>
        <v>47500</v>
      </c>
      <c r="Y102" s="1"/>
    </row>
    <row r="103" spans="2:25" x14ac:dyDescent="0.25">
      <c r="B103" s="1" t="s">
        <v>238</v>
      </c>
      <c r="C103" s="1" t="s">
        <v>108</v>
      </c>
      <c r="D103" s="1" t="s">
        <v>243</v>
      </c>
      <c r="E103" s="1" t="s">
        <v>342</v>
      </c>
      <c r="F103" s="2">
        <f t="shared" si="20"/>
        <v>250000</v>
      </c>
      <c r="G103" s="4">
        <f>+VLOOKUP(C103,Indicadores!B:C,2,FALSE)</f>
        <v>0.79444545454545434</v>
      </c>
      <c r="H103" s="1" t="str">
        <f t="shared" si="21"/>
        <v>Cumple</v>
      </c>
      <c r="I103" s="4">
        <f>+VLOOKUP(C103,Indicadores!B:F,5,FALSE)</f>
        <v>0.88235294117647056</v>
      </c>
      <c r="J103" s="1" t="str">
        <f t="shared" si="22"/>
        <v>Cumple</v>
      </c>
      <c r="K103" s="9">
        <f t="shared" si="31"/>
        <v>150000</v>
      </c>
      <c r="L103" s="4">
        <f>+VLOOKUP(C103,Indicadores!B:P,15,FALSE)</f>
        <v>0.61863333333333337</v>
      </c>
      <c r="M103" s="1" t="str">
        <f t="shared" si="23"/>
        <v>No Cumple</v>
      </c>
      <c r="N103" s="5">
        <f t="shared" si="24"/>
        <v>0</v>
      </c>
      <c r="O103" s="5">
        <f t="shared" si="32"/>
        <v>50000</v>
      </c>
      <c r="P103" s="4">
        <v>0.95</v>
      </c>
      <c r="Q103" s="5" t="str">
        <f t="shared" si="25"/>
        <v>Cumple</v>
      </c>
      <c r="R103" s="5">
        <f t="shared" si="26"/>
        <v>47500</v>
      </c>
      <c r="S103" s="5">
        <f t="shared" si="33"/>
        <v>50000</v>
      </c>
      <c r="T103" s="4">
        <f>+VLOOKUP(C103,Indicadores!B:V,21,FALSE)</f>
        <v>0.99099999999999999</v>
      </c>
      <c r="U103" s="35" t="str">
        <f t="shared" si="27"/>
        <v>No Cumple</v>
      </c>
      <c r="V103" s="2">
        <f t="shared" si="28"/>
        <v>0</v>
      </c>
      <c r="W103" s="5" t="str">
        <f t="shared" si="29"/>
        <v>SI</v>
      </c>
      <c r="X103" s="5">
        <f t="shared" si="30"/>
        <v>47500</v>
      </c>
      <c r="Y103" s="1"/>
    </row>
    <row r="104" spans="2:25" x14ac:dyDescent="0.25">
      <c r="B104" s="1" t="s">
        <v>238</v>
      </c>
      <c r="C104" s="1" t="s">
        <v>109</v>
      </c>
      <c r="D104" s="1" t="s">
        <v>243</v>
      </c>
      <c r="E104" s="1" t="s">
        <v>342</v>
      </c>
      <c r="F104" s="2">
        <f t="shared" si="20"/>
        <v>250000</v>
      </c>
      <c r="G104" s="4">
        <f>+VLOOKUP(C104,Indicadores!B:C,2,FALSE)</f>
        <v>0.75879090909090907</v>
      </c>
      <c r="H104" s="1" t="str">
        <f t="shared" si="21"/>
        <v>Cumple</v>
      </c>
      <c r="I104" s="4">
        <f>+VLOOKUP(C104,Indicadores!B:F,5,FALSE)</f>
        <v>1</v>
      </c>
      <c r="J104" s="1" t="str">
        <f t="shared" si="22"/>
        <v>Cumple</v>
      </c>
      <c r="K104" s="9">
        <f t="shared" si="31"/>
        <v>150000</v>
      </c>
      <c r="L104" s="4">
        <f>+VLOOKUP(C104,Indicadores!B:P,15,FALSE)</f>
        <v>0.62816666666666665</v>
      </c>
      <c r="M104" s="1" t="str">
        <f t="shared" si="23"/>
        <v>No Cumple</v>
      </c>
      <c r="N104" s="5">
        <f t="shared" si="24"/>
        <v>0</v>
      </c>
      <c r="O104" s="5">
        <f t="shared" si="32"/>
        <v>50000</v>
      </c>
      <c r="P104" s="4">
        <v>0.95</v>
      </c>
      <c r="Q104" s="5" t="str">
        <f t="shared" si="25"/>
        <v>Cumple</v>
      </c>
      <c r="R104" s="5">
        <f t="shared" si="26"/>
        <v>47500</v>
      </c>
      <c r="S104" s="5">
        <f t="shared" si="33"/>
        <v>50000</v>
      </c>
      <c r="T104" s="4">
        <f>+VLOOKUP(C104,Indicadores!B:V,21,FALSE)</f>
        <v>0.5</v>
      </c>
      <c r="U104" s="35" t="str">
        <f t="shared" si="27"/>
        <v>No Cumple</v>
      </c>
      <c r="V104" s="2">
        <f t="shared" si="28"/>
        <v>0</v>
      </c>
      <c r="W104" s="5" t="str">
        <f t="shared" si="29"/>
        <v>SI</v>
      </c>
      <c r="X104" s="5">
        <f t="shared" si="30"/>
        <v>47500</v>
      </c>
      <c r="Y104" s="1"/>
    </row>
    <row r="105" spans="2:25" x14ac:dyDescent="0.25">
      <c r="B105" s="1" t="s">
        <v>238</v>
      </c>
      <c r="C105" s="1" t="s">
        <v>110</v>
      </c>
      <c r="D105" s="1" t="s">
        <v>243</v>
      </c>
      <c r="E105" s="1" t="s">
        <v>342</v>
      </c>
      <c r="F105" s="2">
        <f t="shared" si="20"/>
        <v>250000</v>
      </c>
      <c r="G105" s="4">
        <f>+VLOOKUP(C105,Indicadores!B:C,2,FALSE)</f>
        <v>0.76104545454545469</v>
      </c>
      <c r="H105" s="1" t="str">
        <f t="shared" si="21"/>
        <v>Cumple</v>
      </c>
      <c r="I105" s="4">
        <f>+VLOOKUP(C105,Indicadores!B:F,5,FALSE)</f>
        <v>1</v>
      </c>
      <c r="J105" s="1" t="str">
        <f t="shared" si="22"/>
        <v>Cumple</v>
      </c>
      <c r="K105" s="9">
        <f t="shared" si="31"/>
        <v>150000</v>
      </c>
      <c r="L105" s="4">
        <f>+VLOOKUP(C105,Indicadores!B:P,15,FALSE)</f>
        <v>0.59576666666666667</v>
      </c>
      <c r="M105" s="1" t="str">
        <f t="shared" si="23"/>
        <v>No Cumple</v>
      </c>
      <c r="N105" s="5">
        <f t="shared" si="24"/>
        <v>0</v>
      </c>
      <c r="O105" s="5">
        <f t="shared" si="32"/>
        <v>50000</v>
      </c>
      <c r="P105" s="4">
        <v>0.95</v>
      </c>
      <c r="Q105" s="5" t="str">
        <f t="shared" si="25"/>
        <v>Cumple</v>
      </c>
      <c r="R105" s="5">
        <f t="shared" si="26"/>
        <v>47500</v>
      </c>
      <c r="S105" s="5">
        <f t="shared" si="33"/>
        <v>50000</v>
      </c>
      <c r="T105" s="4">
        <f>+VLOOKUP(C105,Indicadores!B:V,21,FALSE)</f>
        <v>0.5</v>
      </c>
      <c r="U105" s="35" t="str">
        <f t="shared" si="27"/>
        <v>No Cumple</v>
      </c>
      <c r="V105" s="2">
        <f t="shared" si="28"/>
        <v>0</v>
      </c>
      <c r="W105" s="5" t="str">
        <f t="shared" si="29"/>
        <v>SI</v>
      </c>
      <c r="X105" s="5">
        <f t="shared" si="30"/>
        <v>47500</v>
      </c>
      <c r="Y105" s="1"/>
    </row>
    <row r="106" spans="2:25" hidden="1" x14ac:dyDescent="0.25">
      <c r="B106" s="1" t="s">
        <v>239</v>
      </c>
      <c r="C106" s="1" t="s">
        <v>111</v>
      </c>
      <c r="D106" s="1" t="s">
        <v>243</v>
      </c>
      <c r="E106" s="1" t="s">
        <v>343</v>
      </c>
      <c r="F106" s="2">
        <f t="shared" si="20"/>
        <v>250000</v>
      </c>
      <c r="G106" s="4">
        <f>+VLOOKUP(C106,Indicadores!B:C,2,FALSE)</f>
        <v>0.78153636363636358</v>
      </c>
      <c r="H106" s="1" t="str">
        <f t="shared" si="21"/>
        <v>Cumple</v>
      </c>
      <c r="I106" s="4">
        <f>+VLOOKUP(C106,Indicadores!B:F,5,FALSE)</f>
        <v>0.92307692307692313</v>
      </c>
      <c r="J106" s="1" t="str">
        <f t="shared" si="22"/>
        <v>Cumple</v>
      </c>
      <c r="K106" s="9">
        <f t="shared" si="31"/>
        <v>150000</v>
      </c>
      <c r="L106" s="4">
        <f>+VLOOKUP(C106,Indicadores!B:P,15,FALSE)</f>
        <v>0.38013333333333338</v>
      </c>
      <c r="M106" s="1" t="str">
        <f t="shared" si="23"/>
        <v>No Cumple</v>
      </c>
      <c r="N106" s="5">
        <f t="shared" si="24"/>
        <v>0</v>
      </c>
      <c r="O106" s="5">
        <f t="shared" si="32"/>
        <v>50000</v>
      </c>
      <c r="P106" s="4">
        <v>0.95</v>
      </c>
      <c r="Q106" s="5" t="str">
        <f t="shared" si="25"/>
        <v>Cumple</v>
      </c>
      <c r="R106" s="5">
        <f t="shared" si="26"/>
        <v>47500</v>
      </c>
      <c r="S106" s="5">
        <f t="shared" si="33"/>
        <v>50000</v>
      </c>
      <c r="T106" s="4">
        <f>+VLOOKUP(C106,Indicadores!B:V,21,FALSE)</f>
        <v>0.98250000000000004</v>
      </c>
      <c r="U106" s="35" t="str">
        <f t="shared" si="27"/>
        <v>No Cumple</v>
      </c>
      <c r="V106" s="2">
        <f t="shared" si="28"/>
        <v>0</v>
      </c>
      <c r="W106" s="5" t="str">
        <f t="shared" si="29"/>
        <v>SI</v>
      </c>
      <c r="X106" s="5">
        <f t="shared" si="30"/>
        <v>47500</v>
      </c>
      <c r="Y106" s="1"/>
    </row>
    <row r="107" spans="2:25" hidden="1" x14ac:dyDescent="0.25">
      <c r="B107" s="1" t="s">
        <v>239</v>
      </c>
      <c r="C107" s="1" t="s">
        <v>112</v>
      </c>
      <c r="D107" s="1" t="s">
        <v>243</v>
      </c>
      <c r="E107" s="1" t="s">
        <v>343</v>
      </c>
      <c r="F107" s="2">
        <f t="shared" si="20"/>
        <v>250000</v>
      </c>
      <c r="G107" s="4">
        <f>+VLOOKUP(C107,Indicadores!B:C,2,FALSE)</f>
        <v>0.73636363636363633</v>
      </c>
      <c r="H107" s="1" t="str">
        <f t="shared" si="21"/>
        <v>Cumple</v>
      </c>
      <c r="I107" s="4">
        <f>+VLOOKUP(C107,Indicadores!B:F,5,FALSE)</f>
        <v>0.66666666666666663</v>
      </c>
      <c r="J107" s="1" t="str">
        <f t="shared" si="22"/>
        <v>No Cumple</v>
      </c>
      <c r="K107" s="9">
        <f t="shared" si="31"/>
        <v>150000</v>
      </c>
      <c r="L107" s="4">
        <f>+VLOOKUP(C107,Indicadores!B:P,15,FALSE)</f>
        <v>0.36109999999999998</v>
      </c>
      <c r="M107" s="1" t="str">
        <f t="shared" si="23"/>
        <v>No Cumple</v>
      </c>
      <c r="N107" s="5">
        <f t="shared" si="24"/>
        <v>0</v>
      </c>
      <c r="O107" s="5">
        <f t="shared" si="32"/>
        <v>50000</v>
      </c>
      <c r="P107" s="4">
        <v>0.95</v>
      </c>
      <c r="Q107" s="5" t="str">
        <f t="shared" si="25"/>
        <v>Cumple</v>
      </c>
      <c r="R107" s="5">
        <f t="shared" si="26"/>
        <v>47500</v>
      </c>
      <c r="S107" s="5">
        <f t="shared" si="33"/>
        <v>50000</v>
      </c>
      <c r="T107" s="4">
        <f>+VLOOKUP(C107,Indicadores!B:V,21,FALSE)</f>
        <v>1</v>
      </c>
      <c r="U107" s="35" t="str">
        <f t="shared" si="27"/>
        <v>Cumple</v>
      </c>
      <c r="V107" s="2">
        <f t="shared" si="28"/>
        <v>50000</v>
      </c>
      <c r="W107" s="5" t="str">
        <f t="shared" si="29"/>
        <v>NO</v>
      </c>
      <c r="X107" s="5">
        <f t="shared" si="30"/>
        <v>0</v>
      </c>
      <c r="Y107" s="1"/>
    </row>
    <row r="108" spans="2:25" hidden="1" x14ac:dyDescent="0.25">
      <c r="B108" s="1" t="s">
        <v>239</v>
      </c>
      <c r="C108" s="1" t="s">
        <v>113</v>
      </c>
      <c r="D108" s="1" t="s">
        <v>243</v>
      </c>
      <c r="E108" s="1" t="s">
        <v>343</v>
      </c>
      <c r="F108" s="2">
        <f t="shared" si="20"/>
        <v>250000</v>
      </c>
      <c r="G108" s="4">
        <f>+VLOOKUP(C108,Indicadores!B:C,2,FALSE)</f>
        <v>0.8077545454545455</v>
      </c>
      <c r="H108" s="1" t="str">
        <f t="shared" si="21"/>
        <v>Cumple</v>
      </c>
      <c r="I108" s="4">
        <f>+VLOOKUP(C108,Indicadores!B:F,5,FALSE)</f>
        <v>1</v>
      </c>
      <c r="J108" s="1" t="str">
        <f t="shared" si="22"/>
        <v>Cumple</v>
      </c>
      <c r="K108" s="9">
        <f t="shared" si="31"/>
        <v>150000</v>
      </c>
      <c r="L108" s="4">
        <f>+VLOOKUP(C108,Indicadores!B:P,15,FALSE)</f>
        <v>0.35520000000000002</v>
      </c>
      <c r="M108" s="1" t="str">
        <f t="shared" si="23"/>
        <v>No Cumple</v>
      </c>
      <c r="N108" s="5">
        <f t="shared" si="24"/>
        <v>0</v>
      </c>
      <c r="O108" s="5">
        <f t="shared" si="32"/>
        <v>50000</v>
      </c>
      <c r="P108" s="4">
        <v>0.95</v>
      </c>
      <c r="Q108" s="5" t="str">
        <f t="shared" si="25"/>
        <v>Cumple</v>
      </c>
      <c r="R108" s="5">
        <f t="shared" si="26"/>
        <v>47500</v>
      </c>
      <c r="S108" s="5">
        <f t="shared" si="33"/>
        <v>50000</v>
      </c>
      <c r="T108" s="4">
        <f>+VLOOKUP(C108,Indicadores!B:V,21,FALSE)</f>
        <v>0.5</v>
      </c>
      <c r="U108" s="35" t="str">
        <f t="shared" si="27"/>
        <v>No Cumple</v>
      </c>
      <c r="V108" s="2">
        <f t="shared" si="28"/>
        <v>0</v>
      </c>
      <c r="W108" s="5" t="str">
        <f t="shared" si="29"/>
        <v>SI</v>
      </c>
      <c r="X108" s="5">
        <f t="shared" si="30"/>
        <v>47500</v>
      </c>
      <c r="Y108" s="1"/>
    </row>
    <row r="109" spans="2:25" hidden="1" x14ac:dyDescent="0.25">
      <c r="B109" s="1" t="s">
        <v>239</v>
      </c>
      <c r="C109" s="1" t="s">
        <v>114</v>
      </c>
      <c r="D109" s="1" t="s">
        <v>243</v>
      </c>
      <c r="E109" s="1" t="s">
        <v>343</v>
      </c>
      <c r="F109" s="2">
        <f t="shared" si="20"/>
        <v>250000</v>
      </c>
      <c r="G109" s="4">
        <f>+VLOOKUP(C109,Indicadores!B:C,2,FALSE)</f>
        <v>0.77181818181818196</v>
      </c>
      <c r="H109" s="1" t="str">
        <f t="shared" si="21"/>
        <v>Cumple</v>
      </c>
      <c r="I109" s="4">
        <f>+VLOOKUP(C109,Indicadores!B:F,5,FALSE)</f>
        <v>1</v>
      </c>
      <c r="J109" s="1" t="str">
        <f t="shared" si="22"/>
        <v>Cumple</v>
      </c>
      <c r="K109" s="9">
        <f t="shared" si="31"/>
        <v>150000</v>
      </c>
      <c r="L109" s="4">
        <f>+VLOOKUP(C109,Indicadores!B:P,15,FALSE)</f>
        <v>0.4129666666666667</v>
      </c>
      <c r="M109" s="1" t="str">
        <f t="shared" si="23"/>
        <v>No Cumple</v>
      </c>
      <c r="N109" s="5">
        <f t="shared" si="24"/>
        <v>0</v>
      </c>
      <c r="O109" s="5">
        <f t="shared" si="32"/>
        <v>50000</v>
      </c>
      <c r="P109" s="4">
        <v>0.95</v>
      </c>
      <c r="Q109" s="5" t="str">
        <f t="shared" si="25"/>
        <v>Cumple</v>
      </c>
      <c r="R109" s="5">
        <f t="shared" si="26"/>
        <v>47500</v>
      </c>
      <c r="S109" s="5">
        <f t="shared" si="33"/>
        <v>50000</v>
      </c>
      <c r="T109" s="4">
        <f>+VLOOKUP(C109,Indicadores!B:V,21,FALSE)</f>
        <v>1</v>
      </c>
      <c r="U109" s="35" t="str">
        <f t="shared" si="27"/>
        <v>Cumple</v>
      </c>
      <c r="V109" s="2">
        <f t="shared" si="28"/>
        <v>50000</v>
      </c>
      <c r="W109" s="5" t="str">
        <f t="shared" si="29"/>
        <v>SI</v>
      </c>
      <c r="X109" s="5">
        <f t="shared" si="30"/>
        <v>97500</v>
      </c>
      <c r="Y109" s="1"/>
    </row>
    <row r="110" spans="2:25" hidden="1" x14ac:dyDescent="0.25">
      <c r="B110" s="1" t="s">
        <v>239</v>
      </c>
      <c r="C110" s="1" t="s">
        <v>115</v>
      </c>
      <c r="D110" s="1" t="s">
        <v>243</v>
      </c>
      <c r="E110" s="1" t="s">
        <v>343</v>
      </c>
      <c r="F110" s="2">
        <f t="shared" si="20"/>
        <v>250000</v>
      </c>
      <c r="G110" s="4">
        <f>+VLOOKUP(C110,Indicadores!B:C,2,FALSE)</f>
        <v>0.75952727272727261</v>
      </c>
      <c r="H110" s="1" t="str">
        <f t="shared" si="21"/>
        <v>Cumple</v>
      </c>
      <c r="I110" s="4">
        <f>+VLOOKUP(C110,Indicadores!B:F,5,FALSE)</f>
        <v>1</v>
      </c>
      <c r="J110" s="1" t="str">
        <f t="shared" si="22"/>
        <v>Cumple</v>
      </c>
      <c r="K110" s="9">
        <f t="shared" si="31"/>
        <v>150000</v>
      </c>
      <c r="L110" s="4">
        <f>+VLOOKUP(C110,Indicadores!B:P,15,FALSE)</f>
        <v>0.36210000000000003</v>
      </c>
      <c r="M110" s="1" t="str">
        <f t="shared" si="23"/>
        <v>No Cumple</v>
      </c>
      <c r="N110" s="5">
        <f t="shared" si="24"/>
        <v>0</v>
      </c>
      <c r="O110" s="5">
        <f t="shared" si="32"/>
        <v>50000</v>
      </c>
      <c r="P110" s="4">
        <v>0.95</v>
      </c>
      <c r="Q110" s="5" t="str">
        <f t="shared" si="25"/>
        <v>Cumple</v>
      </c>
      <c r="R110" s="5">
        <f t="shared" si="26"/>
        <v>47500</v>
      </c>
      <c r="S110" s="5">
        <f t="shared" si="33"/>
        <v>50000</v>
      </c>
      <c r="T110" s="4">
        <f>+VLOOKUP(C110,Indicadores!B:V,21,FALSE)</f>
        <v>0.5</v>
      </c>
      <c r="U110" s="35" t="str">
        <f t="shared" si="27"/>
        <v>No Cumple</v>
      </c>
      <c r="V110" s="2">
        <f t="shared" si="28"/>
        <v>0</v>
      </c>
      <c r="W110" s="5" t="str">
        <f t="shared" si="29"/>
        <v>SI</v>
      </c>
      <c r="X110" s="5">
        <f t="shared" si="30"/>
        <v>47500</v>
      </c>
      <c r="Y110" s="1"/>
    </row>
    <row r="111" spans="2:25" hidden="1" x14ac:dyDescent="0.25">
      <c r="B111" s="1" t="s">
        <v>239</v>
      </c>
      <c r="C111" s="1" t="s">
        <v>116</v>
      </c>
      <c r="D111" s="1" t="s">
        <v>243</v>
      </c>
      <c r="E111" s="1" t="s">
        <v>343</v>
      </c>
      <c r="F111" s="2">
        <f t="shared" si="20"/>
        <v>250000</v>
      </c>
      <c r="G111" s="4">
        <f>+VLOOKUP(C111,Indicadores!B:C,2,FALSE)</f>
        <v>0.74268181818181811</v>
      </c>
      <c r="H111" s="1" t="str">
        <f t="shared" si="21"/>
        <v>Cumple</v>
      </c>
      <c r="I111" s="4">
        <f>+VLOOKUP(C111,Indicadores!B:F,5,FALSE)</f>
        <v>1</v>
      </c>
      <c r="J111" s="1" t="str">
        <f t="shared" si="22"/>
        <v>Cumple</v>
      </c>
      <c r="K111" s="9">
        <f t="shared" si="31"/>
        <v>150000</v>
      </c>
      <c r="L111" s="4">
        <f>+VLOOKUP(C111,Indicadores!B:P,15,FALSE)</f>
        <v>0.48333333333333334</v>
      </c>
      <c r="M111" s="1" t="str">
        <f t="shared" si="23"/>
        <v>No Cumple</v>
      </c>
      <c r="N111" s="5">
        <f t="shared" si="24"/>
        <v>0</v>
      </c>
      <c r="O111" s="5">
        <f t="shared" si="32"/>
        <v>50000</v>
      </c>
      <c r="P111" s="4">
        <v>0.95</v>
      </c>
      <c r="Q111" s="5" t="str">
        <f t="shared" si="25"/>
        <v>Cumple</v>
      </c>
      <c r="R111" s="5">
        <f t="shared" si="26"/>
        <v>47500</v>
      </c>
      <c r="S111" s="5">
        <f t="shared" si="33"/>
        <v>50000</v>
      </c>
      <c r="T111" s="4">
        <f>+VLOOKUP(C111,Indicadores!B:V,21,FALSE)</f>
        <v>0.48304999999999998</v>
      </c>
      <c r="U111" s="35" t="str">
        <f t="shared" si="27"/>
        <v>No Cumple</v>
      </c>
      <c r="V111" s="2">
        <f t="shared" si="28"/>
        <v>0</v>
      </c>
      <c r="W111" s="5" t="str">
        <f t="shared" si="29"/>
        <v>SI</v>
      </c>
      <c r="X111" s="5">
        <f t="shared" si="30"/>
        <v>47500</v>
      </c>
      <c r="Y111" s="1"/>
    </row>
    <row r="112" spans="2:25" hidden="1" x14ac:dyDescent="0.25">
      <c r="B112" s="1" t="s">
        <v>239</v>
      </c>
      <c r="C112" s="1" t="s">
        <v>117</v>
      </c>
      <c r="D112" s="1" t="s">
        <v>243</v>
      </c>
      <c r="E112" s="1" t="s">
        <v>343</v>
      </c>
      <c r="F112" s="2">
        <f t="shared" si="20"/>
        <v>250000</v>
      </c>
      <c r="G112" s="4">
        <f>+VLOOKUP(C112,Indicadores!B:C,2,FALSE)</f>
        <v>0.76329999999999998</v>
      </c>
      <c r="H112" s="1" t="str">
        <f t="shared" si="21"/>
        <v>Cumple</v>
      </c>
      <c r="I112" s="4">
        <f>+VLOOKUP(C112,Indicadores!B:F,5,FALSE)</f>
        <v>0.8</v>
      </c>
      <c r="J112" s="1" t="str">
        <f t="shared" si="22"/>
        <v>Cumple</v>
      </c>
      <c r="K112" s="9">
        <f t="shared" si="31"/>
        <v>150000</v>
      </c>
      <c r="L112" s="4">
        <f>+VLOOKUP(C112,Indicadores!B:P,15,FALSE)</f>
        <v>0.33333333333333331</v>
      </c>
      <c r="M112" s="1" t="str">
        <f t="shared" si="23"/>
        <v>No Cumple</v>
      </c>
      <c r="N112" s="5">
        <f t="shared" si="24"/>
        <v>0</v>
      </c>
      <c r="O112" s="5">
        <f t="shared" si="32"/>
        <v>50000</v>
      </c>
      <c r="P112" s="4">
        <v>0.95</v>
      </c>
      <c r="Q112" s="5" t="str">
        <f t="shared" si="25"/>
        <v>Cumple</v>
      </c>
      <c r="R112" s="5">
        <f t="shared" si="26"/>
        <v>47500</v>
      </c>
      <c r="S112" s="5">
        <f t="shared" si="33"/>
        <v>50000</v>
      </c>
      <c r="T112" s="4">
        <f>+VLOOKUP(C112,Indicadores!B:V,21,FALSE)</f>
        <v>1</v>
      </c>
      <c r="U112" s="35" t="str">
        <f t="shared" si="27"/>
        <v>Cumple</v>
      </c>
      <c r="V112" s="2">
        <f t="shared" si="28"/>
        <v>50000</v>
      </c>
      <c r="W112" s="5" t="str">
        <f t="shared" si="29"/>
        <v>SI</v>
      </c>
      <c r="X112" s="5">
        <f t="shared" si="30"/>
        <v>97500</v>
      </c>
      <c r="Y112" s="1"/>
    </row>
    <row r="113" spans="2:25" hidden="1" x14ac:dyDescent="0.25">
      <c r="B113" s="1" t="s">
        <v>239</v>
      </c>
      <c r="C113" s="1" t="s">
        <v>118</v>
      </c>
      <c r="D113" s="1" t="s">
        <v>243</v>
      </c>
      <c r="E113" s="1" t="s">
        <v>343</v>
      </c>
      <c r="F113" s="2">
        <f t="shared" si="20"/>
        <v>250000</v>
      </c>
      <c r="G113" s="4">
        <f>+VLOOKUP(C113,Indicadores!B:C,2,FALSE)</f>
        <v>0.48588181818181814</v>
      </c>
      <c r="H113" s="1" t="str">
        <f t="shared" si="21"/>
        <v>No Cumple</v>
      </c>
      <c r="I113" s="4">
        <f>+VLOOKUP(C113,Indicadores!B:F,5,FALSE)</f>
        <v>0.6</v>
      </c>
      <c r="J113" s="1" t="str">
        <f t="shared" si="22"/>
        <v>No Cumple</v>
      </c>
      <c r="K113" s="9">
        <f t="shared" si="31"/>
        <v>150000</v>
      </c>
      <c r="L113" s="4">
        <f>+VLOOKUP(C113,Indicadores!B:P,15,FALSE)</f>
        <v>0.47746666666666665</v>
      </c>
      <c r="M113" s="1" t="str">
        <f t="shared" si="23"/>
        <v>No Cumple</v>
      </c>
      <c r="N113" s="5">
        <f t="shared" si="24"/>
        <v>0</v>
      </c>
      <c r="O113" s="5">
        <f t="shared" si="32"/>
        <v>50000</v>
      </c>
      <c r="P113" s="4">
        <v>0.95</v>
      </c>
      <c r="Q113" s="5" t="str">
        <f t="shared" si="25"/>
        <v>Cumple</v>
      </c>
      <c r="R113" s="5">
        <f t="shared" si="26"/>
        <v>47500</v>
      </c>
      <c r="S113" s="5">
        <f t="shared" si="33"/>
        <v>50000</v>
      </c>
      <c r="T113" s="4">
        <f>+VLOOKUP(C113,Indicadores!B:V,21,FALSE)</f>
        <v>0.58620000000000005</v>
      </c>
      <c r="U113" s="35" t="str">
        <f t="shared" si="27"/>
        <v>No Cumple</v>
      </c>
      <c r="V113" s="2">
        <f t="shared" si="28"/>
        <v>0</v>
      </c>
      <c r="W113" s="5" t="str">
        <f t="shared" si="29"/>
        <v>NO</v>
      </c>
      <c r="X113" s="5">
        <f t="shared" si="30"/>
        <v>0</v>
      </c>
      <c r="Y113" s="1"/>
    </row>
    <row r="114" spans="2:25" hidden="1" x14ac:dyDescent="0.25">
      <c r="B114" s="1" t="s">
        <v>239</v>
      </c>
      <c r="C114" s="1" t="s">
        <v>119</v>
      </c>
      <c r="D114" s="1" t="s">
        <v>243</v>
      </c>
      <c r="E114" s="1" t="s">
        <v>343</v>
      </c>
      <c r="F114" s="2">
        <f t="shared" si="20"/>
        <v>250000</v>
      </c>
      <c r="G114" s="4">
        <f>+VLOOKUP(C114,Indicadores!B:C,2,FALSE)</f>
        <v>0.73012727272727274</v>
      </c>
      <c r="H114" s="1" t="str">
        <f t="shared" si="21"/>
        <v>Cumple</v>
      </c>
      <c r="I114" s="4">
        <f>+VLOOKUP(C114,Indicadores!B:F,5,FALSE)</f>
        <v>1</v>
      </c>
      <c r="J114" s="1" t="str">
        <f t="shared" si="22"/>
        <v>Cumple</v>
      </c>
      <c r="K114" s="9">
        <f t="shared" si="31"/>
        <v>150000</v>
      </c>
      <c r="L114" s="4">
        <f>+VLOOKUP(C114,Indicadores!B:P,15,FALSE)</f>
        <v>0.3404666666666667</v>
      </c>
      <c r="M114" s="1" t="str">
        <f t="shared" si="23"/>
        <v>No Cumple</v>
      </c>
      <c r="N114" s="5">
        <f t="shared" si="24"/>
        <v>0</v>
      </c>
      <c r="O114" s="5">
        <f t="shared" si="32"/>
        <v>50000</v>
      </c>
      <c r="P114" s="4">
        <v>0.95</v>
      </c>
      <c r="Q114" s="5" t="str">
        <f t="shared" si="25"/>
        <v>Cumple</v>
      </c>
      <c r="R114" s="5">
        <f t="shared" si="26"/>
        <v>47500</v>
      </c>
      <c r="S114" s="5">
        <f t="shared" si="33"/>
        <v>50000</v>
      </c>
      <c r="T114" s="4">
        <f>+VLOOKUP(C114,Indicadores!B:V,21,FALSE)</f>
        <v>0.98440000000000005</v>
      </c>
      <c r="U114" s="35" t="str">
        <f t="shared" si="27"/>
        <v>No Cumple</v>
      </c>
      <c r="V114" s="2">
        <f t="shared" si="28"/>
        <v>0</v>
      </c>
      <c r="W114" s="5" t="str">
        <f t="shared" si="29"/>
        <v>SI</v>
      </c>
      <c r="X114" s="5">
        <f t="shared" si="30"/>
        <v>47500</v>
      </c>
      <c r="Y114" s="8"/>
    </row>
    <row r="115" spans="2:25" hidden="1" x14ac:dyDescent="0.25">
      <c r="B115" s="1" t="s">
        <v>239</v>
      </c>
      <c r="C115" s="1" t="s">
        <v>120</v>
      </c>
      <c r="D115" s="1" t="s">
        <v>243</v>
      </c>
      <c r="E115" s="1" t="s">
        <v>343</v>
      </c>
      <c r="F115" s="2">
        <f t="shared" si="20"/>
        <v>250000</v>
      </c>
      <c r="G115" s="4">
        <f>+VLOOKUP(C115,Indicadores!B:C,2,FALSE)</f>
        <v>0.76107272727272735</v>
      </c>
      <c r="H115" s="1" t="str">
        <f t="shared" si="21"/>
        <v>Cumple</v>
      </c>
      <c r="I115" s="4">
        <f>+VLOOKUP(C115,Indicadores!B:F,5,FALSE)</f>
        <v>0.88888888888888884</v>
      </c>
      <c r="J115" s="1" t="str">
        <f t="shared" si="22"/>
        <v>Cumple</v>
      </c>
      <c r="K115" s="9">
        <f t="shared" si="31"/>
        <v>150000</v>
      </c>
      <c r="L115" s="4">
        <f>+VLOOKUP(C115,Indicadores!B:P,15,FALSE)</f>
        <v>0.52253333333333341</v>
      </c>
      <c r="M115" s="1" t="str">
        <f t="shared" si="23"/>
        <v>No Cumple</v>
      </c>
      <c r="N115" s="5">
        <f t="shared" si="24"/>
        <v>0</v>
      </c>
      <c r="O115" s="5">
        <f t="shared" si="32"/>
        <v>50000</v>
      </c>
      <c r="P115" s="4">
        <v>0.95</v>
      </c>
      <c r="Q115" s="5" t="str">
        <f t="shared" si="25"/>
        <v>Cumple</v>
      </c>
      <c r="R115" s="5">
        <f t="shared" si="26"/>
        <v>47500</v>
      </c>
      <c r="S115" s="5">
        <f t="shared" si="33"/>
        <v>50000</v>
      </c>
      <c r="T115" s="4">
        <f>+VLOOKUP(C115,Indicadores!B:V,21,FALSE)</f>
        <v>0.97670000000000001</v>
      </c>
      <c r="U115" s="35" t="str">
        <f t="shared" si="27"/>
        <v>No Cumple</v>
      </c>
      <c r="V115" s="2">
        <f t="shared" si="28"/>
        <v>0</v>
      </c>
      <c r="W115" s="5" t="str">
        <f t="shared" si="29"/>
        <v>SI</v>
      </c>
      <c r="X115" s="5">
        <f t="shared" si="30"/>
        <v>47500</v>
      </c>
      <c r="Y115" s="1"/>
    </row>
    <row r="116" spans="2:25" hidden="1" x14ac:dyDescent="0.25">
      <c r="B116" s="1" t="s">
        <v>239</v>
      </c>
      <c r="C116" s="1" t="s">
        <v>121</v>
      </c>
      <c r="D116" s="1" t="s">
        <v>243</v>
      </c>
      <c r="E116" s="1" t="s">
        <v>343</v>
      </c>
      <c r="F116" s="2">
        <f t="shared" si="20"/>
        <v>250000</v>
      </c>
      <c r="G116" s="4">
        <f>+VLOOKUP(C116,Indicadores!B:C,2,FALSE)</f>
        <v>0.81439090909090905</v>
      </c>
      <c r="H116" s="1" t="str">
        <f t="shared" si="21"/>
        <v>Cumple</v>
      </c>
      <c r="I116" s="4">
        <f>+VLOOKUP(C116,Indicadores!B:F,5,FALSE)</f>
        <v>0.83333333333333337</v>
      </c>
      <c r="J116" s="1" t="str">
        <f t="shared" si="22"/>
        <v>Cumple</v>
      </c>
      <c r="K116" s="9">
        <f t="shared" si="31"/>
        <v>150000</v>
      </c>
      <c r="L116" s="4">
        <f>+VLOOKUP(C116,Indicadores!B:P,15,FALSE)</f>
        <v>0.41310000000000002</v>
      </c>
      <c r="M116" s="1" t="str">
        <f t="shared" si="23"/>
        <v>No Cumple</v>
      </c>
      <c r="N116" s="5">
        <f t="shared" si="24"/>
        <v>0</v>
      </c>
      <c r="O116" s="5">
        <f t="shared" si="32"/>
        <v>50000</v>
      </c>
      <c r="P116" s="4">
        <v>0.95</v>
      </c>
      <c r="Q116" s="5" t="str">
        <f t="shared" si="25"/>
        <v>Cumple</v>
      </c>
      <c r="R116" s="5">
        <f t="shared" si="26"/>
        <v>47500</v>
      </c>
      <c r="S116" s="5">
        <f t="shared" si="33"/>
        <v>50000</v>
      </c>
      <c r="T116" s="4">
        <f>+VLOOKUP(C116,Indicadores!B:V,21,FALSE)</f>
        <v>0.5</v>
      </c>
      <c r="U116" s="35" t="str">
        <f t="shared" si="27"/>
        <v>No Cumple</v>
      </c>
      <c r="V116" s="2">
        <f t="shared" si="28"/>
        <v>0</v>
      </c>
      <c r="W116" s="5" t="str">
        <f t="shared" si="29"/>
        <v>SI</v>
      </c>
      <c r="X116" s="5">
        <f t="shared" si="30"/>
        <v>47500</v>
      </c>
      <c r="Y116" s="1"/>
    </row>
    <row r="117" spans="2:25" hidden="1" x14ac:dyDescent="0.25">
      <c r="B117" s="1" t="s">
        <v>239</v>
      </c>
      <c r="C117" s="1" t="s">
        <v>122</v>
      </c>
      <c r="D117" s="1" t="s">
        <v>243</v>
      </c>
      <c r="E117" s="1" t="s">
        <v>343</v>
      </c>
      <c r="F117" s="2">
        <f t="shared" si="20"/>
        <v>250000</v>
      </c>
      <c r="G117" s="4">
        <f>+VLOOKUP(C117,Indicadores!B:C,2,FALSE)</f>
        <v>0.81191818181818176</v>
      </c>
      <c r="H117" s="1" t="str">
        <f t="shared" si="21"/>
        <v>Cumple</v>
      </c>
      <c r="I117" s="4">
        <f>+VLOOKUP(C117,Indicadores!B:F,5,FALSE)</f>
        <v>1</v>
      </c>
      <c r="J117" s="1" t="str">
        <f t="shared" si="22"/>
        <v>Cumple</v>
      </c>
      <c r="K117" s="9">
        <f t="shared" si="31"/>
        <v>150000</v>
      </c>
      <c r="L117" s="4">
        <f>+VLOOKUP(C117,Indicadores!B:P,15,FALSE)</f>
        <v>0.46429999999999999</v>
      </c>
      <c r="M117" s="1" t="str">
        <f t="shared" si="23"/>
        <v>No Cumple</v>
      </c>
      <c r="N117" s="5">
        <f t="shared" si="24"/>
        <v>0</v>
      </c>
      <c r="O117" s="5">
        <f t="shared" si="32"/>
        <v>50000</v>
      </c>
      <c r="P117" s="4">
        <v>0.95</v>
      </c>
      <c r="Q117" s="5" t="str">
        <f t="shared" si="25"/>
        <v>Cumple</v>
      </c>
      <c r="R117" s="5">
        <f t="shared" si="26"/>
        <v>47500</v>
      </c>
      <c r="S117" s="5">
        <f t="shared" si="33"/>
        <v>50000</v>
      </c>
      <c r="T117" s="4">
        <f>+VLOOKUP(C117,Indicadores!B:V,21,FALSE)</f>
        <v>1</v>
      </c>
      <c r="U117" s="35" t="str">
        <f t="shared" si="27"/>
        <v>Cumple</v>
      </c>
      <c r="V117" s="2">
        <f t="shared" si="28"/>
        <v>50000</v>
      </c>
      <c r="W117" s="5" t="str">
        <f t="shared" si="29"/>
        <v>SI</v>
      </c>
      <c r="X117" s="5">
        <f t="shared" si="30"/>
        <v>97500</v>
      </c>
      <c r="Y117" s="1"/>
    </row>
    <row r="118" spans="2:25" hidden="1" x14ac:dyDescent="0.25">
      <c r="B118" s="1" t="s">
        <v>239</v>
      </c>
      <c r="C118" s="1" t="s">
        <v>123</v>
      </c>
      <c r="D118" s="1" t="s">
        <v>243</v>
      </c>
      <c r="E118" s="1" t="s">
        <v>343</v>
      </c>
      <c r="F118" s="2">
        <f t="shared" si="20"/>
        <v>250000</v>
      </c>
      <c r="G118" s="4">
        <f>+VLOOKUP(C118,Indicadores!B:C,2,FALSE)</f>
        <v>0.75828181818181806</v>
      </c>
      <c r="H118" s="1" t="str">
        <f t="shared" si="21"/>
        <v>Cumple</v>
      </c>
      <c r="I118" s="4">
        <f>+VLOOKUP(C118,Indicadores!B:F,5,FALSE)</f>
        <v>1</v>
      </c>
      <c r="J118" s="1" t="str">
        <f t="shared" si="22"/>
        <v>Cumple</v>
      </c>
      <c r="K118" s="9">
        <f t="shared" si="31"/>
        <v>150000</v>
      </c>
      <c r="L118" s="4">
        <f>+VLOOKUP(C118,Indicadores!B:P,15,FALSE)</f>
        <v>0.3358666666666667</v>
      </c>
      <c r="M118" s="1" t="str">
        <f t="shared" si="23"/>
        <v>No Cumple</v>
      </c>
      <c r="N118" s="5">
        <f t="shared" si="24"/>
        <v>0</v>
      </c>
      <c r="O118" s="5">
        <f t="shared" si="32"/>
        <v>50000</v>
      </c>
      <c r="P118" s="4">
        <v>0.95</v>
      </c>
      <c r="Q118" s="5" t="str">
        <f t="shared" si="25"/>
        <v>Cumple</v>
      </c>
      <c r="R118" s="5">
        <f t="shared" si="26"/>
        <v>47500</v>
      </c>
      <c r="S118" s="5">
        <f t="shared" si="33"/>
        <v>50000</v>
      </c>
      <c r="T118" s="4">
        <f>+VLOOKUP(C118,Indicadores!B:V,21,FALSE)</f>
        <v>0.97729999999999995</v>
      </c>
      <c r="U118" s="35" t="str">
        <f t="shared" si="27"/>
        <v>No Cumple</v>
      </c>
      <c r="V118" s="2">
        <f t="shared" si="28"/>
        <v>0</v>
      </c>
      <c r="W118" s="5" t="str">
        <f t="shared" si="29"/>
        <v>SI</v>
      </c>
      <c r="X118" s="5">
        <f t="shared" si="30"/>
        <v>47500</v>
      </c>
      <c r="Y118" s="1"/>
    </row>
    <row r="119" spans="2:25" x14ac:dyDescent="0.25">
      <c r="B119" s="1" t="s">
        <v>233</v>
      </c>
      <c r="C119" s="1" t="s">
        <v>124</v>
      </c>
      <c r="D119" s="1" t="s">
        <v>241</v>
      </c>
      <c r="E119" s="1" t="s">
        <v>338</v>
      </c>
      <c r="F119" s="2">
        <f t="shared" si="20"/>
        <v>250000</v>
      </c>
      <c r="G119" s="4">
        <f>+VLOOKUP(C119,Indicadores!B:C,2,FALSE)</f>
        <v>0.77711818181818171</v>
      </c>
      <c r="H119" s="1" t="str">
        <f t="shared" si="21"/>
        <v>Cumple</v>
      </c>
      <c r="I119" s="4">
        <f>+VLOOKUP(C119,Indicadores!B:F,5,FALSE)</f>
        <v>1</v>
      </c>
      <c r="J119" s="1" t="str">
        <f t="shared" si="22"/>
        <v>Cumple</v>
      </c>
      <c r="K119" s="9">
        <f t="shared" si="31"/>
        <v>150000</v>
      </c>
      <c r="L119" s="4">
        <f>+VLOOKUP(C119,Indicadores!B:P,15,FALSE)</f>
        <v>0.59856666666666669</v>
      </c>
      <c r="M119" s="1" t="str">
        <f t="shared" si="23"/>
        <v>No Cumple</v>
      </c>
      <c r="N119" s="5">
        <f t="shared" si="24"/>
        <v>0</v>
      </c>
      <c r="O119" s="5">
        <f t="shared" si="32"/>
        <v>50000</v>
      </c>
      <c r="P119" s="4">
        <v>0.95</v>
      </c>
      <c r="Q119" s="5" t="str">
        <f t="shared" si="25"/>
        <v>Cumple</v>
      </c>
      <c r="R119" s="5">
        <f t="shared" si="26"/>
        <v>47500</v>
      </c>
      <c r="S119" s="5">
        <f t="shared" si="33"/>
        <v>50000</v>
      </c>
      <c r="T119" s="4">
        <f>+VLOOKUP(C119,Indicadores!B:V,21,FALSE)</f>
        <v>0.5</v>
      </c>
      <c r="U119" s="35" t="str">
        <f t="shared" si="27"/>
        <v>No Cumple</v>
      </c>
      <c r="V119" s="2">
        <f t="shared" si="28"/>
        <v>0</v>
      </c>
      <c r="W119" s="5" t="str">
        <f t="shared" si="29"/>
        <v>SI</v>
      </c>
      <c r="X119" s="5">
        <f t="shared" si="30"/>
        <v>47500</v>
      </c>
      <c r="Y119" s="1"/>
    </row>
    <row r="120" spans="2:25" x14ac:dyDescent="0.25">
      <c r="B120" s="1" t="s">
        <v>233</v>
      </c>
      <c r="C120" s="1" t="s">
        <v>125</v>
      </c>
      <c r="D120" s="1" t="s">
        <v>241</v>
      </c>
      <c r="E120" s="1" t="s">
        <v>338</v>
      </c>
      <c r="F120" s="2">
        <f t="shared" si="20"/>
        <v>250000</v>
      </c>
      <c r="G120" s="4">
        <f>+VLOOKUP(C120,Indicadores!B:C,2,FALSE)</f>
        <v>0.82110909090909101</v>
      </c>
      <c r="H120" s="1" t="str">
        <f t="shared" si="21"/>
        <v>Cumple</v>
      </c>
      <c r="I120" s="4">
        <f>+VLOOKUP(C120,Indicadores!B:F,5,FALSE)</f>
        <v>1</v>
      </c>
      <c r="J120" s="1" t="str">
        <f t="shared" si="22"/>
        <v>Cumple</v>
      </c>
      <c r="K120" s="9">
        <f t="shared" si="31"/>
        <v>150000</v>
      </c>
      <c r="L120" s="4">
        <f>+VLOOKUP(C120,Indicadores!B:P,15,FALSE)</f>
        <v>0.7161333333333334</v>
      </c>
      <c r="M120" s="1" t="str">
        <f t="shared" si="23"/>
        <v>No Cumple</v>
      </c>
      <c r="N120" s="5">
        <f t="shared" si="24"/>
        <v>0</v>
      </c>
      <c r="O120" s="5">
        <f t="shared" si="32"/>
        <v>50000</v>
      </c>
      <c r="P120" s="4">
        <v>0.95</v>
      </c>
      <c r="Q120" s="5" t="str">
        <f t="shared" si="25"/>
        <v>Cumple</v>
      </c>
      <c r="R120" s="5">
        <f t="shared" si="26"/>
        <v>47500</v>
      </c>
      <c r="S120" s="5">
        <f t="shared" si="33"/>
        <v>50000</v>
      </c>
      <c r="T120" s="4">
        <f>+VLOOKUP(C120,Indicadores!B:V,21,FALSE)</f>
        <v>0.5</v>
      </c>
      <c r="U120" s="35" t="str">
        <f t="shared" si="27"/>
        <v>No Cumple</v>
      </c>
      <c r="V120" s="2">
        <f t="shared" si="28"/>
        <v>0</v>
      </c>
      <c r="W120" s="5" t="str">
        <f t="shared" si="29"/>
        <v>SI</v>
      </c>
      <c r="X120" s="5">
        <f t="shared" si="30"/>
        <v>47500</v>
      </c>
      <c r="Y120" s="1"/>
    </row>
    <row r="121" spans="2:25" x14ac:dyDescent="0.25">
      <c r="B121" s="1" t="s">
        <v>233</v>
      </c>
      <c r="C121" s="1" t="s">
        <v>126</v>
      </c>
      <c r="D121" s="1" t="s">
        <v>241</v>
      </c>
      <c r="E121" s="1" t="s">
        <v>338</v>
      </c>
      <c r="F121" s="2">
        <f t="shared" si="20"/>
        <v>250000</v>
      </c>
      <c r="G121" s="4">
        <f>+VLOOKUP(C121,Indicadores!B:C,2,FALSE)</f>
        <v>0.7461363636363636</v>
      </c>
      <c r="H121" s="1" t="str">
        <f t="shared" si="21"/>
        <v>Cumple</v>
      </c>
      <c r="I121" s="4">
        <f>+VLOOKUP(C121,Indicadores!B:F,5,FALSE)</f>
        <v>1</v>
      </c>
      <c r="J121" s="1" t="str">
        <f t="shared" si="22"/>
        <v>Cumple</v>
      </c>
      <c r="K121" s="9">
        <f t="shared" si="31"/>
        <v>150000</v>
      </c>
      <c r="L121" s="4">
        <f>+VLOOKUP(C121,Indicadores!B:P,15,FALSE)</f>
        <v>0.68493333333333328</v>
      </c>
      <c r="M121" s="1" t="str">
        <f t="shared" si="23"/>
        <v>No Cumple</v>
      </c>
      <c r="N121" s="5">
        <f t="shared" si="24"/>
        <v>0</v>
      </c>
      <c r="O121" s="5">
        <f t="shared" si="32"/>
        <v>50000</v>
      </c>
      <c r="P121" s="4">
        <v>0.95</v>
      </c>
      <c r="Q121" s="5" t="str">
        <f t="shared" si="25"/>
        <v>Cumple</v>
      </c>
      <c r="R121" s="5">
        <f t="shared" si="26"/>
        <v>47500</v>
      </c>
      <c r="S121" s="5">
        <f t="shared" si="33"/>
        <v>50000</v>
      </c>
      <c r="T121" s="4">
        <f>+VLOOKUP(C121,Indicadores!B:V,21,FALSE)</f>
        <v>0.93504999999999994</v>
      </c>
      <c r="U121" s="35" t="str">
        <f t="shared" si="27"/>
        <v>No Cumple</v>
      </c>
      <c r="V121" s="2">
        <f t="shared" si="28"/>
        <v>45000</v>
      </c>
      <c r="W121" s="5" t="str">
        <f t="shared" si="29"/>
        <v>SI</v>
      </c>
      <c r="X121" s="5">
        <f t="shared" si="30"/>
        <v>92500</v>
      </c>
      <c r="Y121" s="1"/>
    </row>
    <row r="122" spans="2:25" hidden="1" x14ac:dyDescent="0.25">
      <c r="B122" s="1" t="s">
        <v>233</v>
      </c>
      <c r="C122" s="1" t="s">
        <v>127</v>
      </c>
      <c r="D122" s="1" t="s">
        <v>241</v>
      </c>
      <c r="E122" s="1" t="s">
        <v>338</v>
      </c>
      <c r="F122" s="2">
        <f t="shared" si="20"/>
        <v>250000</v>
      </c>
      <c r="G122" s="4">
        <f>+VLOOKUP(C122,Indicadores!B:C,2,FALSE)</f>
        <v>0.80471818181818189</v>
      </c>
      <c r="H122" s="1" t="str">
        <f t="shared" si="21"/>
        <v>Cumple</v>
      </c>
      <c r="I122" s="4">
        <f>+VLOOKUP(C122,Indicadores!B:F,5,FALSE)</f>
        <v>1</v>
      </c>
      <c r="J122" s="1" t="str">
        <f t="shared" si="22"/>
        <v>Cumple</v>
      </c>
      <c r="K122" s="9">
        <f t="shared" si="31"/>
        <v>150000</v>
      </c>
      <c r="L122" s="4">
        <f>+VLOOKUP(C122,Indicadores!B:P,15,FALSE)</f>
        <v>0.35803333333333337</v>
      </c>
      <c r="M122" s="1" t="str">
        <f t="shared" si="23"/>
        <v>No Cumple</v>
      </c>
      <c r="N122" s="5">
        <f t="shared" si="24"/>
        <v>0</v>
      </c>
      <c r="O122" s="5">
        <f t="shared" si="32"/>
        <v>50000</v>
      </c>
      <c r="P122" s="4">
        <v>0.95</v>
      </c>
      <c r="Q122" s="5" t="str">
        <f t="shared" si="25"/>
        <v>Cumple</v>
      </c>
      <c r="R122" s="5">
        <f t="shared" si="26"/>
        <v>47500</v>
      </c>
      <c r="S122" s="5">
        <f t="shared" si="33"/>
        <v>50000</v>
      </c>
      <c r="T122" s="4">
        <f>+VLOOKUP(C122,Indicadores!B:V,21,FALSE)</f>
        <v>1</v>
      </c>
      <c r="U122" s="35" t="str">
        <f t="shared" si="27"/>
        <v>Cumple</v>
      </c>
      <c r="V122" s="2">
        <f t="shared" si="28"/>
        <v>50000</v>
      </c>
      <c r="W122" s="5" t="str">
        <f t="shared" si="29"/>
        <v>SI</v>
      </c>
      <c r="X122" s="5">
        <f t="shared" si="30"/>
        <v>97500</v>
      </c>
      <c r="Y122" s="1"/>
    </row>
    <row r="123" spans="2:25" x14ac:dyDescent="0.25">
      <c r="B123" s="1" t="s">
        <v>233</v>
      </c>
      <c r="C123" s="1" t="s">
        <v>128</v>
      </c>
      <c r="D123" s="1" t="s">
        <v>241</v>
      </c>
      <c r="E123" s="1" t="s">
        <v>338</v>
      </c>
      <c r="F123" s="2">
        <f t="shared" si="20"/>
        <v>250000</v>
      </c>
      <c r="G123" s="4">
        <f>+VLOOKUP(C123,Indicadores!B:C,2,FALSE)</f>
        <v>0.8561727272727272</v>
      </c>
      <c r="H123" s="1" t="str">
        <f t="shared" si="21"/>
        <v>Cumple</v>
      </c>
      <c r="I123" s="4">
        <f>+VLOOKUP(C123,Indicadores!B:F,5,FALSE)</f>
        <v>1</v>
      </c>
      <c r="J123" s="1" t="str">
        <f t="shared" si="22"/>
        <v>Cumple</v>
      </c>
      <c r="K123" s="9">
        <f t="shared" si="31"/>
        <v>150000</v>
      </c>
      <c r="L123" s="4">
        <f>+VLOOKUP(C123,Indicadores!B:P,15,FALSE)</f>
        <v>0.65063333333333329</v>
      </c>
      <c r="M123" s="1" t="str">
        <f t="shared" si="23"/>
        <v>No Cumple</v>
      </c>
      <c r="N123" s="5">
        <f t="shared" si="24"/>
        <v>0</v>
      </c>
      <c r="O123" s="5">
        <f t="shared" si="32"/>
        <v>50000</v>
      </c>
      <c r="P123" s="4">
        <v>0.95</v>
      </c>
      <c r="Q123" s="5" t="str">
        <f t="shared" si="25"/>
        <v>Cumple</v>
      </c>
      <c r="R123" s="5">
        <f t="shared" si="26"/>
        <v>47500</v>
      </c>
      <c r="S123" s="5">
        <f t="shared" si="33"/>
        <v>50000</v>
      </c>
      <c r="T123" s="4">
        <f>+VLOOKUP(C123,Indicadores!B:V,21,FALSE)</f>
        <v>1</v>
      </c>
      <c r="U123" s="35" t="str">
        <f t="shared" si="27"/>
        <v>Cumple</v>
      </c>
      <c r="V123" s="2">
        <f t="shared" si="28"/>
        <v>50000</v>
      </c>
      <c r="W123" s="5" t="str">
        <f t="shared" si="29"/>
        <v>SI</v>
      </c>
      <c r="X123" s="5">
        <f t="shared" si="30"/>
        <v>97500</v>
      </c>
      <c r="Y123" s="1"/>
    </row>
    <row r="124" spans="2:25" hidden="1" x14ac:dyDescent="0.25">
      <c r="B124" s="1" t="s">
        <v>233</v>
      </c>
      <c r="C124" s="1" t="s">
        <v>129</v>
      </c>
      <c r="D124" s="1" t="s">
        <v>241</v>
      </c>
      <c r="E124" s="1" t="s">
        <v>338</v>
      </c>
      <c r="F124" s="2">
        <f t="shared" si="20"/>
        <v>250000</v>
      </c>
      <c r="G124" s="4">
        <f>+VLOOKUP(C124,Indicadores!B:C,2,FALSE)</f>
        <v>0.75589090909090906</v>
      </c>
      <c r="H124" s="1" t="str">
        <f t="shared" si="21"/>
        <v>Cumple</v>
      </c>
      <c r="I124" s="4">
        <f>+VLOOKUP(C124,Indicadores!B:F,5,FALSE)</f>
        <v>1</v>
      </c>
      <c r="J124" s="1" t="str">
        <f t="shared" si="22"/>
        <v>Cumple</v>
      </c>
      <c r="K124" s="9">
        <f t="shared" si="31"/>
        <v>150000</v>
      </c>
      <c r="L124" s="4">
        <f>+VLOOKUP(C124,Indicadores!B:P,15,FALSE)</f>
        <v>0.49806666666666666</v>
      </c>
      <c r="M124" s="1" t="str">
        <f t="shared" si="23"/>
        <v>No Cumple</v>
      </c>
      <c r="N124" s="5">
        <f t="shared" si="24"/>
        <v>0</v>
      </c>
      <c r="O124" s="5">
        <f t="shared" si="32"/>
        <v>50000</v>
      </c>
      <c r="P124" s="4">
        <v>0.95</v>
      </c>
      <c r="Q124" s="5" t="str">
        <f t="shared" si="25"/>
        <v>Cumple</v>
      </c>
      <c r="R124" s="5">
        <f t="shared" si="26"/>
        <v>47500</v>
      </c>
      <c r="S124" s="5">
        <f t="shared" si="33"/>
        <v>50000</v>
      </c>
      <c r="T124" s="4">
        <f>+VLOOKUP(C124,Indicadores!B:V,21,FALSE)</f>
        <v>0.98609999999999998</v>
      </c>
      <c r="U124" s="35" t="str">
        <f t="shared" si="27"/>
        <v>No Cumple</v>
      </c>
      <c r="V124" s="2">
        <f t="shared" si="28"/>
        <v>0</v>
      </c>
      <c r="W124" s="5" t="str">
        <f t="shared" si="29"/>
        <v>SI</v>
      </c>
      <c r="X124" s="5">
        <f t="shared" si="30"/>
        <v>47500</v>
      </c>
      <c r="Y124" s="1"/>
    </row>
    <row r="125" spans="2:25" x14ac:dyDescent="0.25">
      <c r="B125" s="1" t="s">
        <v>233</v>
      </c>
      <c r="C125" s="1" t="s">
        <v>130</v>
      </c>
      <c r="D125" s="1" t="s">
        <v>241</v>
      </c>
      <c r="E125" s="1" t="s">
        <v>338</v>
      </c>
      <c r="F125" s="2">
        <f t="shared" si="20"/>
        <v>250000</v>
      </c>
      <c r="G125" s="4">
        <f>+VLOOKUP(C125,Indicadores!B:C,2,FALSE)</f>
        <v>0.75394545454545459</v>
      </c>
      <c r="H125" s="1" t="str">
        <f t="shared" si="21"/>
        <v>Cumple</v>
      </c>
      <c r="I125" s="4">
        <f>+VLOOKUP(C125,Indicadores!B:F,5,FALSE)</f>
        <v>1</v>
      </c>
      <c r="J125" s="1" t="str">
        <f t="shared" si="22"/>
        <v>Cumple</v>
      </c>
      <c r="K125" s="9">
        <f t="shared" si="31"/>
        <v>150000</v>
      </c>
      <c r="L125" s="4">
        <f>+VLOOKUP(C125,Indicadores!B:P,15,FALSE)</f>
        <v>0.63406666666666667</v>
      </c>
      <c r="M125" s="1" t="str">
        <f t="shared" si="23"/>
        <v>No Cumple</v>
      </c>
      <c r="N125" s="5">
        <f t="shared" si="24"/>
        <v>0</v>
      </c>
      <c r="O125" s="5">
        <f t="shared" si="32"/>
        <v>50000</v>
      </c>
      <c r="P125" s="4">
        <v>0.95</v>
      </c>
      <c r="Q125" s="5" t="str">
        <f t="shared" si="25"/>
        <v>Cumple</v>
      </c>
      <c r="R125" s="5">
        <f t="shared" si="26"/>
        <v>47500</v>
      </c>
      <c r="S125" s="5">
        <f t="shared" si="33"/>
        <v>50000</v>
      </c>
      <c r="T125" s="4">
        <f>+VLOOKUP(C125,Indicadores!B:V,21,FALSE)</f>
        <v>0.99334999999999996</v>
      </c>
      <c r="U125" s="35" t="str">
        <f t="shared" si="27"/>
        <v>No Cumple</v>
      </c>
      <c r="V125" s="2">
        <f t="shared" si="28"/>
        <v>0</v>
      </c>
      <c r="W125" s="5" t="str">
        <f t="shared" si="29"/>
        <v>SI</v>
      </c>
      <c r="X125" s="5">
        <f t="shared" si="30"/>
        <v>47500</v>
      </c>
      <c r="Y125" s="1"/>
    </row>
    <row r="126" spans="2:25" hidden="1" x14ac:dyDescent="0.25">
      <c r="B126" s="1" t="s">
        <v>233</v>
      </c>
      <c r="C126" s="1" t="s">
        <v>131</v>
      </c>
      <c r="D126" s="1" t="s">
        <v>241</v>
      </c>
      <c r="E126" s="1" t="s">
        <v>338</v>
      </c>
      <c r="F126" s="2">
        <f t="shared" si="20"/>
        <v>250000</v>
      </c>
      <c r="G126" s="4">
        <f>+VLOOKUP(C126,Indicadores!B:C,2,FALSE)</f>
        <v>0.77742727272727274</v>
      </c>
      <c r="H126" s="1" t="str">
        <f t="shared" si="21"/>
        <v>Cumple</v>
      </c>
      <c r="I126" s="4">
        <f>+VLOOKUP(C126,Indicadores!B:F,5,FALSE)</f>
        <v>1</v>
      </c>
      <c r="J126" s="1" t="str">
        <f t="shared" si="22"/>
        <v>Cumple</v>
      </c>
      <c r="K126" s="9">
        <f t="shared" si="31"/>
        <v>150000</v>
      </c>
      <c r="L126" s="4">
        <f>+VLOOKUP(C126,Indicadores!B:P,15,FALSE)</f>
        <v>0.46743333333333331</v>
      </c>
      <c r="M126" s="1" t="str">
        <f t="shared" si="23"/>
        <v>No Cumple</v>
      </c>
      <c r="N126" s="5">
        <f t="shared" si="24"/>
        <v>0</v>
      </c>
      <c r="O126" s="5">
        <f t="shared" si="32"/>
        <v>50000</v>
      </c>
      <c r="P126" s="4">
        <v>0.95</v>
      </c>
      <c r="Q126" s="5" t="str">
        <f t="shared" si="25"/>
        <v>Cumple</v>
      </c>
      <c r="R126" s="5">
        <f t="shared" si="26"/>
        <v>47500</v>
      </c>
      <c r="S126" s="5">
        <f t="shared" si="33"/>
        <v>50000</v>
      </c>
      <c r="T126" s="4">
        <f>+VLOOKUP(C126,Indicadores!B:V,21,FALSE)</f>
        <v>1</v>
      </c>
      <c r="U126" s="35" t="str">
        <f t="shared" si="27"/>
        <v>Cumple</v>
      </c>
      <c r="V126" s="2">
        <f t="shared" si="28"/>
        <v>50000</v>
      </c>
      <c r="W126" s="5" t="str">
        <f t="shared" si="29"/>
        <v>SI</v>
      </c>
      <c r="X126" s="5">
        <f t="shared" si="30"/>
        <v>97500</v>
      </c>
      <c r="Y126" s="1"/>
    </row>
    <row r="127" spans="2:25" hidden="1" x14ac:dyDescent="0.25">
      <c r="B127" s="1" t="s">
        <v>233</v>
      </c>
      <c r="C127" s="1" t="s">
        <v>132</v>
      </c>
      <c r="D127" s="1" t="s">
        <v>241</v>
      </c>
      <c r="E127" s="1" t="s">
        <v>338</v>
      </c>
      <c r="F127" s="2">
        <f t="shared" si="20"/>
        <v>250000</v>
      </c>
      <c r="G127" s="4">
        <f>+VLOOKUP(C127,Indicadores!B:C,2,FALSE)</f>
        <v>0.77994545454545472</v>
      </c>
      <c r="H127" s="1" t="str">
        <f t="shared" si="21"/>
        <v>Cumple</v>
      </c>
      <c r="I127" s="4">
        <f>+VLOOKUP(C127,Indicadores!B:F,5,FALSE)</f>
        <v>1</v>
      </c>
      <c r="J127" s="1" t="str">
        <f t="shared" si="22"/>
        <v>Cumple</v>
      </c>
      <c r="K127" s="9">
        <f t="shared" si="31"/>
        <v>150000</v>
      </c>
      <c r="L127" s="4">
        <f>+VLOOKUP(C127,Indicadores!B:P,15,FALSE)</f>
        <v>0.57589999999999997</v>
      </c>
      <c r="M127" s="1" t="str">
        <f t="shared" si="23"/>
        <v>No Cumple</v>
      </c>
      <c r="N127" s="5">
        <f t="shared" si="24"/>
        <v>0</v>
      </c>
      <c r="O127" s="5">
        <f t="shared" si="32"/>
        <v>50000</v>
      </c>
      <c r="P127" s="4">
        <v>0.95</v>
      </c>
      <c r="Q127" s="5" t="str">
        <f t="shared" si="25"/>
        <v>Cumple</v>
      </c>
      <c r="R127" s="5">
        <f t="shared" si="26"/>
        <v>47500</v>
      </c>
      <c r="S127" s="5">
        <f t="shared" si="33"/>
        <v>50000</v>
      </c>
      <c r="T127" s="4">
        <f>+VLOOKUP(C127,Indicadores!B:V,21,FALSE)</f>
        <v>1</v>
      </c>
      <c r="U127" s="35" t="str">
        <f t="shared" si="27"/>
        <v>Cumple</v>
      </c>
      <c r="V127" s="2">
        <f t="shared" si="28"/>
        <v>50000</v>
      </c>
      <c r="W127" s="5" t="str">
        <f t="shared" si="29"/>
        <v>SI</v>
      </c>
      <c r="X127" s="5">
        <f t="shared" si="30"/>
        <v>97500</v>
      </c>
      <c r="Y127" s="1"/>
    </row>
    <row r="128" spans="2:25" hidden="1" x14ac:dyDescent="0.25">
      <c r="B128" s="1" t="s">
        <v>233</v>
      </c>
      <c r="C128" s="1" t="s">
        <v>133</v>
      </c>
      <c r="D128" s="1" t="s">
        <v>241</v>
      </c>
      <c r="E128" s="1" t="s">
        <v>338</v>
      </c>
      <c r="F128" s="2">
        <f t="shared" si="20"/>
        <v>250000</v>
      </c>
      <c r="G128" s="4">
        <f>+VLOOKUP(C128,Indicadores!B:C,2,FALSE)</f>
        <v>0.80043636363636361</v>
      </c>
      <c r="H128" s="1" t="str">
        <f t="shared" si="21"/>
        <v>Cumple</v>
      </c>
      <c r="I128" s="4">
        <f>+VLOOKUP(C128,Indicadores!B:F,5,FALSE)</f>
        <v>1</v>
      </c>
      <c r="J128" s="1" t="str">
        <f t="shared" si="22"/>
        <v>Cumple</v>
      </c>
      <c r="K128" s="9">
        <f t="shared" si="31"/>
        <v>150000</v>
      </c>
      <c r="L128" s="4">
        <f>+VLOOKUP(C128,Indicadores!B:P,15,FALSE)</f>
        <v>0.53599999999999992</v>
      </c>
      <c r="M128" s="1" t="str">
        <f t="shared" si="23"/>
        <v>No Cumple</v>
      </c>
      <c r="N128" s="5">
        <f t="shared" si="24"/>
        <v>0</v>
      </c>
      <c r="O128" s="5">
        <f t="shared" si="32"/>
        <v>50000</v>
      </c>
      <c r="P128" s="4">
        <v>0.95</v>
      </c>
      <c r="Q128" s="5" t="str">
        <f t="shared" si="25"/>
        <v>Cumple</v>
      </c>
      <c r="R128" s="5">
        <f t="shared" si="26"/>
        <v>47500</v>
      </c>
      <c r="S128" s="5">
        <f t="shared" si="33"/>
        <v>50000</v>
      </c>
      <c r="T128" s="4">
        <f>+VLOOKUP(C128,Indicadores!B:V,21,FALSE)</f>
        <v>1</v>
      </c>
      <c r="U128" s="35" t="str">
        <f t="shared" si="27"/>
        <v>Cumple</v>
      </c>
      <c r="V128" s="2">
        <f t="shared" si="28"/>
        <v>50000</v>
      </c>
      <c r="W128" s="5" t="str">
        <f t="shared" si="29"/>
        <v>SI</v>
      </c>
      <c r="X128" s="5">
        <f t="shared" si="30"/>
        <v>97500</v>
      </c>
      <c r="Y128" s="1"/>
    </row>
    <row r="129" spans="2:25" hidden="1" x14ac:dyDescent="0.25">
      <c r="B129" s="1" t="s">
        <v>233</v>
      </c>
      <c r="C129" s="1" t="s">
        <v>134</v>
      </c>
      <c r="D129" s="1" t="s">
        <v>241</v>
      </c>
      <c r="E129" s="1" t="s">
        <v>338</v>
      </c>
      <c r="F129" s="2">
        <f t="shared" si="20"/>
        <v>250000</v>
      </c>
      <c r="G129" s="4">
        <f>+VLOOKUP(C129,Indicadores!B:C,2,FALSE)</f>
        <v>0.762709090909091</v>
      </c>
      <c r="H129" s="1" t="str">
        <f t="shared" si="21"/>
        <v>Cumple</v>
      </c>
      <c r="I129" s="4">
        <f>+VLOOKUP(C129,Indicadores!B:F,5,FALSE)</f>
        <v>1</v>
      </c>
      <c r="J129" s="1" t="str">
        <f t="shared" si="22"/>
        <v>Cumple</v>
      </c>
      <c r="K129" s="9">
        <f t="shared" si="31"/>
        <v>150000</v>
      </c>
      <c r="L129" s="4">
        <f>+VLOOKUP(C129,Indicadores!B:P,15,FALSE)</f>
        <v>0.51129999999999998</v>
      </c>
      <c r="M129" s="1" t="str">
        <f t="shared" si="23"/>
        <v>No Cumple</v>
      </c>
      <c r="N129" s="5">
        <f t="shared" si="24"/>
        <v>0</v>
      </c>
      <c r="O129" s="5">
        <f t="shared" si="32"/>
        <v>50000</v>
      </c>
      <c r="P129" s="4">
        <v>0.95</v>
      </c>
      <c r="Q129" s="5" t="str">
        <f t="shared" si="25"/>
        <v>Cumple</v>
      </c>
      <c r="R129" s="5">
        <f t="shared" si="26"/>
        <v>47500</v>
      </c>
      <c r="S129" s="5">
        <f t="shared" si="33"/>
        <v>50000</v>
      </c>
      <c r="T129" s="4">
        <f>+VLOOKUP(C129,Indicadores!B:V,21,FALSE)</f>
        <v>1</v>
      </c>
      <c r="U129" s="35" t="str">
        <f t="shared" si="27"/>
        <v>Cumple</v>
      </c>
      <c r="V129" s="2">
        <f t="shared" si="28"/>
        <v>50000</v>
      </c>
      <c r="W129" s="5" t="str">
        <f t="shared" si="29"/>
        <v>SI</v>
      </c>
      <c r="X129" s="5">
        <f t="shared" si="30"/>
        <v>97500</v>
      </c>
      <c r="Y129" s="1"/>
    </row>
    <row r="130" spans="2:25" hidden="1" x14ac:dyDescent="0.25">
      <c r="B130" s="1" t="s">
        <v>233</v>
      </c>
      <c r="C130" s="1" t="s">
        <v>135</v>
      </c>
      <c r="D130" s="1" t="s">
        <v>241</v>
      </c>
      <c r="E130" s="1" t="s">
        <v>338</v>
      </c>
      <c r="F130" s="2">
        <f t="shared" si="20"/>
        <v>250000</v>
      </c>
      <c r="G130" s="4">
        <f>+VLOOKUP(C130,Indicadores!B:C,2,FALSE)</f>
        <v>0.76290909090909098</v>
      </c>
      <c r="H130" s="1" t="str">
        <f t="shared" si="21"/>
        <v>Cumple</v>
      </c>
      <c r="I130" s="4">
        <f>+VLOOKUP(C130,Indicadores!B:F,5,FALSE)</f>
        <v>0.77777777777777779</v>
      </c>
      <c r="J130" s="1" t="str">
        <f t="shared" si="22"/>
        <v>Cumple</v>
      </c>
      <c r="K130" s="9">
        <f t="shared" si="31"/>
        <v>150000</v>
      </c>
      <c r="L130" s="4">
        <f>+VLOOKUP(C130,Indicadores!B:P,15,FALSE)</f>
        <v>0.42280000000000006</v>
      </c>
      <c r="M130" s="1" t="str">
        <f t="shared" si="23"/>
        <v>No Cumple</v>
      </c>
      <c r="N130" s="5">
        <f t="shared" si="24"/>
        <v>0</v>
      </c>
      <c r="O130" s="5">
        <f t="shared" si="32"/>
        <v>50000</v>
      </c>
      <c r="P130" s="4">
        <v>0.95</v>
      </c>
      <c r="Q130" s="5" t="str">
        <f t="shared" si="25"/>
        <v>Cumple</v>
      </c>
      <c r="R130" s="5">
        <f t="shared" si="26"/>
        <v>47500</v>
      </c>
      <c r="S130" s="5">
        <f t="shared" si="33"/>
        <v>50000</v>
      </c>
      <c r="T130" s="4">
        <f>+VLOOKUP(C130,Indicadores!B:V,21,FALSE)</f>
        <v>0.99324999999999997</v>
      </c>
      <c r="U130" s="35" t="str">
        <f t="shared" si="27"/>
        <v>No Cumple</v>
      </c>
      <c r="V130" s="2">
        <f t="shared" si="28"/>
        <v>0</v>
      </c>
      <c r="W130" s="5" t="str">
        <f t="shared" si="29"/>
        <v>SI</v>
      </c>
      <c r="X130" s="5">
        <f t="shared" si="30"/>
        <v>47500</v>
      </c>
      <c r="Y130" s="1"/>
    </row>
    <row r="131" spans="2:25" x14ac:dyDescent="0.25">
      <c r="B131" s="1" t="s">
        <v>233</v>
      </c>
      <c r="C131" s="1" t="s">
        <v>136</v>
      </c>
      <c r="D131" s="1" t="s">
        <v>241</v>
      </c>
      <c r="E131" s="1" t="s">
        <v>338</v>
      </c>
      <c r="F131" s="2">
        <f t="shared" si="20"/>
        <v>250000</v>
      </c>
      <c r="G131" s="4">
        <f>+VLOOKUP(C131,Indicadores!B:C,2,FALSE)</f>
        <v>0.85074545454545458</v>
      </c>
      <c r="H131" s="1" t="str">
        <f t="shared" si="21"/>
        <v>Cumple</v>
      </c>
      <c r="I131" s="4">
        <f>+VLOOKUP(C131,Indicadores!B:F,5,FALSE)</f>
        <v>1</v>
      </c>
      <c r="J131" s="1" t="str">
        <f t="shared" si="22"/>
        <v>Cumple</v>
      </c>
      <c r="K131" s="9">
        <f t="shared" si="31"/>
        <v>150000</v>
      </c>
      <c r="L131" s="4">
        <f>+VLOOKUP(C131,Indicadores!B:P,15,FALSE)</f>
        <v>0.74256666666666671</v>
      </c>
      <c r="M131" s="1" t="str">
        <f t="shared" si="23"/>
        <v>No Cumple</v>
      </c>
      <c r="N131" s="5">
        <f t="shared" si="24"/>
        <v>0</v>
      </c>
      <c r="O131" s="5">
        <f t="shared" si="32"/>
        <v>50000</v>
      </c>
      <c r="P131" s="4">
        <v>0.95</v>
      </c>
      <c r="Q131" s="5" t="str">
        <f t="shared" si="25"/>
        <v>Cumple</v>
      </c>
      <c r="R131" s="5">
        <f t="shared" si="26"/>
        <v>47500</v>
      </c>
      <c r="S131" s="5">
        <f t="shared" si="33"/>
        <v>50000</v>
      </c>
      <c r="T131" s="4">
        <f>+VLOOKUP(C131,Indicadores!B:V,21,FALSE)</f>
        <v>1</v>
      </c>
      <c r="U131" s="35" t="str">
        <f t="shared" si="27"/>
        <v>Cumple</v>
      </c>
      <c r="V131" s="2">
        <f t="shared" si="28"/>
        <v>50000</v>
      </c>
      <c r="W131" s="5" t="str">
        <f t="shared" si="29"/>
        <v>SI</v>
      </c>
      <c r="X131" s="5">
        <f t="shared" si="30"/>
        <v>97500</v>
      </c>
      <c r="Y131" s="8"/>
    </row>
    <row r="132" spans="2:25" hidden="1" x14ac:dyDescent="0.25">
      <c r="B132" s="1" t="s">
        <v>233</v>
      </c>
      <c r="C132" s="1" t="s">
        <v>137</v>
      </c>
      <c r="D132" s="1" t="s">
        <v>241</v>
      </c>
      <c r="E132" s="1" t="s">
        <v>338</v>
      </c>
      <c r="F132" s="2">
        <f t="shared" si="20"/>
        <v>250000</v>
      </c>
      <c r="G132" s="4">
        <f>+VLOOKUP(C132,Indicadores!B:C,2,FALSE)</f>
        <v>0.80537272727272724</v>
      </c>
      <c r="H132" s="1" t="str">
        <f t="shared" si="21"/>
        <v>Cumple</v>
      </c>
      <c r="I132" s="4">
        <f>+VLOOKUP(C132,Indicadores!B:F,5,FALSE)</f>
        <v>1</v>
      </c>
      <c r="J132" s="1" t="str">
        <f t="shared" si="22"/>
        <v>Cumple</v>
      </c>
      <c r="K132" s="9">
        <f t="shared" si="31"/>
        <v>150000</v>
      </c>
      <c r="L132" s="4">
        <f>+VLOOKUP(C132,Indicadores!B:P,15,FALSE)</f>
        <v>0.58450000000000002</v>
      </c>
      <c r="M132" s="1" t="str">
        <f t="shared" si="23"/>
        <v>No Cumple</v>
      </c>
      <c r="N132" s="5">
        <f t="shared" si="24"/>
        <v>0</v>
      </c>
      <c r="O132" s="5">
        <f t="shared" si="32"/>
        <v>50000</v>
      </c>
      <c r="P132" s="4">
        <v>0.95</v>
      </c>
      <c r="Q132" s="5" t="str">
        <f t="shared" si="25"/>
        <v>Cumple</v>
      </c>
      <c r="R132" s="5">
        <f t="shared" si="26"/>
        <v>47500</v>
      </c>
      <c r="S132" s="5">
        <f t="shared" si="33"/>
        <v>50000</v>
      </c>
      <c r="T132" s="4">
        <f>+VLOOKUP(C132,Indicadores!B:V,21,FALSE)</f>
        <v>1</v>
      </c>
      <c r="U132" s="35" t="str">
        <f t="shared" si="27"/>
        <v>Cumple</v>
      </c>
      <c r="V132" s="2">
        <f t="shared" si="28"/>
        <v>50000</v>
      </c>
      <c r="W132" s="5" t="str">
        <f t="shared" si="29"/>
        <v>SI</v>
      </c>
      <c r="X132" s="5">
        <f t="shared" si="30"/>
        <v>97500</v>
      </c>
      <c r="Y132" s="1"/>
    </row>
    <row r="133" spans="2:25" hidden="1" x14ac:dyDescent="0.25">
      <c r="B133" s="1" t="s">
        <v>233</v>
      </c>
      <c r="C133" s="1" t="s">
        <v>138</v>
      </c>
      <c r="D133" s="1" t="s">
        <v>241</v>
      </c>
      <c r="E133" s="1" t="s">
        <v>338</v>
      </c>
      <c r="F133" s="2">
        <f t="shared" si="20"/>
        <v>250000</v>
      </c>
      <c r="G133" s="4">
        <f>+VLOOKUP(C133,Indicadores!B:C,2,FALSE)</f>
        <v>0.91861818181818178</v>
      </c>
      <c r="H133" s="1" t="str">
        <f t="shared" si="21"/>
        <v>Cumple</v>
      </c>
      <c r="I133" s="4">
        <v>0.95</v>
      </c>
      <c r="J133" s="1" t="str">
        <f t="shared" si="22"/>
        <v>Cumple</v>
      </c>
      <c r="K133" s="9">
        <f t="shared" si="31"/>
        <v>150000</v>
      </c>
      <c r="L133" s="4">
        <f>+VLOOKUP(C133,Indicadores!B:P,15,FALSE)</f>
        <v>0.9345</v>
      </c>
      <c r="M133" s="1" t="str">
        <f t="shared" si="23"/>
        <v>Cumple</v>
      </c>
      <c r="N133" s="5">
        <f t="shared" si="24"/>
        <v>135000</v>
      </c>
      <c r="O133" s="5">
        <f t="shared" si="32"/>
        <v>50000</v>
      </c>
      <c r="P133" s="4">
        <v>0.95</v>
      </c>
      <c r="Q133" s="5" t="str">
        <f t="shared" si="25"/>
        <v>Cumple</v>
      </c>
      <c r="R133" s="5">
        <f t="shared" si="26"/>
        <v>47500</v>
      </c>
      <c r="S133" s="5">
        <f t="shared" si="33"/>
        <v>50000</v>
      </c>
      <c r="T133" s="4">
        <f>+VLOOKUP(C133,Indicadores!B:V,21,FALSE)</f>
        <v>1</v>
      </c>
      <c r="U133" s="35" t="str">
        <f t="shared" si="27"/>
        <v>Cumple</v>
      </c>
      <c r="V133" s="2">
        <f t="shared" si="28"/>
        <v>50000</v>
      </c>
      <c r="W133" s="5" t="str">
        <f t="shared" si="29"/>
        <v>SI</v>
      </c>
      <c r="X133" s="5">
        <f t="shared" si="30"/>
        <v>232500</v>
      </c>
      <c r="Y133" s="1"/>
    </row>
    <row r="134" spans="2:25" hidden="1" x14ac:dyDescent="0.25">
      <c r="B134" s="1" t="s">
        <v>233</v>
      </c>
      <c r="C134" s="1" t="s">
        <v>139</v>
      </c>
      <c r="D134" s="1" t="s">
        <v>241</v>
      </c>
      <c r="E134" s="1" t="s">
        <v>338</v>
      </c>
      <c r="F134" s="2">
        <f t="shared" si="20"/>
        <v>250000</v>
      </c>
      <c r="G134" s="4">
        <f>+VLOOKUP(C134,Indicadores!B:C,2,FALSE)</f>
        <v>0.79864545454545455</v>
      </c>
      <c r="H134" s="1" t="str">
        <f t="shared" si="21"/>
        <v>Cumple</v>
      </c>
      <c r="I134" s="4">
        <f>+VLOOKUP(C134,Indicadores!B:F,5,FALSE)</f>
        <v>0.95652173913043481</v>
      </c>
      <c r="J134" s="1" t="str">
        <f t="shared" si="22"/>
        <v>Cumple</v>
      </c>
      <c r="K134" s="9">
        <f t="shared" ref="K134:K165" si="34">+$F$4*$K$3</f>
        <v>150000</v>
      </c>
      <c r="L134" s="4">
        <f>+VLOOKUP(C134,Indicadores!B:P,15,FALSE)</f>
        <v>0.53230000000000011</v>
      </c>
      <c r="M134" s="1" t="str">
        <f t="shared" si="23"/>
        <v>No Cumple</v>
      </c>
      <c r="N134" s="5">
        <f t="shared" si="24"/>
        <v>0</v>
      </c>
      <c r="O134" s="5">
        <f t="shared" ref="O134:O165" si="35">+$F$4*$O$3</f>
        <v>50000</v>
      </c>
      <c r="P134" s="4">
        <v>0.95</v>
      </c>
      <c r="Q134" s="5" t="str">
        <f t="shared" si="25"/>
        <v>Cumple</v>
      </c>
      <c r="R134" s="5">
        <f t="shared" si="26"/>
        <v>47500</v>
      </c>
      <c r="S134" s="5">
        <f t="shared" ref="S134:S165" si="36">+$F$4*$S$3</f>
        <v>50000</v>
      </c>
      <c r="T134" s="4">
        <f>+VLOOKUP(C134,Indicadores!B:V,21,FALSE)</f>
        <v>1</v>
      </c>
      <c r="U134" s="35" t="str">
        <f t="shared" si="27"/>
        <v>Cumple</v>
      </c>
      <c r="V134" s="2">
        <f t="shared" si="28"/>
        <v>50000</v>
      </c>
      <c r="W134" s="5" t="str">
        <f t="shared" si="29"/>
        <v>SI</v>
      </c>
      <c r="X134" s="5">
        <f t="shared" si="30"/>
        <v>97500</v>
      </c>
      <c r="Y134" s="1"/>
    </row>
    <row r="135" spans="2:25" hidden="1" x14ac:dyDescent="0.25">
      <c r="B135" s="1" t="s">
        <v>233</v>
      </c>
      <c r="C135" s="1" t="s">
        <v>140</v>
      </c>
      <c r="D135" s="1" t="s">
        <v>241</v>
      </c>
      <c r="E135" s="1" t="s">
        <v>338</v>
      </c>
      <c r="F135" s="2">
        <f t="shared" ref="F135:F193" si="37">+$F$4</f>
        <v>250000</v>
      </c>
      <c r="G135" s="4">
        <f>+VLOOKUP(C135,Indicadores!B:C,2,FALSE)</f>
        <v>0.7474727272727274</v>
      </c>
      <c r="H135" s="1" t="str">
        <f t="shared" ref="H135:H193" si="38">IF(G135&gt;=70%,"Cumple","No Cumple")</f>
        <v>Cumple</v>
      </c>
      <c r="I135" s="4">
        <f>+VLOOKUP(C135,Indicadores!B:F,5,FALSE)</f>
        <v>0.9375</v>
      </c>
      <c r="J135" s="1" t="str">
        <f t="shared" ref="J135:J193" si="39">IF(I135&gt;=70%,"Cumple","No Cumple")</f>
        <v>Cumple</v>
      </c>
      <c r="K135" s="9">
        <f t="shared" si="34"/>
        <v>150000</v>
      </c>
      <c r="L135" s="4">
        <f>+VLOOKUP(C135,Indicadores!B:P,15,FALSE)</f>
        <v>0.50306666666666666</v>
      </c>
      <c r="M135" s="1" t="str">
        <f t="shared" ref="M135:M193" si="40">IF(L135&gt;=80%,"Cumple","No Cumple")</f>
        <v>No Cumple</v>
      </c>
      <c r="N135" s="5">
        <f t="shared" si="24"/>
        <v>0</v>
      </c>
      <c r="O135" s="5">
        <f t="shared" si="35"/>
        <v>50000</v>
      </c>
      <c r="P135" s="4">
        <v>0.95</v>
      </c>
      <c r="Q135" s="5" t="str">
        <f t="shared" ref="Q135:Q193" si="41">IF(P135&gt;=80%,"Cumple","No Cumple")</f>
        <v>Cumple</v>
      </c>
      <c r="R135" s="5">
        <f t="shared" ref="R135:R193" si="42">+O135*95%</f>
        <v>47500</v>
      </c>
      <c r="S135" s="5">
        <f t="shared" si="36"/>
        <v>50000</v>
      </c>
      <c r="T135" s="4">
        <f>+VLOOKUP(C135,Indicadores!B:V,21,FALSE)</f>
        <v>0.9899</v>
      </c>
      <c r="U135" s="35" t="str">
        <f t="shared" ref="U135:U193" si="43">IF(T135&gt;=100%,"Cumple","No Cumple")</f>
        <v>No Cumple</v>
      </c>
      <c r="V135" s="2">
        <f t="shared" ref="V135:V193" si="44">IF(T135=80%,S135*70%,IF(AND(T135&gt;=81%,T135&lt;=90%),S135*80%,IF(AND(T135&gt;=91%,T135&lt;=95%),S135*90%,IF(T135=96%,S135*96%,IF(T135=97%,S135*97%,IF(T135=98%,S135*98%,IF(T135=99%,S135*99%,IF(T135=100%,S135,0))))))))</f>
        <v>0</v>
      </c>
      <c r="W135" s="5" t="str">
        <f t="shared" ref="W135:W193" si="45">IF(I135&gt;=70%,"SI","NO")</f>
        <v>SI</v>
      </c>
      <c r="X135" s="5">
        <f t="shared" ref="X135:X193" si="46">+IF(W135="SI",N135+R135+V135,0)</f>
        <v>47500</v>
      </c>
      <c r="Y135" s="1"/>
    </row>
    <row r="136" spans="2:25" hidden="1" x14ac:dyDescent="0.25">
      <c r="B136" s="1" t="s">
        <v>233</v>
      </c>
      <c r="C136" s="1" t="s">
        <v>141</v>
      </c>
      <c r="D136" s="1" t="s">
        <v>241</v>
      </c>
      <c r="E136" s="1" t="s">
        <v>338</v>
      </c>
      <c r="F136" s="2">
        <f t="shared" si="37"/>
        <v>250000</v>
      </c>
      <c r="G136" s="4">
        <f>+VLOOKUP(C136,Indicadores!B:C,2,FALSE)</f>
        <v>0.87151818181818186</v>
      </c>
      <c r="H136" s="1" t="str">
        <f t="shared" si="38"/>
        <v>Cumple</v>
      </c>
      <c r="I136" s="4">
        <f>+VLOOKUP(C136,Indicadores!B:F,5,FALSE)</f>
        <v>1</v>
      </c>
      <c r="J136" s="1" t="str">
        <f t="shared" si="39"/>
        <v>Cumple</v>
      </c>
      <c r="K136" s="9">
        <f t="shared" si="34"/>
        <v>150000</v>
      </c>
      <c r="L136" s="4">
        <f>+VLOOKUP(C136,Indicadores!B:P,15,FALSE)</f>
        <v>0.95853333333333335</v>
      </c>
      <c r="M136" s="1" t="str">
        <f t="shared" si="40"/>
        <v>Cumple</v>
      </c>
      <c r="N136" s="5">
        <f t="shared" si="24"/>
        <v>0</v>
      </c>
      <c r="O136" s="5">
        <f t="shared" si="35"/>
        <v>50000</v>
      </c>
      <c r="P136" s="4">
        <v>0.95</v>
      </c>
      <c r="Q136" s="5" t="str">
        <f t="shared" si="41"/>
        <v>Cumple</v>
      </c>
      <c r="R136" s="5">
        <f t="shared" si="42"/>
        <v>47500</v>
      </c>
      <c r="S136" s="5">
        <f t="shared" si="36"/>
        <v>50000</v>
      </c>
      <c r="T136" s="4">
        <f>+VLOOKUP(C136,Indicadores!B:V,21,FALSE)</f>
        <v>1</v>
      </c>
      <c r="U136" s="35" t="str">
        <f t="shared" si="43"/>
        <v>Cumple</v>
      </c>
      <c r="V136" s="2">
        <f t="shared" si="44"/>
        <v>50000</v>
      </c>
      <c r="W136" s="5" t="str">
        <f t="shared" si="45"/>
        <v>SI</v>
      </c>
      <c r="X136" s="5">
        <f t="shared" si="46"/>
        <v>97500</v>
      </c>
      <c r="Y136" s="1"/>
    </row>
    <row r="137" spans="2:25" hidden="1" x14ac:dyDescent="0.25">
      <c r="B137" s="1" t="s">
        <v>240</v>
      </c>
      <c r="C137" s="1" t="s">
        <v>142</v>
      </c>
      <c r="D137" s="1" t="s">
        <v>243</v>
      </c>
      <c r="E137" s="1" t="s">
        <v>344</v>
      </c>
      <c r="F137" s="2">
        <f t="shared" si="37"/>
        <v>250000</v>
      </c>
      <c r="G137" s="4">
        <f>+VLOOKUP(C137,Indicadores!B:C,2,FALSE)</f>
        <v>0.81480909090909104</v>
      </c>
      <c r="H137" s="1" t="str">
        <f t="shared" si="38"/>
        <v>Cumple</v>
      </c>
      <c r="I137" s="4">
        <f>+VLOOKUP(C137,Indicadores!B:F,5,FALSE)</f>
        <v>1</v>
      </c>
      <c r="J137" s="1" t="str">
        <f t="shared" si="39"/>
        <v>Cumple</v>
      </c>
      <c r="K137" s="9">
        <f t="shared" si="34"/>
        <v>150000</v>
      </c>
      <c r="L137" s="4">
        <f>+VLOOKUP(C137,Indicadores!B:P,15,FALSE)</f>
        <v>0.53613333333333335</v>
      </c>
      <c r="M137" s="1" t="str">
        <f t="shared" si="40"/>
        <v>No Cumple</v>
      </c>
      <c r="N137" s="5">
        <f t="shared" ref="N137:N193" si="47">IF(L137=80%,K137*70%,IF(AND(L137&gt;=81%,L137&lt;=90%),K137*80%,IF(AND(L137&gt;=91%,L137&lt;=95%),K137*90%,IF(L137=96%,K137*96%,IF(L137=97%,K137*97%,IF(L137=98%,K137*98%,IF(L137=99%,K137*99%,IF(L137=100%,K137,0))))))))</f>
        <v>0</v>
      </c>
      <c r="O137" s="5">
        <f t="shared" si="35"/>
        <v>50000</v>
      </c>
      <c r="P137" s="4">
        <v>0.95</v>
      </c>
      <c r="Q137" s="5" t="str">
        <f t="shared" si="41"/>
        <v>Cumple</v>
      </c>
      <c r="R137" s="5">
        <f t="shared" si="42"/>
        <v>47500</v>
      </c>
      <c r="S137" s="5">
        <f t="shared" si="36"/>
        <v>50000</v>
      </c>
      <c r="T137" s="4">
        <f>+VLOOKUP(C137,Indicadores!B:V,21,FALSE)</f>
        <v>0.5</v>
      </c>
      <c r="U137" s="35" t="str">
        <f t="shared" si="43"/>
        <v>No Cumple</v>
      </c>
      <c r="V137" s="2">
        <f t="shared" si="44"/>
        <v>0</v>
      </c>
      <c r="W137" s="5" t="str">
        <f t="shared" si="45"/>
        <v>SI</v>
      </c>
      <c r="X137" s="5">
        <f t="shared" si="46"/>
        <v>47500</v>
      </c>
      <c r="Y137" s="1"/>
    </row>
    <row r="138" spans="2:25" x14ac:dyDescent="0.25">
      <c r="B138" s="1" t="s">
        <v>240</v>
      </c>
      <c r="C138" s="1" t="s">
        <v>143</v>
      </c>
      <c r="D138" s="1" t="s">
        <v>243</v>
      </c>
      <c r="E138" s="1" t="s">
        <v>344</v>
      </c>
      <c r="F138" s="2">
        <f t="shared" si="37"/>
        <v>250000</v>
      </c>
      <c r="G138" s="4">
        <f>+VLOOKUP(C138,Indicadores!B:C,2,FALSE)</f>
        <v>0.75973636363636354</v>
      </c>
      <c r="H138" s="1" t="str">
        <f t="shared" si="38"/>
        <v>Cumple</v>
      </c>
      <c r="I138" s="4">
        <f>+VLOOKUP(C138,Indicadores!B:F,5,FALSE)</f>
        <v>1</v>
      </c>
      <c r="J138" s="1" t="str">
        <f t="shared" si="39"/>
        <v>Cumple</v>
      </c>
      <c r="K138" s="9">
        <f t="shared" si="34"/>
        <v>150000</v>
      </c>
      <c r="L138" s="4">
        <f>+VLOOKUP(C138,Indicadores!B:P,15,FALSE)</f>
        <v>0.70236666666666669</v>
      </c>
      <c r="M138" s="1" t="str">
        <f t="shared" si="40"/>
        <v>No Cumple</v>
      </c>
      <c r="N138" s="5">
        <f t="shared" si="47"/>
        <v>0</v>
      </c>
      <c r="O138" s="5">
        <f t="shared" si="35"/>
        <v>50000</v>
      </c>
      <c r="P138" s="4">
        <v>0.95</v>
      </c>
      <c r="Q138" s="5" t="str">
        <f t="shared" si="41"/>
        <v>Cumple</v>
      </c>
      <c r="R138" s="5">
        <f t="shared" si="42"/>
        <v>47500</v>
      </c>
      <c r="S138" s="5">
        <f t="shared" si="36"/>
        <v>50000</v>
      </c>
      <c r="T138" s="4">
        <f>+VLOOKUP(C138,Indicadores!B:V,21,FALSE)</f>
        <v>1</v>
      </c>
      <c r="U138" s="35" t="str">
        <f t="shared" si="43"/>
        <v>Cumple</v>
      </c>
      <c r="V138" s="2">
        <f t="shared" si="44"/>
        <v>50000</v>
      </c>
      <c r="W138" s="5" t="str">
        <f t="shared" si="45"/>
        <v>SI</v>
      </c>
      <c r="X138" s="5">
        <f t="shared" si="46"/>
        <v>97500</v>
      </c>
      <c r="Y138" s="8"/>
    </row>
    <row r="139" spans="2:25" hidden="1" x14ac:dyDescent="0.25">
      <c r="B139" s="1" t="s">
        <v>240</v>
      </c>
      <c r="C139" s="1" t="s">
        <v>144</v>
      </c>
      <c r="D139" s="1" t="s">
        <v>243</v>
      </c>
      <c r="E139" s="1" t="s">
        <v>344</v>
      </c>
      <c r="F139" s="2">
        <f t="shared" si="37"/>
        <v>250000</v>
      </c>
      <c r="G139" s="4">
        <f>+VLOOKUP(C139,Indicadores!B:C,2,FALSE)</f>
        <v>0.76018181818181818</v>
      </c>
      <c r="H139" s="1" t="str">
        <f t="shared" si="38"/>
        <v>Cumple</v>
      </c>
      <c r="I139" s="4">
        <v>1</v>
      </c>
      <c r="J139" s="1" t="str">
        <f t="shared" si="39"/>
        <v>Cumple</v>
      </c>
      <c r="K139" s="9">
        <f t="shared" si="34"/>
        <v>150000</v>
      </c>
      <c r="L139" s="4">
        <f>+VLOOKUP(C139,Indicadores!B:P,15,FALSE)</f>
        <v>0.58906666666666674</v>
      </c>
      <c r="M139" s="1" t="str">
        <f t="shared" si="40"/>
        <v>No Cumple</v>
      </c>
      <c r="N139" s="5">
        <f t="shared" si="47"/>
        <v>0</v>
      </c>
      <c r="O139" s="5">
        <f t="shared" si="35"/>
        <v>50000</v>
      </c>
      <c r="P139" s="4">
        <v>0.95</v>
      </c>
      <c r="Q139" s="5" t="str">
        <f t="shared" si="41"/>
        <v>Cumple</v>
      </c>
      <c r="R139" s="5">
        <f t="shared" si="42"/>
        <v>47500</v>
      </c>
      <c r="S139" s="5">
        <f t="shared" si="36"/>
        <v>50000</v>
      </c>
      <c r="T139" s="4">
        <f>+VLOOKUP(C139,Indicadores!B:V,21,FALSE)</f>
        <v>1</v>
      </c>
      <c r="U139" s="35" t="str">
        <f t="shared" si="43"/>
        <v>Cumple</v>
      </c>
      <c r="V139" s="2">
        <f t="shared" si="44"/>
        <v>50000</v>
      </c>
      <c r="W139" s="5" t="str">
        <f t="shared" si="45"/>
        <v>SI</v>
      </c>
      <c r="X139" s="5">
        <f t="shared" si="46"/>
        <v>97500</v>
      </c>
      <c r="Y139" s="1"/>
    </row>
    <row r="140" spans="2:25" x14ac:dyDescent="0.25">
      <c r="B140" s="1" t="s">
        <v>240</v>
      </c>
      <c r="C140" s="1" t="s">
        <v>145</v>
      </c>
      <c r="D140" s="1" t="s">
        <v>243</v>
      </c>
      <c r="E140" s="1" t="s">
        <v>344</v>
      </c>
      <c r="F140" s="2">
        <f t="shared" si="37"/>
        <v>250000</v>
      </c>
      <c r="G140" s="4">
        <f>+VLOOKUP(C140,Indicadores!B:C,2,FALSE)</f>
        <v>0.78149999999999986</v>
      </c>
      <c r="H140" s="1" t="str">
        <f t="shared" si="38"/>
        <v>Cumple</v>
      </c>
      <c r="I140" s="4">
        <f>+VLOOKUP(C140,Indicadores!B:F,5,FALSE)</f>
        <v>1</v>
      </c>
      <c r="J140" s="1" t="str">
        <f t="shared" si="39"/>
        <v>Cumple</v>
      </c>
      <c r="K140" s="9">
        <f t="shared" si="34"/>
        <v>150000</v>
      </c>
      <c r="L140" s="4">
        <f>+VLOOKUP(C140,Indicadores!B:P,15,FALSE)</f>
        <v>0.71519999999999995</v>
      </c>
      <c r="M140" s="1" t="str">
        <f t="shared" si="40"/>
        <v>No Cumple</v>
      </c>
      <c r="N140" s="5">
        <f t="shared" si="47"/>
        <v>0</v>
      </c>
      <c r="O140" s="5">
        <f t="shared" si="35"/>
        <v>50000</v>
      </c>
      <c r="P140" s="4">
        <v>0.95</v>
      </c>
      <c r="Q140" s="5" t="str">
        <f t="shared" si="41"/>
        <v>Cumple</v>
      </c>
      <c r="R140" s="5">
        <f t="shared" si="42"/>
        <v>47500</v>
      </c>
      <c r="S140" s="5">
        <f t="shared" si="36"/>
        <v>50000</v>
      </c>
      <c r="T140" s="4">
        <f>+VLOOKUP(C140,Indicadores!B:V,21,FALSE)</f>
        <v>0.5</v>
      </c>
      <c r="U140" s="35" t="str">
        <f t="shared" si="43"/>
        <v>No Cumple</v>
      </c>
      <c r="V140" s="2">
        <f t="shared" si="44"/>
        <v>0</v>
      </c>
      <c r="W140" s="5" t="str">
        <f t="shared" si="45"/>
        <v>SI</v>
      </c>
      <c r="X140" s="5">
        <f t="shared" si="46"/>
        <v>47500</v>
      </c>
      <c r="Y140" s="1"/>
    </row>
    <row r="141" spans="2:25" hidden="1" x14ac:dyDescent="0.25">
      <c r="B141" s="1" t="s">
        <v>240</v>
      </c>
      <c r="C141" s="1" t="s">
        <v>146</v>
      </c>
      <c r="D141" s="1" t="s">
        <v>243</v>
      </c>
      <c r="E141" s="1" t="s">
        <v>344</v>
      </c>
      <c r="F141" s="2">
        <f t="shared" si="37"/>
        <v>250000</v>
      </c>
      <c r="G141" s="4">
        <f>+VLOOKUP(C141,Indicadores!B:C,2,FALSE)</f>
        <v>0.76564545454545463</v>
      </c>
      <c r="H141" s="1" t="str">
        <f t="shared" si="38"/>
        <v>Cumple</v>
      </c>
      <c r="I141" s="4">
        <f>+VLOOKUP(C141,Indicadores!B:F,5,FALSE)</f>
        <v>1</v>
      </c>
      <c r="J141" s="1" t="str">
        <f t="shared" si="39"/>
        <v>Cumple</v>
      </c>
      <c r="K141" s="9">
        <f t="shared" si="34"/>
        <v>150000</v>
      </c>
      <c r="L141" s="4">
        <f>+VLOOKUP(C141,Indicadores!B:P,15,FALSE)</f>
        <v>0.40506666666666669</v>
      </c>
      <c r="M141" s="1" t="str">
        <f t="shared" si="40"/>
        <v>No Cumple</v>
      </c>
      <c r="N141" s="5">
        <f t="shared" si="47"/>
        <v>0</v>
      </c>
      <c r="O141" s="5">
        <f t="shared" si="35"/>
        <v>50000</v>
      </c>
      <c r="P141" s="4">
        <v>0.95</v>
      </c>
      <c r="Q141" s="5" t="str">
        <f t="shared" si="41"/>
        <v>Cumple</v>
      </c>
      <c r="R141" s="5">
        <f t="shared" si="42"/>
        <v>47500</v>
      </c>
      <c r="S141" s="5">
        <f t="shared" si="36"/>
        <v>50000</v>
      </c>
      <c r="T141" s="4">
        <f>+VLOOKUP(C141,Indicadores!B:V,21,FALSE)</f>
        <v>0.98440000000000005</v>
      </c>
      <c r="U141" s="35" t="str">
        <f t="shared" si="43"/>
        <v>No Cumple</v>
      </c>
      <c r="V141" s="2">
        <f t="shared" si="44"/>
        <v>0</v>
      </c>
      <c r="W141" s="5" t="str">
        <f t="shared" si="45"/>
        <v>SI</v>
      </c>
      <c r="X141" s="5">
        <f t="shared" si="46"/>
        <v>47500</v>
      </c>
      <c r="Y141" s="1"/>
    </row>
    <row r="142" spans="2:25" hidden="1" x14ac:dyDescent="0.25">
      <c r="B142" s="1" t="s">
        <v>240</v>
      </c>
      <c r="C142" s="1" t="s">
        <v>147</v>
      </c>
      <c r="D142" s="1" t="s">
        <v>243</v>
      </c>
      <c r="E142" s="1" t="s">
        <v>344</v>
      </c>
      <c r="F142" s="2">
        <f t="shared" si="37"/>
        <v>250000</v>
      </c>
      <c r="G142" s="4">
        <f>+VLOOKUP(C142,Indicadores!B:C,2,FALSE)</f>
        <v>0.7487818181818181</v>
      </c>
      <c r="H142" s="1" t="str">
        <f t="shared" si="38"/>
        <v>Cumple</v>
      </c>
      <c r="I142" s="4">
        <f>+VLOOKUP(C142,Indicadores!B:F,5,FALSE)</f>
        <v>1</v>
      </c>
      <c r="J142" s="1" t="str">
        <f t="shared" si="39"/>
        <v>Cumple</v>
      </c>
      <c r="K142" s="9">
        <f t="shared" si="34"/>
        <v>150000</v>
      </c>
      <c r="L142" s="4">
        <f>+VLOOKUP(C142,Indicadores!B:P,15,FALSE)</f>
        <v>0.39303333333333335</v>
      </c>
      <c r="M142" s="1" t="str">
        <f t="shared" si="40"/>
        <v>No Cumple</v>
      </c>
      <c r="N142" s="5">
        <f t="shared" si="47"/>
        <v>0</v>
      </c>
      <c r="O142" s="5">
        <f t="shared" si="35"/>
        <v>50000</v>
      </c>
      <c r="P142" s="4">
        <v>0.95</v>
      </c>
      <c r="Q142" s="5" t="str">
        <f t="shared" si="41"/>
        <v>Cumple</v>
      </c>
      <c r="R142" s="5">
        <f t="shared" si="42"/>
        <v>47500</v>
      </c>
      <c r="S142" s="5">
        <f t="shared" si="36"/>
        <v>50000</v>
      </c>
      <c r="T142" s="4">
        <f>+VLOOKUP(C142,Indicadores!B:V,21,FALSE)</f>
        <v>0.98680000000000001</v>
      </c>
      <c r="U142" s="35" t="str">
        <f t="shared" si="43"/>
        <v>No Cumple</v>
      </c>
      <c r="V142" s="2">
        <f t="shared" si="44"/>
        <v>0</v>
      </c>
      <c r="W142" s="5" t="str">
        <f t="shared" si="45"/>
        <v>SI</v>
      </c>
      <c r="X142" s="5">
        <f t="shared" si="46"/>
        <v>47500</v>
      </c>
      <c r="Y142" s="1"/>
    </row>
    <row r="143" spans="2:25" x14ac:dyDescent="0.25">
      <c r="B143" s="1" t="s">
        <v>240</v>
      </c>
      <c r="C143" s="1" t="s">
        <v>148</v>
      </c>
      <c r="D143" s="1" t="s">
        <v>243</v>
      </c>
      <c r="E143" s="1" t="s">
        <v>344</v>
      </c>
      <c r="F143" s="2">
        <f t="shared" si="37"/>
        <v>250000</v>
      </c>
      <c r="G143" s="4">
        <f>+VLOOKUP(C143,Indicadores!B:C,2,FALSE)</f>
        <v>0.76468181818181824</v>
      </c>
      <c r="H143" s="1" t="str">
        <f t="shared" si="38"/>
        <v>Cumple</v>
      </c>
      <c r="I143" s="4">
        <f>+VLOOKUP(C143,Indicadores!B:F,5,FALSE)</f>
        <v>0.93333333333333335</v>
      </c>
      <c r="J143" s="1" t="str">
        <f t="shared" si="39"/>
        <v>Cumple</v>
      </c>
      <c r="K143" s="9">
        <f t="shared" si="34"/>
        <v>150000</v>
      </c>
      <c r="L143" s="4">
        <f>+VLOOKUP(C143,Indicadores!B:P,15,FALSE)</f>
        <v>0.69589999999999996</v>
      </c>
      <c r="M143" s="1" t="str">
        <f t="shared" si="40"/>
        <v>No Cumple</v>
      </c>
      <c r="N143" s="5">
        <f t="shared" si="47"/>
        <v>0</v>
      </c>
      <c r="O143" s="5">
        <f t="shared" si="35"/>
        <v>50000</v>
      </c>
      <c r="P143" s="4">
        <v>0.95</v>
      </c>
      <c r="Q143" s="5" t="str">
        <f t="shared" si="41"/>
        <v>Cumple</v>
      </c>
      <c r="R143" s="5">
        <f t="shared" si="42"/>
        <v>47500</v>
      </c>
      <c r="S143" s="5">
        <f t="shared" si="36"/>
        <v>50000</v>
      </c>
      <c r="T143" s="4">
        <f>+VLOOKUP(C143,Indicadores!B:V,21,FALSE)</f>
        <v>0.49409999999999998</v>
      </c>
      <c r="U143" s="35" t="str">
        <f t="shared" si="43"/>
        <v>No Cumple</v>
      </c>
      <c r="V143" s="2">
        <f t="shared" si="44"/>
        <v>0</v>
      </c>
      <c r="W143" s="5" t="str">
        <f t="shared" si="45"/>
        <v>SI</v>
      </c>
      <c r="X143" s="5">
        <f t="shared" si="46"/>
        <v>47500</v>
      </c>
      <c r="Y143" s="1"/>
    </row>
    <row r="144" spans="2:25" x14ac:dyDescent="0.25">
      <c r="B144" s="1" t="s">
        <v>240</v>
      </c>
      <c r="C144" s="1" t="s">
        <v>149</v>
      </c>
      <c r="D144" s="1" t="s">
        <v>243</v>
      </c>
      <c r="E144" s="1" t="s">
        <v>344</v>
      </c>
      <c r="F144" s="2">
        <f t="shared" si="37"/>
        <v>250000</v>
      </c>
      <c r="G144" s="4">
        <f>+VLOOKUP(C144,Indicadores!B:C,2,FALSE)</f>
        <v>0.77224545454545457</v>
      </c>
      <c r="H144" s="1" t="str">
        <f t="shared" si="38"/>
        <v>Cumple</v>
      </c>
      <c r="I144" s="4">
        <f>+VLOOKUP(C144,Indicadores!B:F,5,FALSE)</f>
        <v>1</v>
      </c>
      <c r="J144" s="1" t="str">
        <f t="shared" si="39"/>
        <v>Cumple</v>
      </c>
      <c r="K144" s="9">
        <f t="shared" si="34"/>
        <v>150000</v>
      </c>
      <c r="L144" s="4">
        <f>+VLOOKUP(C144,Indicadores!B:P,15,FALSE)</f>
        <v>0.66220000000000001</v>
      </c>
      <c r="M144" s="1" t="str">
        <f t="shared" si="40"/>
        <v>No Cumple</v>
      </c>
      <c r="N144" s="5">
        <f t="shared" si="47"/>
        <v>0</v>
      </c>
      <c r="O144" s="5">
        <f t="shared" si="35"/>
        <v>50000</v>
      </c>
      <c r="P144" s="4">
        <v>0.95</v>
      </c>
      <c r="Q144" s="5" t="str">
        <f t="shared" si="41"/>
        <v>Cumple</v>
      </c>
      <c r="R144" s="5">
        <f t="shared" si="42"/>
        <v>47500</v>
      </c>
      <c r="S144" s="5">
        <f t="shared" si="36"/>
        <v>50000</v>
      </c>
      <c r="T144" s="4">
        <f>+VLOOKUP(C144,Indicadores!B:V,21,FALSE)</f>
        <v>0.5</v>
      </c>
      <c r="U144" s="35" t="str">
        <f t="shared" si="43"/>
        <v>No Cumple</v>
      </c>
      <c r="V144" s="2">
        <f t="shared" si="44"/>
        <v>0</v>
      </c>
      <c r="W144" s="5" t="str">
        <f t="shared" si="45"/>
        <v>SI</v>
      </c>
      <c r="X144" s="5">
        <f t="shared" si="46"/>
        <v>47500</v>
      </c>
      <c r="Y144" s="1"/>
    </row>
    <row r="145" spans="2:25" hidden="1" x14ac:dyDescent="0.25">
      <c r="B145" s="1" t="s">
        <v>240</v>
      </c>
      <c r="C145" s="1" t="s">
        <v>150</v>
      </c>
      <c r="D145" s="1" t="s">
        <v>243</v>
      </c>
      <c r="E145" s="1" t="s">
        <v>344</v>
      </c>
      <c r="F145" s="2">
        <f t="shared" si="37"/>
        <v>250000</v>
      </c>
      <c r="G145" s="4">
        <f>+VLOOKUP(C145,Indicadores!B:C,2,FALSE)</f>
        <v>0.77765454545454549</v>
      </c>
      <c r="H145" s="1" t="str">
        <f t="shared" si="38"/>
        <v>Cumple</v>
      </c>
      <c r="I145" s="4">
        <f>+VLOOKUP(C145,Indicadores!B:F,5,FALSE)</f>
        <v>0.90909090909090906</v>
      </c>
      <c r="J145" s="1" t="str">
        <f t="shared" si="39"/>
        <v>Cumple</v>
      </c>
      <c r="K145" s="9">
        <f t="shared" si="34"/>
        <v>150000</v>
      </c>
      <c r="L145" s="4">
        <f>+VLOOKUP(C145,Indicadores!B:P,15,FALSE)</f>
        <v>0.58106666666666673</v>
      </c>
      <c r="M145" s="1" t="str">
        <f t="shared" si="40"/>
        <v>No Cumple</v>
      </c>
      <c r="N145" s="5">
        <f t="shared" si="47"/>
        <v>0</v>
      </c>
      <c r="O145" s="5">
        <f t="shared" si="35"/>
        <v>50000</v>
      </c>
      <c r="P145" s="4">
        <v>0.95</v>
      </c>
      <c r="Q145" s="5" t="str">
        <f t="shared" si="41"/>
        <v>Cumple</v>
      </c>
      <c r="R145" s="5">
        <f t="shared" si="42"/>
        <v>47500</v>
      </c>
      <c r="S145" s="5">
        <f t="shared" si="36"/>
        <v>50000</v>
      </c>
      <c r="T145" s="4">
        <f>+VLOOKUP(C145,Indicadores!B:V,21,FALSE)</f>
        <v>1</v>
      </c>
      <c r="U145" s="35" t="str">
        <f t="shared" si="43"/>
        <v>Cumple</v>
      </c>
      <c r="V145" s="2">
        <f t="shared" si="44"/>
        <v>50000</v>
      </c>
      <c r="W145" s="5" t="str">
        <f t="shared" si="45"/>
        <v>SI</v>
      </c>
      <c r="X145" s="5">
        <f t="shared" si="46"/>
        <v>97500</v>
      </c>
      <c r="Y145" s="1"/>
    </row>
    <row r="146" spans="2:25" x14ac:dyDescent="0.25">
      <c r="B146" s="1" t="s">
        <v>240</v>
      </c>
      <c r="C146" s="1" t="s">
        <v>151</v>
      </c>
      <c r="D146" s="1" t="s">
        <v>243</v>
      </c>
      <c r="E146" s="1" t="s">
        <v>344</v>
      </c>
      <c r="F146" s="2">
        <f t="shared" si="37"/>
        <v>250000</v>
      </c>
      <c r="G146" s="4">
        <f>+VLOOKUP(C146,Indicadores!B:C,2,FALSE)</f>
        <v>0.80039999999999989</v>
      </c>
      <c r="H146" s="1" t="str">
        <f t="shared" si="38"/>
        <v>Cumple</v>
      </c>
      <c r="I146" s="4">
        <f>+VLOOKUP(C146,Indicadores!B:F,5,FALSE)</f>
        <v>1</v>
      </c>
      <c r="J146" s="1" t="str">
        <f t="shared" si="39"/>
        <v>Cumple</v>
      </c>
      <c r="K146" s="9">
        <f t="shared" si="34"/>
        <v>150000</v>
      </c>
      <c r="L146" s="4">
        <f>+VLOOKUP(C146,Indicadores!B:P,15,FALSE)</f>
        <v>0.71376666666666677</v>
      </c>
      <c r="M146" s="1" t="str">
        <f t="shared" si="40"/>
        <v>No Cumple</v>
      </c>
      <c r="N146" s="5">
        <f t="shared" si="47"/>
        <v>0</v>
      </c>
      <c r="O146" s="5">
        <f t="shared" si="35"/>
        <v>50000</v>
      </c>
      <c r="P146" s="4">
        <v>0.95</v>
      </c>
      <c r="Q146" s="5" t="str">
        <f t="shared" si="41"/>
        <v>Cumple</v>
      </c>
      <c r="R146" s="5">
        <f t="shared" si="42"/>
        <v>47500</v>
      </c>
      <c r="S146" s="5">
        <f t="shared" si="36"/>
        <v>50000</v>
      </c>
      <c r="T146" s="4">
        <f>+VLOOKUP(C146,Indicadores!B:V,21,FALSE)</f>
        <v>0.5</v>
      </c>
      <c r="U146" s="35" t="str">
        <f t="shared" si="43"/>
        <v>No Cumple</v>
      </c>
      <c r="V146" s="2">
        <f t="shared" si="44"/>
        <v>0</v>
      </c>
      <c r="W146" s="5" t="str">
        <f t="shared" si="45"/>
        <v>SI</v>
      </c>
      <c r="X146" s="5">
        <f t="shared" si="46"/>
        <v>47500</v>
      </c>
      <c r="Y146" s="1"/>
    </row>
    <row r="147" spans="2:25" x14ac:dyDescent="0.25">
      <c r="B147" s="1" t="s">
        <v>240</v>
      </c>
      <c r="C147" s="1" t="s">
        <v>152</v>
      </c>
      <c r="D147" s="1" t="s">
        <v>243</v>
      </c>
      <c r="E147" s="1" t="s">
        <v>344</v>
      </c>
      <c r="F147" s="2">
        <f t="shared" si="37"/>
        <v>250000</v>
      </c>
      <c r="G147" s="4">
        <f>+VLOOKUP(C147,Indicadores!B:C,2,FALSE)</f>
        <v>0.85429999999999995</v>
      </c>
      <c r="H147" s="1" t="str">
        <f t="shared" si="38"/>
        <v>Cumple</v>
      </c>
      <c r="I147" s="4">
        <f>+VLOOKUP(C147,Indicadores!B:F,5,FALSE)</f>
        <v>1</v>
      </c>
      <c r="J147" s="1" t="str">
        <f t="shared" si="39"/>
        <v>Cumple</v>
      </c>
      <c r="K147" s="9">
        <f t="shared" si="34"/>
        <v>150000</v>
      </c>
      <c r="L147" s="4">
        <f>+VLOOKUP(C147,Indicadores!B:P,15,FALSE)</f>
        <v>0.76056666666666661</v>
      </c>
      <c r="M147" s="1" t="str">
        <f t="shared" si="40"/>
        <v>No Cumple</v>
      </c>
      <c r="N147" s="5">
        <f t="shared" si="47"/>
        <v>0</v>
      </c>
      <c r="O147" s="5">
        <f t="shared" si="35"/>
        <v>50000</v>
      </c>
      <c r="P147" s="4">
        <v>0.95</v>
      </c>
      <c r="Q147" s="5" t="str">
        <f t="shared" si="41"/>
        <v>Cumple</v>
      </c>
      <c r="R147" s="5">
        <f t="shared" si="42"/>
        <v>47500</v>
      </c>
      <c r="S147" s="5">
        <f t="shared" si="36"/>
        <v>50000</v>
      </c>
      <c r="T147" s="4">
        <f>+VLOOKUP(C147,Indicadores!B:V,21,FALSE)</f>
        <v>0.5</v>
      </c>
      <c r="U147" s="35" t="str">
        <f t="shared" si="43"/>
        <v>No Cumple</v>
      </c>
      <c r="V147" s="2">
        <f t="shared" si="44"/>
        <v>0</v>
      </c>
      <c r="W147" s="5" t="str">
        <f t="shared" si="45"/>
        <v>SI</v>
      </c>
      <c r="X147" s="5">
        <f t="shared" si="46"/>
        <v>47500</v>
      </c>
      <c r="Y147" s="1"/>
    </row>
    <row r="148" spans="2:25" x14ac:dyDescent="0.25">
      <c r="B148" s="1" t="s">
        <v>240</v>
      </c>
      <c r="C148" s="1" t="s">
        <v>153</v>
      </c>
      <c r="D148" s="1" t="s">
        <v>243</v>
      </c>
      <c r="E148" s="1" t="s">
        <v>344</v>
      </c>
      <c r="F148" s="2">
        <f t="shared" si="37"/>
        <v>250000</v>
      </c>
      <c r="G148" s="4">
        <f>+VLOOKUP(C148,Indicadores!B:C,2,FALSE)</f>
        <v>0.77709090909090905</v>
      </c>
      <c r="H148" s="1" t="str">
        <f t="shared" si="38"/>
        <v>Cumple</v>
      </c>
      <c r="I148" s="4">
        <f>+VLOOKUP(C148,Indicadores!B:F,5,FALSE)</f>
        <v>0.9375</v>
      </c>
      <c r="J148" s="1" t="str">
        <f t="shared" si="39"/>
        <v>Cumple</v>
      </c>
      <c r="K148" s="9">
        <f t="shared" si="34"/>
        <v>150000</v>
      </c>
      <c r="L148" s="4">
        <f>+VLOOKUP(C148,Indicadores!B:P,15,FALSE)</f>
        <v>0.73396666666666677</v>
      </c>
      <c r="M148" s="1" t="str">
        <f t="shared" si="40"/>
        <v>No Cumple</v>
      </c>
      <c r="N148" s="5">
        <f t="shared" si="47"/>
        <v>0</v>
      </c>
      <c r="O148" s="5">
        <f t="shared" si="35"/>
        <v>50000</v>
      </c>
      <c r="P148" s="4">
        <v>0.95</v>
      </c>
      <c r="Q148" s="5" t="str">
        <f t="shared" si="41"/>
        <v>Cumple</v>
      </c>
      <c r="R148" s="5">
        <f t="shared" si="42"/>
        <v>47500</v>
      </c>
      <c r="S148" s="5">
        <f t="shared" si="36"/>
        <v>50000</v>
      </c>
      <c r="T148" s="4">
        <f>+VLOOKUP(C148,Indicadores!B:V,21,FALSE)</f>
        <v>0.5</v>
      </c>
      <c r="U148" s="35" t="str">
        <f t="shared" si="43"/>
        <v>No Cumple</v>
      </c>
      <c r="V148" s="2">
        <f t="shared" si="44"/>
        <v>0</v>
      </c>
      <c r="W148" s="5" t="str">
        <f t="shared" si="45"/>
        <v>SI</v>
      </c>
      <c r="X148" s="5">
        <f t="shared" si="46"/>
        <v>47500</v>
      </c>
      <c r="Y148" s="1"/>
    </row>
    <row r="149" spans="2:25" x14ac:dyDescent="0.25">
      <c r="B149" s="1" t="s">
        <v>240</v>
      </c>
      <c r="C149" s="1" t="s">
        <v>154</v>
      </c>
      <c r="D149" s="1" t="s">
        <v>243</v>
      </c>
      <c r="E149" s="1" t="s">
        <v>344</v>
      </c>
      <c r="F149" s="2">
        <f t="shared" si="37"/>
        <v>250000</v>
      </c>
      <c r="G149" s="4">
        <f>+VLOOKUP(C149,Indicadores!B:C,2,FALSE)</f>
        <v>0.81150000000000011</v>
      </c>
      <c r="H149" s="1" t="str">
        <f t="shared" si="38"/>
        <v>Cumple</v>
      </c>
      <c r="I149" s="4">
        <f>+VLOOKUP(C149,Indicadores!B:F,5,FALSE)</f>
        <v>1</v>
      </c>
      <c r="J149" s="1" t="str">
        <f t="shared" si="39"/>
        <v>Cumple</v>
      </c>
      <c r="K149" s="9">
        <f t="shared" si="34"/>
        <v>150000</v>
      </c>
      <c r="L149" s="4">
        <f>+VLOOKUP(C149,Indicadores!B:P,15,FALSE)</f>
        <v>0.75490000000000002</v>
      </c>
      <c r="M149" s="1" t="str">
        <f t="shared" si="40"/>
        <v>No Cumple</v>
      </c>
      <c r="N149" s="5">
        <f t="shared" si="47"/>
        <v>0</v>
      </c>
      <c r="O149" s="5">
        <f t="shared" si="35"/>
        <v>50000</v>
      </c>
      <c r="P149" s="4">
        <v>0.95</v>
      </c>
      <c r="Q149" s="5" t="str">
        <f t="shared" si="41"/>
        <v>Cumple</v>
      </c>
      <c r="R149" s="5">
        <f t="shared" si="42"/>
        <v>47500</v>
      </c>
      <c r="S149" s="5">
        <f t="shared" si="36"/>
        <v>50000</v>
      </c>
      <c r="T149" s="4">
        <f>+VLOOKUP(C149,Indicadores!B:V,21,FALSE)</f>
        <v>0.5</v>
      </c>
      <c r="U149" s="35" t="str">
        <f t="shared" si="43"/>
        <v>No Cumple</v>
      </c>
      <c r="V149" s="2">
        <f t="shared" si="44"/>
        <v>0</v>
      </c>
      <c r="W149" s="5" t="str">
        <f t="shared" si="45"/>
        <v>SI</v>
      </c>
      <c r="X149" s="5">
        <f t="shared" si="46"/>
        <v>47500</v>
      </c>
      <c r="Y149" s="1"/>
    </row>
    <row r="150" spans="2:25" x14ac:dyDescent="0.25">
      <c r="B150" s="1" t="s">
        <v>240</v>
      </c>
      <c r="C150" s="1" t="s">
        <v>155</v>
      </c>
      <c r="D150" s="1" t="s">
        <v>243</v>
      </c>
      <c r="E150" s="1" t="s">
        <v>344</v>
      </c>
      <c r="F150" s="2">
        <f t="shared" si="37"/>
        <v>250000</v>
      </c>
      <c r="G150" s="4">
        <f>+VLOOKUP(C150,Indicadores!B:C,2,FALSE)</f>
        <v>0.81819090909090919</v>
      </c>
      <c r="H150" s="1" t="str">
        <f t="shared" si="38"/>
        <v>Cumple</v>
      </c>
      <c r="I150" s="4">
        <f>+VLOOKUP(C150,Indicadores!B:F,5,FALSE)</f>
        <v>0.89473684210526316</v>
      </c>
      <c r="J150" s="1" t="str">
        <f t="shared" si="39"/>
        <v>Cumple</v>
      </c>
      <c r="K150" s="9">
        <f t="shared" si="34"/>
        <v>150000</v>
      </c>
      <c r="L150" s="4">
        <f>+VLOOKUP(C150,Indicadores!B:P,15,FALSE)</f>
        <v>0.72226666666666661</v>
      </c>
      <c r="M150" s="1" t="str">
        <f t="shared" si="40"/>
        <v>No Cumple</v>
      </c>
      <c r="N150" s="5">
        <f t="shared" si="47"/>
        <v>0</v>
      </c>
      <c r="O150" s="5">
        <f t="shared" si="35"/>
        <v>50000</v>
      </c>
      <c r="P150" s="4">
        <v>0.95</v>
      </c>
      <c r="Q150" s="5" t="str">
        <f t="shared" si="41"/>
        <v>Cumple</v>
      </c>
      <c r="R150" s="5">
        <f t="shared" si="42"/>
        <v>47500</v>
      </c>
      <c r="S150" s="5">
        <f t="shared" si="36"/>
        <v>50000</v>
      </c>
      <c r="T150" s="4">
        <f>+VLOOKUP(C150,Indicadores!B:V,21,FALSE)</f>
        <v>1</v>
      </c>
      <c r="U150" s="35" t="str">
        <f t="shared" si="43"/>
        <v>Cumple</v>
      </c>
      <c r="V150" s="2">
        <f t="shared" si="44"/>
        <v>50000</v>
      </c>
      <c r="W150" s="5" t="str">
        <f t="shared" si="45"/>
        <v>SI</v>
      </c>
      <c r="X150" s="5">
        <f t="shared" si="46"/>
        <v>97500</v>
      </c>
      <c r="Y150" s="1"/>
    </row>
    <row r="151" spans="2:25" x14ac:dyDescent="0.25">
      <c r="B151" s="1" t="s">
        <v>240</v>
      </c>
      <c r="C151" s="1" t="s">
        <v>156</v>
      </c>
      <c r="D151" s="1" t="s">
        <v>243</v>
      </c>
      <c r="E151" s="1" t="s">
        <v>344</v>
      </c>
      <c r="F151" s="2">
        <f t="shared" si="37"/>
        <v>250000</v>
      </c>
      <c r="G151" s="4">
        <f>+VLOOKUP(C151,Indicadores!B:C,2,FALSE)</f>
        <v>0.77070000000000005</v>
      </c>
      <c r="H151" s="1" t="str">
        <f t="shared" si="38"/>
        <v>Cumple</v>
      </c>
      <c r="I151" s="4">
        <f>+VLOOKUP(C151,Indicadores!B:F,5,FALSE)</f>
        <v>0.83333333333333337</v>
      </c>
      <c r="J151" s="1" t="str">
        <f t="shared" si="39"/>
        <v>Cumple</v>
      </c>
      <c r="K151" s="9">
        <f t="shared" si="34"/>
        <v>150000</v>
      </c>
      <c r="L151" s="4">
        <f>+VLOOKUP(C151,Indicadores!B:P,15,FALSE)</f>
        <v>0.6303333333333333</v>
      </c>
      <c r="M151" s="1" t="str">
        <f t="shared" si="40"/>
        <v>No Cumple</v>
      </c>
      <c r="N151" s="5">
        <f t="shared" si="47"/>
        <v>0</v>
      </c>
      <c r="O151" s="5">
        <f t="shared" si="35"/>
        <v>50000</v>
      </c>
      <c r="P151" s="4">
        <v>0.95</v>
      </c>
      <c r="Q151" s="5" t="str">
        <f t="shared" si="41"/>
        <v>Cumple</v>
      </c>
      <c r="R151" s="5">
        <f t="shared" si="42"/>
        <v>47500</v>
      </c>
      <c r="S151" s="5">
        <f t="shared" si="36"/>
        <v>50000</v>
      </c>
      <c r="T151" s="4">
        <f>+VLOOKUP(C151,Indicadores!B:V,21,FALSE)</f>
        <v>0.5</v>
      </c>
      <c r="U151" s="35" t="str">
        <f t="shared" si="43"/>
        <v>No Cumple</v>
      </c>
      <c r="V151" s="2">
        <f t="shared" si="44"/>
        <v>0</v>
      </c>
      <c r="W151" s="5" t="str">
        <f t="shared" si="45"/>
        <v>SI</v>
      </c>
      <c r="X151" s="5">
        <f t="shared" si="46"/>
        <v>47500</v>
      </c>
      <c r="Y151" s="1"/>
    </row>
    <row r="152" spans="2:25" x14ac:dyDescent="0.25">
      <c r="B152" s="1" t="s">
        <v>240</v>
      </c>
      <c r="C152" s="1" t="s">
        <v>157</v>
      </c>
      <c r="D152" s="1" t="s">
        <v>243</v>
      </c>
      <c r="E152" s="1" t="s">
        <v>344</v>
      </c>
      <c r="F152" s="2">
        <f t="shared" si="37"/>
        <v>250000</v>
      </c>
      <c r="G152" s="4">
        <f>+VLOOKUP(C152,Indicadores!B:C,2,FALSE)</f>
        <v>0.776590909090909</v>
      </c>
      <c r="H152" s="1" t="str">
        <f t="shared" si="38"/>
        <v>Cumple</v>
      </c>
      <c r="I152" s="4">
        <f>+VLOOKUP(C152,Indicadores!B:F,5,FALSE)</f>
        <v>1</v>
      </c>
      <c r="J152" s="1" t="str">
        <f t="shared" si="39"/>
        <v>Cumple</v>
      </c>
      <c r="K152" s="9">
        <f t="shared" si="34"/>
        <v>150000</v>
      </c>
      <c r="L152" s="4">
        <f>+VLOOKUP(C152,Indicadores!B:P,15,FALSE)</f>
        <v>0.67166666666666652</v>
      </c>
      <c r="M152" s="1" t="str">
        <f t="shared" si="40"/>
        <v>No Cumple</v>
      </c>
      <c r="N152" s="5">
        <f t="shared" si="47"/>
        <v>0</v>
      </c>
      <c r="O152" s="5">
        <f t="shared" si="35"/>
        <v>50000</v>
      </c>
      <c r="P152" s="4">
        <v>0.95</v>
      </c>
      <c r="Q152" s="5" t="str">
        <f t="shared" si="41"/>
        <v>Cumple</v>
      </c>
      <c r="R152" s="5">
        <f t="shared" si="42"/>
        <v>47500</v>
      </c>
      <c r="S152" s="5">
        <f t="shared" si="36"/>
        <v>50000</v>
      </c>
      <c r="T152" s="4">
        <f>+VLOOKUP(C152,Indicadores!B:V,21,FALSE)</f>
        <v>0.99399999999999999</v>
      </c>
      <c r="U152" s="35" t="str">
        <f t="shared" si="43"/>
        <v>No Cumple</v>
      </c>
      <c r="V152" s="2">
        <f t="shared" si="44"/>
        <v>0</v>
      </c>
      <c r="W152" s="5" t="str">
        <f t="shared" si="45"/>
        <v>SI</v>
      </c>
      <c r="X152" s="5">
        <f t="shared" si="46"/>
        <v>47500</v>
      </c>
      <c r="Y152" s="1"/>
    </row>
    <row r="153" spans="2:25" x14ac:dyDescent="0.25">
      <c r="B153" s="1" t="s">
        <v>240</v>
      </c>
      <c r="C153" s="1" t="s">
        <v>158</v>
      </c>
      <c r="D153" s="1" t="s">
        <v>243</v>
      </c>
      <c r="E153" s="1" t="s">
        <v>344</v>
      </c>
      <c r="F153" s="2">
        <f t="shared" si="37"/>
        <v>250000</v>
      </c>
      <c r="G153" s="4">
        <f>+VLOOKUP(C153,Indicadores!B:C,2,FALSE)</f>
        <v>0.77338181818181806</v>
      </c>
      <c r="H153" s="1" t="str">
        <f t="shared" si="38"/>
        <v>Cumple</v>
      </c>
      <c r="I153" s="4">
        <f>+VLOOKUP(C153,Indicadores!B:F,5,FALSE)</f>
        <v>1</v>
      </c>
      <c r="J153" s="1" t="str">
        <f t="shared" si="39"/>
        <v>Cumple</v>
      </c>
      <c r="K153" s="9">
        <f t="shared" si="34"/>
        <v>150000</v>
      </c>
      <c r="L153" s="4">
        <f>+VLOOKUP(C153,Indicadores!B:P,15,FALSE)</f>
        <v>0.60483333333333333</v>
      </c>
      <c r="M153" s="1" t="str">
        <f t="shared" si="40"/>
        <v>No Cumple</v>
      </c>
      <c r="N153" s="5">
        <f t="shared" si="47"/>
        <v>0</v>
      </c>
      <c r="O153" s="5">
        <f t="shared" si="35"/>
        <v>50000</v>
      </c>
      <c r="P153" s="4">
        <v>0.95</v>
      </c>
      <c r="Q153" s="5" t="str">
        <f t="shared" si="41"/>
        <v>Cumple</v>
      </c>
      <c r="R153" s="5">
        <f t="shared" si="42"/>
        <v>47500</v>
      </c>
      <c r="S153" s="5">
        <f t="shared" si="36"/>
        <v>50000</v>
      </c>
      <c r="T153" s="4">
        <f>+VLOOKUP(C153,Indicadores!B:V,21,FALSE)</f>
        <v>1</v>
      </c>
      <c r="U153" s="35" t="str">
        <f t="shared" si="43"/>
        <v>Cumple</v>
      </c>
      <c r="V153" s="2">
        <f t="shared" si="44"/>
        <v>50000</v>
      </c>
      <c r="W153" s="5" t="str">
        <f t="shared" si="45"/>
        <v>SI</v>
      </c>
      <c r="X153" s="5">
        <f t="shared" si="46"/>
        <v>97500</v>
      </c>
      <c r="Y153" s="1"/>
    </row>
    <row r="154" spans="2:25" hidden="1" x14ac:dyDescent="0.25">
      <c r="B154" s="1" t="s">
        <v>239</v>
      </c>
      <c r="C154" s="1" t="s">
        <v>159</v>
      </c>
      <c r="D154" s="1" t="s">
        <v>243</v>
      </c>
      <c r="E154" s="1" t="s">
        <v>345</v>
      </c>
      <c r="F154" s="2">
        <f t="shared" si="37"/>
        <v>250000</v>
      </c>
      <c r="G154" s="4">
        <f>+VLOOKUP(C154,Indicadores!B:C,2,FALSE)</f>
        <v>0.8475454545454546</v>
      </c>
      <c r="H154" s="1" t="str">
        <f t="shared" si="38"/>
        <v>Cumple</v>
      </c>
      <c r="I154" s="4">
        <f>+VLOOKUP(C154,Indicadores!B:F,5,FALSE)</f>
        <v>1</v>
      </c>
      <c r="J154" s="1" t="str">
        <f t="shared" si="39"/>
        <v>Cumple</v>
      </c>
      <c r="K154" s="9">
        <f t="shared" si="34"/>
        <v>150000</v>
      </c>
      <c r="L154" s="4">
        <f>+VLOOKUP(C154,Indicadores!B:P,15,FALSE)</f>
        <v>0.82350000000000001</v>
      </c>
      <c r="M154" s="1" t="str">
        <f t="shared" si="40"/>
        <v>Cumple</v>
      </c>
      <c r="N154" s="5">
        <f t="shared" si="47"/>
        <v>120000</v>
      </c>
      <c r="O154" s="5">
        <f t="shared" si="35"/>
        <v>50000</v>
      </c>
      <c r="P154" s="4">
        <v>0.95</v>
      </c>
      <c r="Q154" s="5" t="str">
        <f t="shared" si="41"/>
        <v>Cumple</v>
      </c>
      <c r="R154" s="5">
        <f t="shared" si="42"/>
        <v>47500</v>
      </c>
      <c r="S154" s="5">
        <f t="shared" si="36"/>
        <v>50000</v>
      </c>
      <c r="T154" s="4">
        <f>+VLOOKUP(C154,Indicadores!B:V,21,FALSE)</f>
        <v>0.5</v>
      </c>
      <c r="U154" s="35" t="str">
        <f t="shared" si="43"/>
        <v>No Cumple</v>
      </c>
      <c r="V154" s="2">
        <f t="shared" si="44"/>
        <v>0</v>
      </c>
      <c r="W154" s="5" t="str">
        <f t="shared" si="45"/>
        <v>SI</v>
      </c>
      <c r="X154" s="5">
        <f t="shared" si="46"/>
        <v>167500</v>
      </c>
      <c r="Y154" s="1"/>
    </row>
    <row r="155" spans="2:25" hidden="1" x14ac:dyDescent="0.25">
      <c r="B155" s="1" t="s">
        <v>239</v>
      </c>
      <c r="C155" s="1" t="s">
        <v>160</v>
      </c>
      <c r="D155" s="1" t="s">
        <v>243</v>
      </c>
      <c r="E155" s="1" t="s">
        <v>345</v>
      </c>
      <c r="F155" s="2">
        <f t="shared" si="37"/>
        <v>250000</v>
      </c>
      <c r="G155" s="4">
        <f>+VLOOKUP(C155,Indicadores!B:C,2,FALSE)</f>
        <v>0.83440909090909088</v>
      </c>
      <c r="H155" s="1" t="str">
        <f t="shared" si="38"/>
        <v>Cumple</v>
      </c>
      <c r="I155" s="4">
        <f>+VLOOKUP(C155,Indicadores!B:F,5,FALSE)</f>
        <v>1</v>
      </c>
      <c r="J155" s="1" t="str">
        <f t="shared" si="39"/>
        <v>Cumple</v>
      </c>
      <c r="K155" s="9">
        <f t="shared" si="34"/>
        <v>150000</v>
      </c>
      <c r="L155" s="4">
        <f>+VLOOKUP(C155,Indicadores!B:P,15,FALSE)</f>
        <v>0.41899999999999998</v>
      </c>
      <c r="M155" s="1" t="str">
        <f t="shared" si="40"/>
        <v>No Cumple</v>
      </c>
      <c r="N155" s="5">
        <f t="shared" si="47"/>
        <v>0</v>
      </c>
      <c r="O155" s="5">
        <f t="shared" si="35"/>
        <v>50000</v>
      </c>
      <c r="P155" s="4">
        <v>0.95</v>
      </c>
      <c r="Q155" s="5" t="str">
        <f t="shared" si="41"/>
        <v>Cumple</v>
      </c>
      <c r="R155" s="5">
        <f t="shared" si="42"/>
        <v>47500</v>
      </c>
      <c r="S155" s="5">
        <f t="shared" si="36"/>
        <v>50000</v>
      </c>
      <c r="T155" s="4">
        <f>+VLOOKUP(C155,Indicadores!B:V,21,FALSE)</f>
        <v>0.5</v>
      </c>
      <c r="U155" s="35" t="str">
        <f t="shared" si="43"/>
        <v>No Cumple</v>
      </c>
      <c r="V155" s="2">
        <f t="shared" si="44"/>
        <v>0</v>
      </c>
      <c r="W155" s="5" t="str">
        <f t="shared" si="45"/>
        <v>SI</v>
      </c>
      <c r="X155" s="5">
        <f t="shared" si="46"/>
        <v>47500</v>
      </c>
      <c r="Y155" s="1"/>
    </row>
    <row r="156" spans="2:25" hidden="1" x14ac:dyDescent="0.25">
      <c r="B156" s="1" t="s">
        <v>239</v>
      </c>
      <c r="C156" s="1" t="s">
        <v>161</v>
      </c>
      <c r="D156" s="1" t="s">
        <v>243</v>
      </c>
      <c r="E156" s="1" t="s">
        <v>345</v>
      </c>
      <c r="F156" s="2">
        <f t="shared" si="37"/>
        <v>250000</v>
      </c>
      <c r="G156" s="4">
        <f>+VLOOKUP(C156,Indicadores!B:C,2,FALSE)</f>
        <v>0.70810909090909102</v>
      </c>
      <c r="H156" s="1" t="str">
        <f t="shared" si="38"/>
        <v>Cumple</v>
      </c>
      <c r="I156" s="4">
        <f>+VLOOKUP(C156,Indicadores!B:F,5,FALSE)</f>
        <v>0.58333333333333337</v>
      </c>
      <c r="J156" s="1" t="str">
        <f t="shared" si="39"/>
        <v>No Cumple</v>
      </c>
      <c r="K156" s="9">
        <f t="shared" si="34"/>
        <v>150000</v>
      </c>
      <c r="L156" s="4">
        <f>+VLOOKUP(C156,Indicadores!B:P,15,FALSE)</f>
        <v>0.29823333333333335</v>
      </c>
      <c r="M156" s="1" t="str">
        <f t="shared" si="40"/>
        <v>No Cumple</v>
      </c>
      <c r="N156" s="5">
        <f t="shared" si="47"/>
        <v>0</v>
      </c>
      <c r="O156" s="5">
        <f t="shared" si="35"/>
        <v>50000</v>
      </c>
      <c r="P156" s="4">
        <v>0.95</v>
      </c>
      <c r="Q156" s="5" t="str">
        <f t="shared" si="41"/>
        <v>Cumple</v>
      </c>
      <c r="R156" s="5">
        <f t="shared" si="42"/>
        <v>47500</v>
      </c>
      <c r="S156" s="5">
        <f t="shared" si="36"/>
        <v>50000</v>
      </c>
      <c r="T156" s="4">
        <f>+VLOOKUP(C156,Indicadores!B:V,21,FALSE)</f>
        <v>0.89470000000000005</v>
      </c>
      <c r="U156" s="35" t="str">
        <f t="shared" si="43"/>
        <v>No Cumple</v>
      </c>
      <c r="V156" s="2">
        <f t="shared" si="44"/>
        <v>40000</v>
      </c>
      <c r="W156" s="5" t="str">
        <f t="shared" si="45"/>
        <v>NO</v>
      </c>
      <c r="X156" s="5">
        <f t="shared" si="46"/>
        <v>0</v>
      </c>
      <c r="Y156" s="1"/>
    </row>
    <row r="157" spans="2:25" x14ac:dyDescent="0.25">
      <c r="B157" s="1" t="s">
        <v>239</v>
      </c>
      <c r="C157" s="1" t="s">
        <v>162</v>
      </c>
      <c r="D157" s="1" t="s">
        <v>243</v>
      </c>
      <c r="E157" s="1" t="s">
        <v>345</v>
      </c>
      <c r="F157" s="2">
        <f t="shared" si="37"/>
        <v>250000</v>
      </c>
      <c r="G157" s="4">
        <f>+VLOOKUP(C157,Indicadores!B:C,2,FALSE)</f>
        <v>0.82828181818181823</v>
      </c>
      <c r="H157" s="1" t="str">
        <f t="shared" si="38"/>
        <v>Cumple</v>
      </c>
      <c r="I157" s="4">
        <f>+VLOOKUP(C157,Indicadores!B:F,5,FALSE)</f>
        <v>1</v>
      </c>
      <c r="J157" s="1" t="str">
        <f t="shared" si="39"/>
        <v>Cumple</v>
      </c>
      <c r="K157" s="9">
        <f t="shared" si="34"/>
        <v>150000</v>
      </c>
      <c r="L157" s="4">
        <f>+VLOOKUP(C157,Indicadores!B:P,15,FALSE)</f>
        <v>0.59523333333333328</v>
      </c>
      <c r="M157" s="1" t="str">
        <f t="shared" si="40"/>
        <v>No Cumple</v>
      </c>
      <c r="N157" s="5">
        <f t="shared" si="47"/>
        <v>0</v>
      </c>
      <c r="O157" s="5">
        <f t="shared" si="35"/>
        <v>50000</v>
      </c>
      <c r="P157" s="4">
        <v>0.95</v>
      </c>
      <c r="Q157" s="5" t="str">
        <f t="shared" si="41"/>
        <v>Cumple</v>
      </c>
      <c r="R157" s="5">
        <f t="shared" si="42"/>
        <v>47500</v>
      </c>
      <c r="S157" s="5">
        <f t="shared" si="36"/>
        <v>50000</v>
      </c>
      <c r="T157" s="4">
        <f>+VLOOKUP(C157,Indicadores!B:V,21,FALSE)</f>
        <v>1</v>
      </c>
      <c r="U157" s="35" t="str">
        <f t="shared" si="43"/>
        <v>Cumple</v>
      </c>
      <c r="V157" s="2">
        <f t="shared" si="44"/>
        <v>50000</v>
      </c>
      <c r="W157" s="5" t="str">
        <f t="shared" si="45"/>
        <v>SI</v>
      </c>
      <c r="X157" s="5">
        <f t="shared" si="46"/>
        <v>97500</v>
      </c>
      <c r="Y157" s="1"/>
    </row>
    <row r="158" spans="2:25" x14ac:dyDescent="0.25">
      <c r="B158" s="1" t="s">
        <v>239</v>
      </c>
      <c r="C158" s="1" t="s">
        <v>163</v>
      </c>
      <c r="D158" s="1" t="s">
        <v>243</v>
      </c>
      <c r="E158" s="1" t="s">
        <v>345</v>
      </c>
      <c r="F158" s="2">
        <f t="shared" si="37"/>
        <v>250000</v>
      </c>
      <c r="G158" s="4">
        <f>+VLOOKUP(C158,Indicadores!B:C,2,FALSE)</f>
        <v>0.82155454545454554</v>
      </c>
      <c r="H158" s="1" t="str">
        <f t="shared" si="38"/>
        <v>Cumple</v>
      </c>
      <c r="I158" s="4">
        <f>+VLOOKUP(C158,Indicadores!B:F,5,FALSE)</f>
        <v>0.8571428571428571</v>
      </c>
      <c r="J158" s="1" t="str">
        <f t="shared" si="39"/>
        <v>Cumple</v>
      </c>
      <c r="K158" s="9">
        <f t="shared" si="34"/>
        <v>150000</v>
      </c>
      <c r="L158" s="4">
        <f>+VLOOKUP(C158,Indicadores!B:P,15,FALSE)</f>
        <v>0.61730000000000007</v>
      </c>
      <c r="M158" s="1" t="str">
        <f t="shared" si="40"/>
        <v>No Cumple</v>
      </c>
      <c r="N158" s="5">
        <f t="shared" si="47"/>
        <v>0</v>
      </c>
      <c r="O158" s="5">
        <f t="shared" si="35"/>
        <v>50000</v>
      </c>
      <c r="P158" s="4">
        <v>0.95</v>
      </c>
      <c r="Q158" s="5" t="str">
        <f t="shared" si="41"/>
        <v>Cumple</v>
      </c>
      <c r="R158" s="5">
        <f t="shared" si="42"/>
        <v>47500</v>
      </c>
      <c r="S158" s="5">
        <f t="shared" si="36"/>
        <v>50000</v>
      </c>
      <c r="T158" s="4">
        <f>+VLOOKUP(C158,Indicadores!B:V,21,FALSE)</f>
        <v>0.5</v>
      </c>
      <c r="U158" s="35" t="str">
        <f t="shared" si="43"/>
        <v>No Cumple</v>
      </c>
      <c r="V158" s="2">
        <f t="shared" si="44"/>
        <v>0</v>
      </c>
      <c r="W158" s="5" t="str">
        <f t="shared" si="45"/>
        <v>SI</v>
      </c>
      <c r="X158" s="5">
        <f t="shared" si="46"/>
        <v>47500</v>
      </c>
      <c r="Y158" s="1"/>
    </row>
    <row r="159" spans="2:25" hidden="1" x14ac:dyDescent="0.25">
      <c r="B159" s="1" t="s">
        <v>239</v>
      </c>
      <c r="C159" s="1" t="s">
        <v>164</v>
      </c>
      <c r="D159" s="1" t="s">
        <v>243</v>
      </c>
      <c r="E159" s="1" t="s">
        <v>345</v>
      </c>
      <c r="F159" s="2">
        <f t="shared" si="37"/>
        <v>250000</v>
      </c>
      <c r="G159" s="4">
        <f>+VLOOKUP(C159,Indicadores!B:C,2,FALSE)</f>
        <v>0.76262727272727271</v>
      </c>
      <c r="H159" s="1" t="str">
        <f t="shared" si="38"/>
        <v>Cumple</v>
      </c>
      <c r="I159" s="4">
        <f>+VLOOKUP(C159,Indicadores!B:F,5,FALSE)</f>
        <v>1</v>
      </c>
      <c r="J159" s="1" t="str">
        <f t="shared" si="39"/>
        <v>Cumple</v>
      </c>
      <c r="K159" s="9">
        <f t="shared" si="34"/>
        <v>150000</v>
      </c>
      <c r="L159" s="4">
        <f>+VLOOKUP(C159,Indicadores!B:P,15,FALSE)</f>
        <v>0.52083333333333337</v>
      </c>
      <c r="M159" s="1" t="str">
        <f t="shared" si="40"/>
        <v>No Cumple</v>
      </c>
      <c r="N159" s="5">
        <f t="shared" si="47"/>
        <v>0</v>
      </c>
      <c r="O159" s="5">
        <f t="shared" si="35"/>
        <v>50000</v>
      </c>
      <c r="P159" s="4">
        <v>0.95</v>
      </c>
      <c r="Q159" s="5" t="str">
        <f t="shared" si="41"/>
        <v>Cumple</v>
      </c>
      <c r="R159" s="5">
        <f t="shared" si="42"/>
        <v>47500</v>
      </c>
      <c r="S159" s="5">
        <f t="shared" si="36"/>
        <v>50000</v>
      </c>
      <c r="T159" s="4">
        <f>+VLOOKUP(C159,Indicadores!B:V,21,FALSE)</f>
        <v>1</v>
      </c>
      <c r="U159" s="35" t="str">
        <f t="shared" si="43"/>
        <v>Cumple</v>
      </c>
      <c r="V159" s="2">
        <f t="shared" si="44"/>
        <v>50000</v>
      </c>
      <c r="W159" s="5" t="str">
        <f t="shared" si="45"/>
        <v>SI</v>
      </c>
      <c r="X159" s="5">
        <f t="shared" si="46"/>
        <v>97500</v>
      </c>
      <c r="Y159" s="1"/>
    </row>
    <row r="160" spans="2:25" hidden="1" x14ac:dyDescent="0.25">
      <c r="B160" s="1" t="s">
        <v>239</v>
      </c>
      <c r="C160" s="1" t="s">
        <v>165</v>
      </c>
      <c r="D160" s="1" t="s">
        <v>243</v>
      </c>
      <c r="E160" s="1" t="s">
        <v>345</v>
      </c>
      <c r="F160" s="2">
        <f t="shared" si="37"/>
        <v>250000</v>
      </c>
      <c r="G160" s="4">
        <f>+VLOOKUP(C160,Indicadores!B:C,2,FALSE)</f>
        <v>0.75681818181818172</v>
      </c>
      <c r="H160" s="1" t="str">
        <f t="shared" si="38"/>
        <v>Cumple</v>
      </c>
      <c r="I160" s="4">
        <f>+VLOOKUP(C160,Indicadores!B:F,5,FALSE)</f>
        <v>0.90909090909090906</v>
      </c>
      <c r="J160" s="1" t="str">
        <f t="shared" si="39"/>
        <v>Cumple</v>
      </c>
      <c r="K160" s="9">
        <f t="shared" si="34"/>
        <v>150000</v>
      </c>
      <c r="L160" s="4">
        <f>+VLOOKUP(C160,Indicadores!B:P,15,FALSE)</f>
        <v>0.40860000000000002</v>
      </c>
      <c r="M160" s="1" t="str">
        <f t="shared" si="40"/>
        <v>No Cumple</v>
      </c>
      <c r="N160" s="5">
        <f t="shared" si="47"/>
        <v>0</v>
      </c>
      <c r="O160" s="5">
        <f t="shared" si="35"/>
        <v>50000</v>
      </c>
      <c r="P160" s="4">
        <v>0.95</v>
      </c>
      <c r="Q160" s="5" t="str">
        <f t="shared" si="41"/>
        <v>Cumple</v>
      </c>
      <c r="R160" s="5">
        <f t="shared" si="42"/>
        <v>47500</v>
      </c>
      <c r="S160" s="5">
        <f t="shared" si="36"/>
        <v>50000</v>
      </c>
      <c r="T160" s="4">
        <f>+VLOOKUP(C160,Indicadores!B:V,21,FALSE)</f>
        <v>1</v>
      </c>
      <c r="U160" s="35" t="str">
        <f t="shared" si="43"/>
        <v>Cumple</v>
      </c>
      <c r="V160" s="2">
        <f t="shared" si="44"/>
        <v>50000</v>
      </c>
      <c r="W160" s="5" t="str">
        <f t="shared" si="45"/>
        <v>SI</v>
      </c>
      <c r="X160" s="5">
        <f t="shared" si="46"/>
        <v>97500</v>
      </c>
      <c r="Y160" s="1"/>
    </row>
    <row r="161" spans="2:25" hidden="1" x14ac:dyDescent="0.25">
      <c r="B161" s="1" t="s">
        <v>239</v>
      </c>
      <c r="C161" s="1" t="s">
        <v>166</v>
      </c>
      <c r="D161" s="1" t="s">
        <v>243</v>
      </c>
      <c r="E161" s="1" t="s">
        <v>345</v>
      </c>
      <c r="F161" s="2">
        <f t="shared" si="37"/>
        <v>250000</v>
      </c>
      <c r="G161" s="4">
        <f>+VLOOKUP(C161,Indicadores!B:C,2,FALSE)</f>
        <v>0.800009090909091</v>
      </c>
      <c r="H161" s="1" t="str">
        <f t="shared" si="38"/>
        <v>Cumple</v>
      </c>
      <c r="I161" s="4">
        <f>+VLOOKUP(C161,Indicadores!B:F,5,FALSE)</f>
        <v>1</v>
      </c>
      <c r="J161" s="1" t="str">
        <f t="shared" si="39"/>
        <v>Cumple</v>
      </c>
      <c r="K161" s="9">
        <f t="shared" si="34"/>
        <v>150000</v>
      </c>
      <c r="L161" s="4">
        <f>+VLOOKUP(C161,Indicadores!B:P,15,FALSE)</f>
        <v>0.42553333333333332</v>
      </c>
      <c r="M161" s="1" t="str">
        <f t="shared" si="40"/>
        <v>No Cumple</v>
      </c>
      <c r="N161" s="5">
        <f t="shared" si="47"/>
        <v>0</v>
      </c>
      <c r="O161" s="5">
        <f t="shared" si="35"/>
        <v>50000</v>
      </c>
      <c r="P161" s="4">
        <v>0.95</v>
      </c>
      <c r="Q161" s="5" t="str">
        <f t="shared" si="41"/>
        <v>Cumple</v>
      </c>
      <c r="R161" s="5">
        <f t="shared" si="42"/>
        <v>47500</v>
      </c>
      <c r="S161" s="5">
        <f t="shared" si="36"/>
        <v>50000</v>
      </c>
      <c r="T161" s="4">
        <f>+VLOOKUP(C161,Indicadores!B:V,21,FALSE)</f>
        <v>1</v>
      </c>
      <c r="U161" s="35" t="str">
        <f t="shared" si="43"/>
        <v>Cumple</v>
      </c>
      <c r="V161" s="2">
        <f t="shared" si="44"/>
        <v>50000</v>
      </c>
      <c r="W161" s="5" t="str">
        <f t="shared" si="45"/>
        <v>SI</v>
      </c>
      <c r="X161" s="5">
        <f t="shared" si="46"/>
        <v>97500</v>
      </c>
      <c r="Y161" s="1"/>
    </row>
    <row r="162" spans="2:25" x14ac:dyDescent="0.25">
      <c r="B162" s="1" t="s">
        <v>239</v>
      </c>
      <c r="C162" s="1" t="s">
        <v>167</v>
      </c>
      <c r="D162" s="1" t="s">
        <v>243</v>
      </c>
      <c r="E162" s="1" t="s">
        <v>345</v>
      </c>
      <c r="F162" s="2">
        <f t="shared" si="37"/>
        <v>250000</v>
      </c>
      <c r="G162" s="4">
        <f>+VLOOKUP(C162,Indicadores!B:C,2,FALSE)</f>
        <v>0.92803636363636377</v>
      </c>
      <c r="H162" s="1" t="str">
        <f t="shared" si="38"/>
        <v>Cumple</v>
      </c>
      <c r="I162" s="4">
        <f>+VLOOKUP(C162,Indicadores!B:F,5,FALSE)</f>
        <v>1</v>
      </c>
      <c r="J162" s="1" t="str">
        <f t="shared" si="39"/>
        <v>Cumple</v>
      </c>
      <c r="K162" s="9">
        <f t="shared" si="34"/>
        <v>150000</v>
      </c>
      <c r="L162" s="4">
        <f>+VLOOKUP(C162,Indicadores!B:P,15,FALSE)</f>
        <v>0.74670000000000003</v>
      </c>
      <c r="M162" s="1" t="str">
        <f t="shared" si="40"/>
        <v>No Cumple</v>
      </c>
      <c r="N162" s="5">
        <f t="shared" si="47"/>
        <v>0</v>
      </c>
      <c r="O162" s="5">
        <f t="shared" si="35"/>
        <v>50000</v>
      </c>
      <c r="P162" s="4">
        <v>0.95</v>
      </c>
      <c r="Q162" s="5" t="str">
        <f t="shared" si="41"/>
        <v>Cumple</v>
      </c>
      <c r="R162" s="5">
        <f t="shared" si="42"/>
        <v>47500</v>
      </c>
      <c r="S162" s="5">
        <f t="shared" si="36"/>
        <v>50000</v>
      </c>
      <c r="T162" s="4">
        <f>+VLOOKUP(C162,Indicadores!B:V,21,FALSE)</f>
        <v>0.5</v>
      </c>
      <c r="U162" s="35" t="str">
        <f t="shared" si="43"/>
        <v>No Cumple</v>
      </c>
      <c r="V162" s="2">
        <f t="shared" si="44"/>
        <v>0</v>
      </c>
      <c r="W162" s="5" t="str">
        <f t="shared" si="45"/>
        <v>SI</v>
      </c>
      <c r="X162" s="5">
        <f t="shared" si="46"/>
        <v>47500</v>
      </c>
      <c r="Y162" s="1"/>
    </row>
    <row r="163" spans="2:25" x14ac:dyDescent="0.25">
      <c r="B163" s="1" t="s">
        <v>239</v>
      </c>
      <c r="C163" s="1" t="s">
        <v>168</v>
      </c>
      <c r="D163" s="1" t="s">
        <v>243</v>
      </c>
      <c r="E163" s="1" t="s">
        <v>345</v>
      </c>
      <c r="F163" s="2">
        <f t="shared" si="37"/>
        <v>250000</v>
      </c>
      <c r="G163" s="4">
        <f>+VLOOKUP(C163,Indicadores!B:C,2,FALSE)</f>
        <v>0.78182727272727282</v>
      </c>
      <c r="H163" s="1" t="str">
        <f t="shared" si="38"/>
        <v>Cumple</v>
      </c>
      <c r="I163" s="4">
        <f>+VLOOKUP(C163,Indicadores!B:F,5,FALSE)</f>
        <v>1</v>
      </c>
      <c r="J163" s="1" t="str">
        <f t="shared" si="39"/>
        <v>Cumple</v>
      </c>
      <c r="K163" s="9">
        <f t="shared" si="34"/>
        <v>150000</v>
      </c>
      <c r="L163" s="4">
        <f>+VLOOKUP(C163,Indicadores!B:P,15,FALSE)</f>
        <v>0.71110000000000007</v>
      </c>
      <c r="M163" s="1" t="str">
        <f t="shared" si="40"/>
        <v>No Cumple</v>
      </c>
      <c r="N163" s="5">
        <f t="shared" si="47"/>
        <v>0</v>
      </c>
      <c r="O163" s="5">
        <f t="shared" si="35"/>
        <v>50000</v>
      </c>
      <c r="P163" s="4">
        <v>0.95</v>
      </c>
      <c r="Q163" s="5" t="str">
        <f t="shared" si="41"/>
        <v>Cumple</v>
      </c>
      <c r="R163" s="5">
        <f t="shared" si="42"/>
        <v>47500</v>
      </c>
      <c r="S163" s="5">
        <f t="shared" si="36"/>
        <v>50000</v>
      </c>
      <c r="T163" s="4">
        <f>+VLOOKUP(C163,Indicadores!B:V,21,FALSE)</f>
        <v>0.98334999999999995</v>
      </c>
      <c r="U163" s="35" t="str">
        <f t="shared" si="43"/>
        <v>No Cumple</v>
      </c>
      <c r="V163" s="2">
        <f t="shared" si="44"/>
        <v>0</v>
      </c>
      <c r="W163" s="5" t="str">
        <f t="shared" si="45"/>
        <v>SI</v>
      </c>
      <c r="X163" s="5">
        <f t="shared" si="46"/>
        <v>47500</v>
      </c>
      <c r="Y163" s="1"/>
    </row>
    <row r="164" spans="2:25" hidden="1" x14ac:dyDescent="0.25">
      <c r="B164" s="1" t="s">
        <v>239</v>
      </c>
      <c r="C164" s="1" t="s">
        <v>169</v>
      </c>
      <c r="D164" s="1" t="s">
        <v>243</v>
      </c>
      <c r="E164" s="1" t="s">
        <v>345</v>
      </c>
      <c r="F164" s="2">
        <f t="shared" si="37"/>
        <v>250000</v>
      </c>
      <c r="G164" s="4">
        <f>+VLOOKUP(C164,Indicadores!B:C,2,FALSE)</f>
        <v>0.73587272727272712</v>
      </c>
      <c r="H164" s="1" t="str">
        <f t="shared" si="38"/>
        <v>Cumple</v>
      </c>
      <c r="I164" s="4">
        <f>+VLOOKUP(C164,Indicadores!B:F,5,FALSE)</f>
        <v>0.875</v>
      </c>
      <c r="J164" s="1" t="str">
        <f t="shared" si="39"/>
        <v>Cumple</v>
      </c>
      <c r="K164" s="9">
        <f t="shared" si="34"/>
        <v>150000</v>
      </c>
      <c r="L164" s="4">
        <f>+VLOOKUP(C164,Indicadores!B:P,15,FALSE)</f>
        <v>0.5067666666666667</v>
      </c>
      <c r="M164" s="1" t="str">
        <f t="shared" si="40"/>
        <v>No Cumple</v>
      </c>
      <c r="N164" s="5">
        <f t="shared" si="47"/>
        <v>0</v>
      </c>
      <c r="O164" s="5">
        <f t="shared" si="35"/>
        <v>50000</v>
      </c>
      <c r="P164" s="4">
        <v>0.95</v>
      </c>
      <c r="Q164" s="5" t="str">
        <f t="shared" si="41"/>
        <v>Cumple</v>
      </c>
      <c r="R164" s="5">
        <f t="shared" si="42"/>
        <v>47500</v>
      </c>
      <c r="S164" s="5">
        <f t="shared" si="36"/>
        <v>50000</v>
      </c>
      <c r="T164" s="4">
        <f>+VLOOKUP(C164,Indicadores!B:V,21,FALSE)</f>
        <v>0.45284999999999997</v>
      </c>
      <c r="U164" s="35" t="str">
        <f t="shared" si="43"/>
        <v>No Cumple</v>
      </c>
      <c r="V164" s="2">
        <f t="shared" si="44"/>
        <v>0</v>
      </c>
      <c r="W164" s="5" t="str">
        <f t="shared" si="45"/>
        <v>SI</v>
      </c>
      <c r="X164" s="5">
        <f t="shared" si="46"/>
        <v>47500</v>
      </c>
      <c r="Y164" s="1"/>
    </row>
    <row r="165" spans="2:25" x14ac:dyDescent="0.25">
      <c r="B165" s="1" t="s">
        <v>239</v>
      </c>
      <c r="C165" s="1" t="s">
        <v>170</v>
      </c>
      <c r="D165" s="1" t="s">
        <v>243</v>
      </c>
      <c r="E165" s="1" t="s">
        <v>345</v>
      </c>
      <c r="F165" s="2">
        <f t="shared" si="37"/>
        <v>250000</v>
      </c>
      <c r="G165" s="4">
        <f>+VLOOKUP(C165,Indicadores!B:C,2,FALSE)</f>
        <v>0.8316636363636366</v>
      </c>
      <c r="H165" s="1" t="str">
        <f t="shared" si="38"/>
        <v>Cumple</v>
      </c>
      <c r="I165" s="4">
        <f>+VLOOKUP(C165,Indicadores!B:F,5,FALSE)</f>
        <v>1</v>
      </c>
      <c r="J165" s="1" t="str">
        <f t="shared" si="39"/>
        <v>Cumple</v>
      </c>
      <c r="K165" s="9">
        <f t="shared" si="34"/>
        <v>150000</v>
      </c>
      <c r="L165" s="4">
        <f>+VLOOKUP(C165,Indicadores!B:P,15,FALSE)</f>
        <v>0.68396666666666661</v>
      </c>
      <c r="M165" s="1" t="str">
        <f t="shared" si="40"/>
        <v>No Cumple</v>
      </c>
      <c r="N165" s="5">
        <f t="shared" si="47"/>
        <v>0</v>
      </c>
      <c r="O165" s="5">
        <f t="shared" si="35"/>
        <v>50000</v>
      </c>
      <c r="P165" s="4">
        <v>0.95</v>
      </c>
      <c r="Q165" s="5" t="str">
        <f t="shared" si="41"/>
        <v>Cumple</v>
      </c>
      <c r="R165" s="5">
        <f t="shared" si="42"/>
        <v>47500</v>
      </c>
      <c r="S165" s="5">
        <f t="shared" si="36"/>
        <v>50000</v>
      </c>
      <c r="T165" s="4">
        <f>+VLOOKUP(C165,Indicadores!B:V,21,FALSE)</f>
        <v>0.49075000000000002</v>
      </c>
      <c r="U165" s="35" t="str">
        <f t="shared" si="43"/>
        <v>No Cumple</v>
      </c>
      <c r="V165" s="2">
        <f t="shared" si="44"/>
        <v>0</v>
      </c>
      <c r="W165" s="5" t="str">
        <f t="shared" si="45"/>
        <v>SI</v>
      </c>
      <c r="X165" s="5">
        <f t="shared" si="46"/>
        <v>47500</v>
      </c>
      <c r="Y165" s="1"/>
    </row>
    <row r="166" spans="2:25" hidden="1" x14ac:dyDescent="0.25">
      <c r="B166" s="1" t="s">
        <v>239</v>
      </c>
      <c r="C166" s="1" t="s">
        <v>171</v>
      </c>
      <c r="D166" s="1" t="s">
        <v>243</v>
      </c>
      <c r="E166" s="1" t="s">
        <v>345</v>
      </c>
      <c r="F166" s="2">
        <f t="shared" si="37"/>
        <v>250000</v>
      </c>
      <c r="G166" s="4">
        <f>+VLOOKUP(C166,Indicadores!B:C,2,FALSE)</f>
        <v>0.86429090909090922</v>
      </c>
      <c r="H166" s="1" t="str">
        <f t="shared" si="38"/>
        <v>Cumple</v>
      </c>
      <c r="I166" s="4">
        <f>+VLOOKUP(C166,Indicadores!B:F,5,FALSE)</f>
        <v>1</v>
      </c>
      <c r="J166" s="1" t="str">
        <f t="shared" si="39"/>
        <v>Cumple</v>
      </c>
      <c r="K166" s="9">
        <f t="shared" ref="K166:K193" si="48">+$F$4*$K$3</f>
        <v>150000</v>
      </c>
      <c r="L166" s="4">
        <f>+VLOOKUP(C166,Indicadores!B:P,15,FALSE)</f>
        <v>0.82303333333333339</v>
      </c>
      <c r="M166" s="1" t="str">
        <f t="shared" si="40"/>
        <v>Cumple</v>
      </c>
      <c r="N166" s="5">
        <f t="shared" si="47"/>
        <v>120000</v>
      </c>
      <c r="O166" s="5">
        <f t="shared" ref="O166:O193" si="49">+$F$4*$O$3</f>
        <v>50000</v>
      </c>
      <c r="P166" s="4">
        <v>0.95</v>
      </c>
      <c r="Q166" s="5" t="str">
        <f t="shared" si="41"/>
        <v>Cumple</v>
      </c>
      <c r="R166" s="5">
        <f t="shared" si="42"/>
        <v>47500</v>
      </c>
      <c r="S166" s="5">
        <f t="shared" ref="S166:S193" si="50">+$F$4*$S$3</f>
        <v>50000</v>
      </c>
      <c r="T166" s="4">
        <f>+VLOOKUP(C166,Indicadores!B:V,21,FALSE)</f>
        <v>0.5</v>
      </c>
      <c r="U166" s="35" t="str">
        <f t="shared" si="43"/>
        <v>No Cumple</v>
      </c>
      <c r="V166" s="2">
        <f t="shared" si="44"/>
        <v>0</v>
      </c>
      <c r="W166" s="5" t="str">
        <f t="shared" si="45"/>
        <v>SI</v>
      </c>
      <c r="X166" s="5">
        <f t="shared" si="46"/>
        <v>167500</v>
      </c>
      <c r="Y166" s="1"/>
    </row>
    <row r="167" spans="2:25" x14ac:dyDescent="0.25">
      <c r="B167" s="1" t="s">
        <v>234</v>
      </c>
      <c r="C167" s="1" t="s">
        <v>172</v>
      </c>
      <c r="D167" s="1" t="s">
        <v>243</v>
      </c>
      <c r="E167" s="1" t="s">
        <v>346</v>
      </c>
      <c r="F167" s="2">
        <f t="shared" si="37"/>
        <v>250000</v>
      </c>
      <c r="G167" s="4">
        <f>+VLOOKUP(C167,Indicadores!B:C,2,FALSE)</f>
        <v>0.81072727272727263</v>
      </c>
      <c r="H167" s="1" t="str">
        <f t="shared" si="38"/>
        <v>Cumple</v>
      </c>
      <c r="I167" s="4">
        <f>+VLOOKUP(C167,Indicadores!B:F,5,FALSE)</f>
        <v>1</v>
      </c>
      <c r="J167" s="1" t="str">
        <f t="shared" si="39"/>
        <v>Cumple</v>
      </c>
      <c r="K167" s="9">
        <f t="shared" si="48"/>
        <v>150000</v>
      </c>
      <c r="L167" s="4">
        <f>+VLOOKUP(C167,Indicadores!B:P,15,FALSE)</f>
        <v>0.66489999999999994</v>
      </c>
      <c r="M167" s="1" t="str">
        <f t="shared" si="40"/>
        <v>No Cumple</v>
      </c>
      <c r="N167" s="5">
        <f t="shared" si="47"/>
        <v>0</v>
      </c>
      <c r="O167" s="5">
        <f t="shared" si="49"/>
        <v>50000</v>
      </c>
      <c r="P167" s="4">
        <v>0.95</v>
      </c>
      <c r="Q167" s="5" t="str">
        <f t="shared" si="41"/>
        <v>Cumple</v>
      </c>
      <c r="R167" s="5">
        <f t="shared" si="42"/>
        <v>47500</v>
      </c>
      <c r="S167" s="5">
        <f t="shared" si="50"/>
        <v>50000</v>
      </c>
      <c r="T167" s="4">
        <f>+VLOOKUP(C167,Indicadores!B:V,21,FALSE)</f>
        <v>0.5</v>
      </c>
      <c r="U167" s="35" t="str">
        <f t="shared" si="43"/>
        <v>No Cumple</v>
      </c>
      <c r="V167" s="2">
        <f t="shared" si="44"/>
        <v>0</v>
      </c>
      <c r="W167" s="5" t="str">
        <f t="shared" si="45"/>
        <v>SI</v>
      </c>
      <c r="X167" s="5">
        <f t="shared" si="46"/>
        <v>47500</v>
      </c>
      <c r="Y167" s="1"/>
    </row>
    <row r="168" spans="2:25" x14ac:dyDescent="0.25">
      <c r="B168" s="1" t="s">
        <v>234</v>
      </c>
      <c r="C168" s="1" t="s">
        <v>173</v>
      </c>
      <c r="D168" s="1" t="s">
        <v>243</v>
      </c>
      <c r="E168" s="1" t="s">
        <v>346</v>
      </c>
      <c r="F168" s="2">
        <f t="shared" si="37"/>
        <v>250000</v>
      </c>
      <c r="G168" s="4">
        <f>+VLOOKUP(C168,Indicadores!B:C,2,FALSE)</f>
        <v>0.76818181818181808</v>
      </c>
      <c r="H168" s="1" t="str">
        <f t="shared" si="38"/>
        <v>Cumple</v>
      </c>
      <c r="I168" s="4">
        <f>+VLOOKUP(C168,Indicadores!B:F,5,FALSE)</f>
        <v>1</v>
      </c>
      <c r="J168" s="1" t="str">
        <f t="shared" si="39"/>
        <v>Cumple</v>
      </c>
      <c r="K168" s="9">
        <f t="shared" si="48"/>
        <v>150000</v>
      </c>
      <c r="L168" s="4">
        <f>+VLOOKUP(C168,Indicadores!B:P,15,FALSE)</f>
        <v>0.69446666666666668</v>
      </c>
      <c r="M168" s="1" t="str">
        <f t="shared" si="40"/>
        <v>No Cumple</v>
      </c>
      <c r="N168" s="5">
        <f t="shared" si="47"/>
        <v>0</v>
      </c>
      <c r="O168" s="5">
        <f t="shared" si="49"/>
        <v>50000</v>
      </c>
      <c r="P168" s="4">
        <v>0.95</v>
      </c>
      <c r="Q168" s="5" t="str">
        <f t="shared" si="41"/>
        <v>Cumple</v>
      </c>
      <c r="R168" s="5">
        <f t="shared" si="42"/>
        <v>47500</v>
      </c>
      <c r="S168" s="5">
        <f t="shared" si="50"/>
        <v>50000</v>
      </c>
      <c r="T168" s="4">
        <f>+VLOOKUP(C168,Indicadores!B:V,21,FALSE)</f>
        <v>0.5</v>
      </c>
      <c r="U168" s="35" t="str">
        <f t="shared" si="43"/>
        <v>No Cumple</v>
      </c>
      <c r="V168" s="2">
        <f t="shared" si="44"/>
        <v>0</v>
      </c>
      <c r="W168" s="5" t="str">
        <f t="shared" si="45"/>
        <v>SI</v>
      </c>
      <c r="X168" s="5">
        <f t="shared" si="46"/>
        <v>47500</v>
      </c>
      <c r="Y168" s="1"/>
    </row>
    <row r="169" spans="2:25" hidden="1" x14ac:dyDescent="0.25">
      <c r="B169" s="1" t="s">
        <v>234</v>
      </c>
      <c r="C169" s="1" t="s">
        <v>174</v>
      </c>
      <c r="D169" s="1" t="s">
        <v>243</v>
      </c>
      <c r="E169" s="1" t="s">
        <v>346</v>
      </c>
      <c r="F169" s="2">
        <f t="shared" si="37"/>
        <v>250000</v>
      </c>
      <c r="G169" s="4">
        <f>+VLOOKUP(C169,Indicadores!B:C,2,FALSE)</f>
        <v>0.72473636363636362</v>
      </c>
      <c r="H169" s="1" t="str">
        <f t="shared" si="38"/>
        <v>Cumple</v>
      </c>
      <c r="I169" s="4">
        <f>+VLOOKUP(C169,Indicadores!B:F,5,FALSE)</f>
        <v>1</v>
      </c>
      <c r="J169" s="1" t="str">
        <f t="shared" si="39"/>
        <v>Cumple</v>
      </c>
      <c r="K169" s="9">
        <f t="shared" si="48"/>
        <v>150000</v>
      </c>
      <c r="L169" s="4">
        <f>+VLOOKUP(C169,Indicadores!B:P,15,FALSE)</f>
        <v>0.46526666666666666</v>
      </c>
      <c r="M169" s="1" t="str">
        <f t="shared" si="40"/>
        <v>No Cumple</v>
      </c>
      <c r="N169" s="5">
        <f t="shared" si="47"/>
        <v>0</v>
      </c>
      <c r="O169" s="5">
        <f t="shared" si="49"/>
        <v>50000</v>
      </c>
      <c r="P169" s="4">
        <v>0.95</v>
      </c>
      <c r="Q169" s="5" t="str">
        <f t="shared" si="41"/>
        <v>Cumple</v>
      </c>
      <c r="R169" s="5">
        <f t="shared" si="42"/>
        <v>47500</v>
      </c>
      <c r="S169" s="5">
        <f t="shared" si="50"/>
        <v>50000</v>
      </c>
      <c r="T169" s="4">
        <f>+VLOOKUP(C169,Indicadores!B:V,21,FALSE)</f>
        <v>0.43459999999999999</v>
      </c>
      <c r="U169" s="35" t="str">
        <f t="shared" si="43"/>
        <v>No Cumple</v>
      </c>
      <c r="V169" s="2">
        <f t="shared" si="44"/>
        <v>0</v>
      </c>
      <c r="W169" s="5" t="str">
        <f t="shared" si="45"/>
        <v>SI</v>
      </c>
      <c r="X169" s="5">
        <f t="shared" si="46"/>
        <v>47500</v>
      </c>
      <c r="Y169" s="1"/>
    </row>
    <row r="170" spans="2:25" x14ac:dyDescent="0.25">
      <c r="B170" s="1" t="s">
        <v>234</v>
      </c>
      <c r="C170" s="1" t="s">
        <v>175</v>
      </c>
      <c r="D170" s="1" t="s">
        <v>243</v>
      </c>
      <c r="E170" s="1" t="s">
        <v>346</v>
      </c>
      <c r="F170" s="2">
        <f t="shared" si="37"/>
        <v>250000</v>
      </c>
      <c r="G170" s="4">
        <f>+VLOOKUP(C170,Indicadores!B:C,2,FALSE)</f>
        <v>0.80481818181818177</v>
      </c>
      <c r="H170" s="1" t="str">
        <f t="shared" si="38"/>
        <v>Cumple</v>
      </c>
      <c r="I170" s="4">
        <f>+VLOOKUP(C170,Indicadores!B:F,5,FALSE)</f>
        <v>0.94117647058823528</v>
      </c>
      <c r="J170" s="1" t="str">
        <f t="shared" si="39"/>
        <v>Cumple</v>
      </c>
      <c r="K170" s="9">
        <f t="shared" si="48"/>
        <v>150000</v>
      </c>
      <c r="L170" s="4">
        <f>+VLOOKUP(C170,Indicadores!B:P,15,FALSE)</f>
        <v>0.6830666666666666</v>
      </c>
      <c r="M170" s="1" t="str">
        <f t="shared" si="40"/>
        <v>No Cumple</v>
      </c>
      <c r="N170" s="5">
        <f t="shared" si="47"/>
        <v>0</v>
      </c>
      <c r="O170" s="5">
        <f t="shared" si="49"/>
        <v>50000</v>
      </c>
      <c r="P170" s="4">
        <v>0.95</v>
      </c>
      <c r="Q170" s="5" t="str">
        <f t="shared" si="41"/>
        <v>Cumple</v>
      </c>
      <c r="R170" s="5">
        <f t="shared" si="42"/>
        <v>47500</v>
      </c>
      <c r="S170" s="5">
        <f t="shared" si="50"/>
        <v>50000</v>
      </c>
      <c r="T170" s="4">
        <f>+VLOOKUP(C170,Indicadores!B:V,21,FALSE)</f>
        <v>0.5</v>
      </c>
      <c r="U170" s="35" t="str">
        <f t="shared" si="43"/>
        <v>No Cumple</v>
      </c>
      <c r="V170" s="2">
        <f t="shared" si="44"/>
        <v>0</v>
      </c>
      <c r="W170" s="5" t="str">
        <f t="shared" si="45"/>
        <v>SI</v>
      </c>
      <c r="X170" s="5">
        <f t="shared" si="46"/>
        <v>47500</v>
      </c>
      <c r="Y170" s="1"/>
    </row>
    <row r="171" spans="2:25" hidden="1" x14ac:dyDescent="0.25">
      <c r="B171" s="1" t="s">
        <v>234</v>
      </c>
      <c r="C171" s="1" t="s">
        <v>176</v>
      </c>
      <c r="D171" s="1" t="s">
        <v>243</v>
      </c>
      <c r="E171" s="1" t="s">
        <v>346</v>
      </c>
      <c r="F171" s="2">
        <f t="shared" si="37"/>
        <v>250000</v>
      </c>
      <c r="G171" s="4">
        <f>+VLOOKUP(C171,Indicadores!B:C,2,FALSE)</f>
        <v>0.80733636363636374</v>
      </c>
      <c r="H171" s="1" t="str">
        <f t="shared" si="38"/>
        <v>Cumple</v>
      </c>
      <c r="I171" s="4">
        <f>+VLOOKUP(C171,Indicadores!B:F,5,FALSE)</f>
        <v>0.95</v>
      </c>
      <c r="J171" s="1" t="str">
        <f t="shared" si="39"/>
        <v>Cumple</v>
      </c>
      <c r="K171" s="9">
        <f t="shared" si="48"/>
        <v>150000</v>
      </c>
      <c r="L171" s="4">
        <f>+VLOOKUP(C171,Indicadores!B:P,15,FALSE)</f>
        <v>0.46416666666666662</v>
      </c>
      <c r="M171" s="1" t="str">
        <f t="shared" si="40"/>
        <v>No Cumple</v>
      </c>
      <c r="N171" s="5">
        <f t="shared" si="47"/>
        <v>0</v>
      </c>
      <c r="O171" s="5">
        <f t="shared" si="49"/>
        <v>50000</v>
      </c>
      <c r="P171" s="4">
        <v>0.95</v>
      </c>
      <c r="Q171" s="5" t="str">
        <f t="shared" si="41"/>
        <v>Cumple</v>
      </c>
      <c r="R171" s="5">
        <f t="shared" si="42"/>
        <v>47500</v>
      </c>
      <c r="S171" s="5">
        <f t="shared" si="50"/>
        <v>50000</v>
      </c>
      <c r="T171" s="4">
        <f>+VLOOKUP(C171,Indicadores!B:V,21,FALSE)</f>
        <v>0.4965</v>
      </c>
      <c r="U171" s="35" t="str">
        <f t="shared" si="43"/>
        <v>No Cumple</v>
      </c>
      <c r="V171" s="2">
        <f t="shared" si="44"/>
        <v>0</v>
      </c>
      <c r="W171" s="5" t="str">
        <f t="shared" si="45"/>
        <v>SI</v>
      </c>
      <c r="X171" s="5">
        <f t="shared" si="46"/>
        <v>47500</v>
      </c>
      <c r="Y171" s="1"/>
    </row>
    <row r="172" spans="2:25" x14ac:dyDescent="0.25">
      <c r="B172" s="1" t="s">
        <v>234</v>
      </c>
      <c r="C172" s="1" t="s">
        <v>177</v>
      </c>
      <c r="D172" s="1" t="s">
        <v>243</v>
      </c>
      <c r="E172" s="1" t="s">
        <v>346</v>
      </c>
      <c r="F172" s="2">
        <f t="shared" si="37"/>
        <v>250000</v>
      </c>
      <c r="G172" s="4">
        <f>+VLOOKUP(C172,Indicadores!B:C,2,FALSE)</f>
        <v>0.78473636363636379</v>
      </c>
      <c r="H172" s="1" t="str">
        <f t="shared" si="38"/>
        <v>Cumple</v>
      </c>
      <c r="I172" s="4">
        <f>+VLOOKUP(C172,Indicadores!B:F,5,FALSE)</f>
        <v>0.93333333333333335</v>
      </c>
      <c r="J172" s="1" t="str">
        <f t="shared" si="39"/>
        <v>Cumple</v>
      </c>
      <c r="K172" s="9">
        <f t="shared" si="48"/>
        <v>150000</v>
      </c>
      <c r="L172" s="4">
        <f>+VLOOKUP(C172,Indicadores!B:P,15,FALSE)</f>
        <v>0.69136666666666668</v>
      </c>
      <c r="M172" s="1" t="str">
        <f t="shared" si="40"/>
        <v>No Cumple</v>
      </c>
      <c r="N172" s="5">
        <f t="shared" si="47"/>
        <v>0</v>
      </c>
      <c r="O172" s="5">
        <f t="shared" si="49"/>
        <v>50000</v>
      </c>
      <c r="P172" s="4">
        <v>0.95</v>
      </c>
      <c r="Q172" s="5" t="str">
        <f t="shared" si="41"/>
        <v>Cumple</v>
      </c>
      <c r="R172" s="5">
        <f t="shared" si="42"/>
        <v>47500</v>
      </c>
      <c r="S172" s="5">
        <f t="shared" si="50"/>
        <v>50000</v>
      </c>
      <c r="T172" s="4">
        <f>+VLOOKUP(C172,Indicadores!B:V,21,FALSE)</f>
        <v>0.5</v>
      </c>
      <c r="U172" s="35" t="str">
        <f t="shared" si="43"/>
        <v>No Cumple</v>
      </c>
      <c r="V172" s="2">
        <f t="shared" si="44"/>
        <v>0</v>
      </c>
      <c r="W172" s="5" t="str">
        <f t="shared" si="45"/>
        <v>SI</v>
      </c>
      <c r="X172" s="5">
        <f t="shared" si="46"/>
        <v>47500</v>
      </c>
      <c r="Y172" s="1"/>
    </row>
    <row r="173" spans="2:25" hidden="1" x14ac:dyDescent="0.25">
      <c r="B173" s="1" t="s">
        <v>234</v>
      </c>
      <c r="C173" s="1" t="s">
        <v>178</v>
      </c>
      <c r="D173" s="1" t="s">
        <v>243</v>
      </c>
      <c r="E173" s="1" t="s">
        <v>346</v>
      </c>
      <c r="F173" s="2">
        <f t="shared" si="37"/>
        <v>250000</v>
      </c>
      <c r="G173" s="4">
        <f>+VLOOKUP(C173,Indicadores!B:C,2,FALSE)</f>
        <v>0.7593545454545455</v>
      </c>
      <c r="H173" s="1" t="str">
        <f t="shared" si="38"/>
        <v>Cumple</v>
      </c>
      <c r="I173" s="4">
        <f>+VLOOKUP(C173,Indicadores!B:F,5,FALSE)</f>
        <v>0.875</v>
      </c>
      <c r="J173" s="1" t="str">
        <f t="shared" si="39"/>
        <v>Cumple</v>
      </c>
      <c r="K173" s="9">
        <f t="shared" si="48"/>
        <v>150000</v>
      </c>
      <c r="L173" s="4">
        <f>+VLOOKUP(C173,Indicadores!B:P,15,FALSE)</f>
        <v>0.46690000000000004</v>
      </c>
      <c r="M173" s="1" t="str">
        <f t="shared" si="40"/>
        <v>No Cumple</v>
      </c>
      <c r="N173" s="5">
        <f t="shared" si="47"/>
        <v>0</v>
      </c>
      <c r="O173" s="5">
        <f t="shared" si="49"/>
        <v>50000</v>
      </c>
      <c r="P173" s="4">
        <v>0.95</v>
      </c>
      <c r="Q173" s="5" t="str">
        <f t="shared" si="41"/>
        <v>Cumple</v>
      </c>
      <c r="R173" s="5">
        <f t="shared" si="42"/>
        <v>47500</v>
      </c>
      <c r="S173" s="5">
        <f t="shared" si="50"/>
        <v>50000</v>
      </c>
      <c r="T173" s="4">
        <f>+VLOOKUP(C173,Indicadores!B:V,21,FALSE)</f>
        <v>0.49264999999999998</v>
      </c>
      <c r="U173" s="35" t="str">
        <f t="shared" si="43"/>
        <v>No Cumple</v>
      </c>
      <c r="V173" s="2">
        <f t="shared" si="44"/>
        <v>0</v>
      </c>
      <c r="W173" s="5" t="str">
        <f t="shared" si="45"/>
        <v>SI</v>
      </c>
      <c r="X173" s="5">
        <f t="shared" si="46"/>
        <v>47500</v>
      </c>
      <c r="Y173" s="1"/>
    </row>
    <row r="174" spans="2:25" x14ac:dyDescent="0.25">
      <c r="B174" s="1" t="s">
        <v>234</v>
      </c>
      <c r="C174" s="1" t="s">
        <v>179</v>
      </c>
      <c r="D174" s="1" t="s">
        <v>243</v>
      </c>
      <c r="E174" s="1" t="s">
        <v>346</v>
      </c>
      <c r="F174" s="2">
        <f t="shared" si="37"/>
        <v>250000</v>
      </c>
      <c r="G174" s="4">
        <f>+VLOOKUP(C174,Indicadores!B:C,2,FALSE)</f>
        <v>0.8062454545454546</v>
      </c>
      <c r="H174" s="1" t="str">
        <f t="shared" si="38"/>
        <v>Cumple</v>
      </c>
      <c r="I174" s="4">
        <f>+VLOOKUP(C174,Indicadores!B:F,5,FALSE)</f>
        <v>0.8571428571428571</v>
      </c>
      <c r="J174" s="1" t="str">
        <f t="shared" si="39"/>
        <v>Cumple</v>
      </c>
      <c r="K174" s="9">
        <f t="shared" si="48"/>
        <v>150000</v>
      </c>
      <c r="L174" s="4">
        <f>+VLOOKUP(C174,Indicadores!B:P,15,FALSE)</f>
        <v>0.73043333333333338</v>
      </c>
      <c r="M174" s="1" t="str">
        <f t="shared" si="40"/>
        <v>No Cumple</v>
      </c>
      <c r="N174" s="5">
        <f t="shared" si="47"/>
        <v>0</v>
      </c>
      <c r="O174" s="5">
        <f t="shared" si="49"/>
        <v>50000</v>
      </c>
      <c r="P174" s="4">
        <v>0.95</v>
      </c>
      <c r="Q174" s="5" t="str">
        <f t="shared" si="41"/>
        <v>Cumple</v>
      </c>
      <c r="R174" s="5">
        <f t="shared" si="42"/>
        <v>47500</v>
      </c>
      <c r="S174" s="5">
        <f t="shared" si="50"/>
        <v>50000</v>
      </c>
      <c r="T174" s="4">
        <f>+VLOOKUP(C174,Indicadores!B:V,21,FALSE)</f>
        <v>0.49180000000000001</v>
      </c>
      <c r="U174" s="35" t="str">
        <f t="shared" si="43"/>
        <v>No Cumple</v>
      </c>
      <c r="V174" s="2">
        <f t="shared" si="44"/>
        <v>0</v>
      </c>
      <c r="W174" s="5" t="str">
        <f t="shared" si="45"/>
        <v>SI</v>
      </c>
      <c r="X174" s="5">
        <f t="shared" si="46"/>
        <v>47500</v>
      </c>
      <c r="Y174" s="1"/>
    </row>
    <row r="175" spans="2:25" x14ac:dyDescent="0.25">
      <c r="B175" s="1" t="s">
        <v>234</v>
      </c>
      <c r="C175" s="1" t="s">
        <v>180</v>
      </c>
      <c r="D175" s="1" t="s">
        <v>243</v>
      </c>
      <c r="E175" s="1" t="s">
        <v>346</v>
      </c>
      <c r="F175" s="2">
        <f t="shared" si="37"/>
        <v>250000</v>
      </c>
      <c r="G175" s="4">
        <f>+VLOOKUP(C175,Indicadores!B:C,2,FALSE)</f>
        <v>0.71885454545454541</v>
      </c>
      <c r="H175" s="1" t="str">
        <f t="shared" si="38"/>
        <v>Cumple</v>
      </c>
      <c r="I175" s="4">
        <f>+VLOOKUP(C175,Indicadores!B:F,5,FALSE)</f>
        <v>0.8571428571428571</v>
      </c>
      <c r="J175" s="1" t="str">
        <f t="shared" si="39"/>
        <v>Cumple</v>
      </c>
      <c r="K175" s="9">
        <f t="shared" si="48"/>
        <v>150000</v>
      </c>
      <c r="L175" s="4">
        <f>+VLOOKUP(C175,Indicadores!B:P,15,FALSE)</f>
        <v>0.74230000000000007</v>
      </c>
      <c r="M175" s="1" t="str">
        <f t="shared" si="40"/>
        <v>No Cumple</v>
      </c>
      <c r="N175" s="5">
        <f t="shared" si="47"/>
        <v>0</v>
      </c>
      <c r="O175" s="5">
        <f t="shared" si="49"/>
        <v>50000</v>
      </c>
      <c r="P175" s="4">
        <v>0.95</v>
      </c>
      <c r="Q175" s="5" t="str">
        <f t="shared" si="41"/>
        <v>Cumple</v>
      </c>
      <c r="R175" s="5">
        <f t="shared" si="42"/>
        <v>47500</v>
      </c>
      <c r="S175" s="5">
        <f t="shared" si="50"/>
        <v>50000</v>
      </c>
      <c r="T175" s="4">
        <f>+VLOOKUP(C175,Indicadores!B:V,21,FALSE)</f>
        <v>0.47220000000000001</v>
      </c>
      <c r="U175" s="35" t="str">
        <f t="shared" si="43"/>
        <v>No Cumple</v>
      </c>
      <c r="V175" s="2">
        <f t="shared" si="44"/>
        <v>0</v>
      </c>
      <c r="W175" s="5" t="str">
        <f t="shared" si="45"/>
        <v>SI</v>
      </c>
      <c r="X175" s="5">
        <f t="shared" si="46"/>
        <v>47500</v>
      </c>
      <c r="Y175" s="1"/>
    </row>
    <row r="176" spans="2:25" x14ac:dyDescent="0.25">
      <c r="B176" s="1" t="s">
        <v>234</v>
      </c>
      <c r="C176" s="1" t="s">
        <v>181</v>
      </c>
      <c r="D176" s="1" t="s">
        <v>243</v>
      </c>
      <c r="E176" s="1" t="s">
        <v>346</v>
      </c>
      <c r="F176" s="2">
        <f t="shared" si="37"/>
        <v>250000</v>
      </c>
      <c r="G176" s="4">
        <f>+VLOOKUP(C176,Indicadores!B:C,2,FALSE)</f>
        <v>0.76791818181818183</v>
      </c>
      <c r="H176" s="1" t="str">
        <f t="shared" si="38"/>
        <v>Cumple</v>
      </c>
      <c r="I176" s="4">
        <f>+VLOOKUP(C176,Indicadores!B:F,5,FALSE)</f>
        <v>0.93333333333333335</v>
      </c>
      <c r="J176" s="1" t="str">
        <f t="shared" si="39"/>
        <v>Cumple</v>
      </c>
      <c r="K176" s="9">
        <f t="shared" si="48"/>
        <v>150000</v>
      </c>
      <c r="L176" s="4">
        <f>+VLOOKUP(C176,Indicadores!B:P,15,FALSE)</f>
        <v>0.65973333333333339</v>
      </c>
      <c r="M176" s="1" t="str">
        <f t="shared" si="40"/>
        <v>No Cumple</v>
      </c>
      <c r="N176" s="5">
        <f t="shared" si="47"/>
        <v>0</v>
      </c>
      <c r="O176" s="5">
        <f t="shared" si="49"/>
        <v>50000</v>
      </c>
      <c r="P176" s="4">
        <v>0.95</v>
      </c>
      <c r="Q176" s="5" t="str">
        <f t="shared" si="41"/>
        <v>Cumple</v>
      </c>
      <c r="R176" s="5">
        <f t="shared" si="42"/>
        <v>47500</v>
      </c>
      <c r="S176" s="5">
        <f t="shared" si="50"/>
        <v>50000</v>
      </c>
      <c r="T176" s="4">
        <f>+VLOOKUP(C176,Indicadores!B:V,21,FALSE)</f>
        <v>0.49469999999999997</v>
      </c>
      <c r="U176" s="35" t="str">
        <f t="shared" si="43"/>
        <v>No Cumple</v>
      </c>
      <c r="V176" s="2">
        <f t="shared" si="44"/>
        <v>0</v>
      </c>
      <c r="W176" s="5" t="str">
        <f t="shared" si="45"/>
        <v>SI</v>
      </c>
      <c r="X176" s="5">
        <f t="shared" si="46"/>
        <v>47500</v>
      </c>
      <c r="Y176" s="1"/>
    </row>
    <row r="177" spans="2:25" hidden="1" x14ac:dyDescent="0.25">
      <c r="B177" s="1" t="s">
        <v>234</v>
      </c>
      <c r="C177" s="1" t="s">
        <v>182</v>
      </c>
      <c r="D177" s="1" t="s">
        <v>243</v>
      </c>
      <c r="E177" s="1" t="s">
        <v>346</v>
      </c>
      <c r="F177" s="2">
        <f t="shared" si="37"/>
        <v>250000</v>
      </c>
      <c r="G177" s="4">
        <f>+VLOOKUP(C177,Indicadores!B:C,2,FALSE)</f>
        <v>0.80380909090909103</v>
      </c>
      <c r="H177" s="1" t="str">
        <f t="shared" si="38"/>
        <v>Cumple</v>
      </c>
      <c r="I177" s="4">
        <f>+VLOOKUP(C177,Indicadores!B:F,5,FALSE)</f>
        <v>0.8571428571428571</v>
      </c>
      <c r="J177" s="1" t="str">
        <f t="shared" si="39"/>
        <v>Cumple</v>
      </c>
      <c r="K177" s="9">
        <f t="shared" si="48"/>
        <v>150000</v>
      </c>
      <c r="L177" s="4">
        <f>+VLOOKUP(C177,Indicadores!B:P,15,FALSE)</f>
        <v>0.54759999999999998</v>
      </c>
      <c r="M177" s="1" t="str">
        <f t="shared" si="40"/>
        <v>No Cumple</v>
      </c>
      <c r="N177" s="5">
        <f t="shared" si="47"/>
        <v>0</v>
      </c>
      <c r="O177" s="5">
        <f t="shared" si="49"/>
        <v>50000</v>
      </c>
      <c r="P177" s="4">
        <v>0.95</v>
      </c>
      <c r="Q177" s="5" t="str">
        <f t="shared" si="41"/>
        <v>Cumple</v>
      </c>
      <c r="R177" s="5">
        <f t="shared" si="42"/>
        <v>47500</v>
      </c>
      <c r="S177" s="5">
        <f t="shared" si="50"/>
        <v>50000</v>
      </c>
      <c r="T177" s="4">
        <f>+VLOOKUP(C177,Indicadores!B:V,21,FALSE)</f>
        <v>0.49585000000000001</v>
      </c>
      <c r="U177" s="35" t="str">
        <f t="shared" si="43"/>
        <v>No Cumple</v>
      </c>
      <c r="V177" s="2">
        <f t="shared" si="44"/>
        <v>0</v>
      </c>
      <c r="W177" s="5" t="str">
        <f t="shared" si="45"/>
        <v>SI</v>
      </c>
      <c r="X177" s="5">
        <f t="shared" si="46"/>
        <v>47500</v>
      </c>
      <c r="Y177" s="1"/>
    </row>
    <row r="178" spans="2:25" hidden="1" x14ac:dyDescent="0.25">
      <c r="B178" s="1" t="s">
        <v>233</v>
      </c>
      <c r="C178" s="1" t="s">
        <v>183</v>
      </c>
      <c r="D178" s="1" t="s">
        <v>242</v>
      </c>
      <c r="E178" s="1" t="s">
        <v>302</v>
      </c>
      <c r="F178" s="2">
        <f t="shared" si="37"/>
        <v>250000</v>
      </c>
      <c r="G178" s="4">
        <f>+VLOOKUP(C178,Indicadores!B:C,2,FALSE)</f>
        <v>0.72020909090909091</v>
      </c>
      <c r="H178" s="1" t="str">
        <f t="shared" si="38"/>
        <v>Cumple</v>
      </c>
      <c r="I178" s="4">
        <f>+VLOOKUP(C178,Indicadores!B:F,5,FALSE)</f>
        <v>1</v>
      </c>
      <c r="J178" s="1" t="str">
        <f t="shared" si="39"/>
        <v>Cumple</v>
      </c>
      <c r="K178" s="9">
        <f t="shared" si="48"/>
        <v>150000</v>
      </c>
      <c r="L178" s="4">
        <f>+VLOOKUP(C178,Indicadores!B:P,15,FALSE)</f>
        <v>0.32529999999999998</v>
      </c>
      <c r="M178" s="1" t="str">
        <f t="shared" si="40"/>
        <v>No Cumple</v>
      </c>
      <c r="N178" s="5">
        <f t="shared" si="47"/>
        <v>0</v>
      </c>
      <c r="O178" s="5">
        <f t="shared" si="49"/>
        <v>50000</v>
      </c>
      <c r="P178" s="4">
        <v>0.95</v>
      </c>
      <c r="Q178" s="5" t="str">
        <f t="shared" si="41"/>
        <v>Cumple</v>
      </c>
      <c r="R178" s="5">
        <f t="shared" si="42"/>
        <v>47500</v>
      </c>
      <c r="S178" s="5">
        <f t="shared" si="50"/>
        <v>50000</v>
      </c>
      <c r="T178" s="4">
        <f>+VLOOKUP(C178,Indicadores!B:V,21,FALSE)</f>
        <v>0.4889</v>
      </c>
      <c r="U178" s="35" t="str">
        <f t="shared" si="43"/>
        <v>No Cumple</v>
      </c>
      <c r="V178" s="2">
        <f t="shared" si="44"/>
        <v>0</v>
      </c>
      <c r="W178" s="5" t="str">
        <f t="shared" si="45"/>
        <v>SI</v>
      </c>
      <c r="X178" s="5">
        <f t="shared" si="46"/>
        <v>47500</v>
      </c>
      <c r="Y178" s="1"/>
    </row>
    <row r="179" spans="2:25" hidden="1" x14ac:dyDescent="0.25">
      <c r="B179" s="1" t="s">
        <v>233</v>
      </c>
      <c r="C179" s="1" t="s">
        <v>184</v>
      </c>
      <c r="D179" s="1" t="s">
        <v>242</v>
      </c>
      <c r="E179" s="1" t="s">
        <v>302</v>
      </c>
      <c r="F179" s="2">
        <f t="shared" si="37"/>
        <v>250000</v>
      </c>
      <c r="G179" s="4">
        <f>+VLOOKUP(C179,Indicadores!B:C,2,FALSE)</f>
        <v>0.75001818181818181</v>
      </c>
      <c r="H179" s="1" t="str">
        <f t="shared" si="38"/>
        <v>Cumple</v>
      </c>
      <c r="I179" s="4">
        <f>+VLOOKUP(C179,Indicadores!B:F,5,FALSE)</f>
        <v>0.66666666666666663</v>
      </c>
      <c r="J179" s="1" t="str">
        <f t="shared" si="39"/>
        <v>No Cumple</v>
      </c>
      <c r="K179" s="9">
        <f t="shared" si="48"/>
        <v>150000</v>
      </c>
      <c r="L179" s="4">
        <f>+VLOOKUP(C179,Indicadores!B:P,15,FALSE)</f>
        <v>0.3571333333333333</v>
      </c>
      <c r="M179" s="1" t="str">
        <f t="shared" si="40"/>
        <v>No Cumple</v>
      </c>
      <c r="N179" s="5">
        <f t="shared" si="47"/>
        <v>0</v>
      </c>
      <c r="O179" s="5">
        <f t="shared" si="49"/>
        <v>50000</v>
      </c>
      <c r="P179" s="4">
        <v>0.95</v>
      </c>
      <c r="Q179" s="5" t="str">
        <f t="shared" si="41"/>
        <v>Cumple</v>
      </c>
      <c r="R179" s="5">
        <f t="shared" si="42"/>
        <v>47500</v>
      </c>
      <c r="S179" s="5">
        <f t="shared" si="50"/>
        <v>50000</v>
      </c>
      <c r="T179" s="4">
        <f>+VLOOKUP(C179,Indicadores!B:V,21,FALSE)</f>
        <v>0.48959999999999998</v>
      </c>
      <c r="U179" s="35" t="str">
        <f t="shared" si="43"/>
        <v>No Cumple</v>
      </c>
      <c r="V179" s="2">
        <f t="shared" si="44"/>
        <v>0</v>
      </c>
      <c r="W179" s="5" t="str">
        <f t="shared" si="45"/>
        <v>NO</v>
      </c>
      <c r="X179" s="5">
        <f t="shared" si="46"/>
        <v>0</v>
      </c>
      <c r="Y179" s="1"/>
    </row>
    <row r="180" spans="2:25" hidden="1" x14ac:dyDescent="0.25">
      <c r="B180" s="1" t="s">
        <v>233</v>
      </c>
      <c r="C180" s="1" t="s">
        <v>185</v>
      </c>
      <c r="D180" s="1" t="s">
        <v>242</v>
      </c>
      <c r="E180" s="1" t="s">
        <v>302</v>
      </c>
      <c r="F180" s="2">
        <f t="shared" si="37"/>
        <v>250000</v>
      </c>
      <c r="G180" s="4">
        <f>+VLOOKUP(C180,Indicadores!B:C,2,FALSE)</f>
        <v>0.81818181818181823</v>
      </c>
      <c r="H180" s="1" t="str">
        <f t="shared" si="38"/>
        <v>Cumple</v>
      </c>
      <c r="I180" s="4">
        <f>+VLOOKUP(C180,Indicadores!B:F,5,FALSE)</f>
        <v>0.5</v>
      </c>
      <c r="J180" s="1" t="str">
        <f t="shared" si="39"/>
        <v>No Cumple</v>
      </c>
      <c r="K180" s="9">
        <f t="shared" si="48"/>
        <v>150000</v>
      </c>
      <c r="L180" s="4">
        <f>+VLOOKUP(C180,Indicadores!B:P,15,FALSE)</f>
        <v>0.33333333333333331</v>
      </c>
      <c r="M180" s="1" t="str">
        <f t="shared" si="40"/>
        <v>No Cumple</v>
      </c>
      <c r="N180" s="5">
        <f t="shared" si="47"/>
        <v>0</v>
      </c>
      <c r="O180" s="5">
        <f t="shared" si="49"/>
        <v>50000</v>
      </c>
      <c r="P180" s="4">
        <v>0.95</v>
      </c>
      <c r="Q180" s="5" t="str">
        <f t="shared" si="41"/>
        <v>Cumple</v>
      </c>
      <c r="R180" s="5">
        <f t="shared" si="42"/>
        <v>47500</v>
      </c>
      <c r="S180" s="5">
        <f t="shared" si="50"/>
        <v>50000</v>
      </c>
      <c r="T180" s="4">
        <f>+VLOOKUP(C180,Indicadores!B:V,21,FALSE)</f>
        <v>1</v>
      </c>
      <c r="U180" s="35" t="str">
        <f t="shared" si="43"/>
        <v>Cumple</v>
      </c>
      <c r="V180" s="2">
        <f t="shared" si="44"/>
        <v>50000</v>
      </c>
      <c r="W180" s="5" t="str">
        <f t="shared" si="45"/>
        <v>NO</v>
      </c>
      <c r="X180" s="5">
        <f t="shared" si="46"/>
        <v>0</v>
      </c>
      <c r="Y180" s="1"/>
    </row>
    <row r="181" spans="2:25" hidden="1" x14ac:dyDescent="0.25">
      <c r="B181" s="1" t="s">
        <v>233</v>
      </c>
      <c r="C181" s="1" t="s">
        <v>186</v>
      </c>
      <c r="D181" s="1" t="s">
        <v>242</v>
      </c>
      <c r="E181" s="1" t="s">
        <v>302</v>
      </c>
      <c r="F181" s="2">
        <f t="shared" si="37"/>
        <v>250000</v>
      </c>
      <c r="G181" s="4">
        <f>+VLOOKUP(C181,Indicadores!B:C,2,FALSE)</f>
        <v>0.77272727272727271</v>
      </c>
      <c r="H181" s="1" t="str">
        <f t="shared" si="38"/>
        <v>Cumple</v>
      </c>
      <c r="I181" s="4">
        <f>+VLOOKUP(C181,Indicadores!B:F,5,FALSE)</f>
        <v>0.88235294117647056</v>
      </c>
      <c r="J181" s="1" t="str">
        <f t="shared" si="39"/>
        <v>Cumple</v>
      </c>
      <c r="K181" s="9">
        <f t="shared" si="48"/>
        <v>150000</v>
      </c>
      <c r="L181" s="4">
        <f>+VLOOKUP(C181,Indicadores!B:P,15,FALSE)</f>
        <v>0.46376666666666666</v>
      </c>
      <c r="M181" s="1" t="str">
        <f t="shared" si="40"/>
        <v>No Cumple</v>
      </c>
      <c r="N181" s="5">
        <f t="shared" si="47"/>
        <v>0</v>
      </c>
      <c r="O181" s="5">
        <f t="shared" si="49"/>
        <v>50000</v>
      </c>
      <c r="P181" s="4">
        <v>0.95</v>
      </c>
      <c r="Q181" s="5" t="str">
        <f t="shared" si="41"/>
        <v>Cumple</v>
      </c>
      <c r="R181" s="5">
        <f t="shared" si="42"/>
        <v>47500</v>
      </c>
      <c r="S181" s="5">
        <f t="shared" si="50"/>
        <v>50000</v>
      </c>
      <c r="T181" s="4">
        <f>+VLOOKUP(C181,Indicadores!B:V,21,FALSE)</f>
        <v>0.5</v>
      </c>
      <c r="U181" s="35" t="str">
        <f t="shared" si="43"/>
        <v>No Cumple</v>
      </c>
      <c r="V181" s="2">
        <f t="shared" si="44"/>
        <v>0</v>
      </c>
      <c r="W181" s="5" t="str">
        <f t="shared" si="45"/>
        <v>SI</v>
      </c>
      <c r="X181" s="5">
        <f t="shared" si="46"/>
        <v>47500</v>
      </c>
      <c r="Y181" s="1"/>
    </row>
    <row r="182" spans="2:25" hidden="1" x14ac:dyDescent="0.25">
      <c r="B182" s="1" t="s">
        <v>233</v>
      </c>
      <c r="C182" s="1" t="s">
        <v>187</v>
      </c>
      <c r="D182" s="1" t="s">
        <v>242</v>
      </c>
      <c r="E182" s="1" t="s">
        <v>302</v>
      </c>
      <c r="F182" s="2">
        <f t="shared" si="37"/>
        <v>250000</v>
      </c>
      <c r="G182" s="4">
        <f>+VLOOKUP(C182,Indicadores!B:C,2,FALSE)</f>
        <v>0.78738181818181829</v>
      </c>
      <c r="H182" s="1" t="str">
        <f t="shared" si="38"/>
        <v>Cumple</v>
      </c>
      <c r="I182" s="4">
        <f>+VLOOKUP(C182,Indicadores!B:F,5,FALSE)</f>
        <v>0.68181818181818177</v>
      </c>
      <c r="J182" s="1" t="str">
        <f t="shared" si="39"/>
        <v>No Cumple</v>
      </c>
      <c r="K182" s="9">
        <f t="shared" si="48"/>
        <v>150000</v>
      </c>
      <c r="L182" s="4">
        <f>+VLOOKUP(C182,Indicadores!B:P,15,FALSE)</f>
        <v>0.41799999999999998</v>
      </c>
      <c r="M182" s="1" t="str">
        <f t="shared" si="40"/>
        <v>No Cumple</v>
      </c>
      <c r="N182" s="5">
        <f t="shared" si="47"/>
        <v>0</v>
      </c>
      <c r="O182" s="5">
        <f t="shared" si="49"/>
        <v>50000</v>
      </c>
      <c r="P182" s="4">
        <v>0.95</v>
      </c>
      <c r="Q182" s="5" t="str">
        <f t="shared" si="41"/>
        <v>Cumple</v>
      </c>
      <c r="R182" s="5">
        <f t="shared" si="42"/>
        <v>47500</v>
      </c>
      <c r="S182" s="5">
        <f t="shared" si="50"/>
        <v>50000</v>
      </c>
      <c r="T182" s="4">
        <f>+VLOOKUP(C182,Indicadores!B:V,21,FALSE)</f>
        <v>0.5</v>
      </c>
      <c r="U182" s="35" t="str">
        <f t="shared" si="43"/>
        <v>No Cumple</v>
      </c>
      <c r="V182" s="2">
        <f t="shared" si="44"/>
        <v>0</v>
      </c>
      <c r="W182" s="5" t="str">
        <f t="shared" si="45"/>
        <v>NO</v>
      </c>
      <c r="X182" s="5">
        <f t="shared" si="46"/>
        <v>0</v>
      </c>
      <c r="Y182" s="1"/>
    </row>
    <row r="183" spans="2:25" hidden="1" x14ac:dyDescent="0.25">
      <c r="B183" s="1" t="s">
        <v>233</v>
      </c>
      <c r="C183" s="1" t="s">
        <v>188</v>
      </c>
      <c r="D183" s="1" t="s">
        <v>242</v>
      </c>
      <c r="E183" s="1" t="s">
        <v>302</v>
      </c>
      <c r="F183" s="2">
        <f t="shared" si="37"/>
        <v>250000</v>
      </c>
      <c r="G183" s="4">
        <f>+VLOOKUP(C183,Indicadores!B:C,2,FALSE)</f>
        <v>0.77271818181818186</v>
      </c>
      <c r="H183" s="1" t="str">
        <f t="shared" si="38"/>
        <v>Cumple</v>
      </c>
      <c r="I183" s="4">
        <f>+VLOOKUP(C183,Indicadores!B:F,5,FALSE)</f>
        <v>1</v>
      </c>
      <c r="J183" s="1" t="str">
        <f t="shared" si="39"/>
        <v>Cumple</v>
      </c>
      <c r="K183" s="9">
        <f t="shared" si="48"/>
        <v>150000</v>
      </c>
      <c r="L183" s="4">
        <f>+VLOOKUP(C183,Indicadores!B:P,15,FALSE)</f>
        <v>0.59046666666666658</v>
      </c>
      <c r="M183" s="1" t="str">
        <f t="shared" si="40"/>
        <v>No Cumple</v>
      </c>
      <c r="N183" s="5">
        <f t="shared" si="47"/>
        <v>0</v>
      </c>
      <c r="O183" s="5">
        <f t="shared" si="49"/>
        <v>50000</v>
      </c>
      <c r="P183" s="4">
        <v>0.95</v>
      </c>
      <c r="Q183" s="5" t="str">
        <f t="shared" si="41"/>
        <v>Cumple</v>
      </c>
      <c r="R183" s="5">
        <f t="shared" si="42"/>
        <v>47500</v>
      </c>
      <c r="S183" s="5">
        <f t="shared" si="50"/>
        <v>50000</v>
      </c>
      <c r="T183" s="4">
        <f>+VLOOKUP(C183,Indicadores!B:V,21,FALSE)</f>
        <v>0.5</v>
      </c>
      <c r="U183" s="35" t="str">
        <f t="shared" si="43"/>
        <v>No Cumple</v>
      </c>
      <c r="V183" s="2">
        <f t="shared" si="44"/>
        <v>0</v>
      </c>
      <c r="W183" s="5" t="str">
        <f t="shared" si="45"/>
        <v>SI</v>
      </c>
      <c r="X183" s="5">
        <f t="shared" si="46"/>
        <v>47500</v>
      </c>
      <c r="Y183" s="1"/>
    </row>
    <row r="184" spans="2:25" hidden="1" x14ac:dyDescent="0.25">
      <c r="B184" s="1" t="s">
        <v>233</v>
      </c>
      <c r="C184" s="1" t="s">
        <v>189</v>
      </c>
      <c r="D184" s="1" t="s">
        <v>242</v>
      </c>
      <c r="E184" s="1" t="s">
        <v>302</v>
      </c>
      <c r="F184" s="2">
        <f t="shared" si="37"/>
        <v>250000</v>
      </c>
      <c r="G184" s="4">
        <f>+VLOOKUP(C184,Indicadores!B:C,2,FALSE)</f>
        <v>0.75151818181818186</v>
      </c>
      <c r="H184" s="1" t="str">
        <f t="shared" si="38"/>
        <v>Cumple</v>
      </c>
      <c r="I184" s="4">
        <f>+VLOOKUP(C184,Indicadores!B:F,5,FALSE)</f>
        <v>1</v>
      </c>
      <c r="J184" s="1" t="str">
        <f t="shared" si="39"/>
        <v>Cumple</v>
      </c>
      <c r="K184" s="9">
        <f t="shared" si="48"/>
        <v>150000</v>
      </c>
      <c r="L184" s="4">
        <f>+VLOOKUP(C184,Indicadores!B:P,15,FALSE)</f>
        <v>0.45833333333333331</v>
      </c>
      <c r="M184" s="1" t="str">
        <f t="shared" si="40"/>
        <v>No Cumple</v>
      </c>
      <c r="N184" s="5">
        <f t="shared" si="47"/>
        <v>0</v>
      </c>
      <c r="O184" s="5">
        <f t="shared" si="49"/>
        <v>50000</v>
      </c>
      <c r="P184" s="4">
        <v>0.95</v>
      </c>
      <c r="Q184" s="5" t="str">
        <f t="shared" si="41"/>
        <v>Cumple</v>
      </c>
      <c r="R184" s="5">
        <f t="shared" si="42"/>
        <v>47500</v>
      </c>
      <c r="S184" s="5">
        <f t="shared" si="50"/>
        <v>50000</v>
      </c>
      <c r="T184" s="4">
        <f>+VLOOKUP(C184,Indicadores!B:V,21,FALSE)</f>
        <v>1</v>
      </c>
      <c r="U184" s="35" t="str">
        <f t="shared" si="43"/>
        <v>Cumple</v>
      </c>
      <c r="V184" s="2">
        <f t="shared" si="44"/>
        <v>50000</v>
      </c>
      <c r="W184" s="5" t="str">
        <f t="shared" si="45"/>
        <v>SI</v>
      </c>
      <c r="X184" s="5">
        <f t="shared" si="46"/>
        <v>97500</v>
      </c>
      <c r="Y184" s="1"/>
    </row>
    <row r="185" spans="2:25" hidden="1" x14ac:dyDescent="0.25">
      <c r="B185" s="1" t="s">
        <v>233</v>
      </c>
      <c r="C185" s="1" t="s">
        <v>190</v>
      </c>
      <c r="D185" s="1" t="s">
        <v>242</v>
      </c>
      <c r="E185" s="1" t="s">
        <v>302</v>
      </c>
      <c r="F185" s="2">
        <f t="shared" si="37"/>
        <v>250000</v>
      </c>
      <c r="G185" s="4">
        <f>+VLOOKUP(C185,Indicadores!B:C,2,FALSE)</f>
        <v>0.75196363636363628</v>
      </c>
      <c r="H185" s="1" t="str">
        <f t="shared" si="38"/>
        <v>Cumple</v>
      </c>
      <c r="I185" s="4">
        <f>+VLOOKUP(C185,Indicadores!B:F,5,FALSE)</f>
        <v>0.84615384615384615</v>
      </c>
      <c r="J185" s="1" t="str">
        <f t="shared" si="39"/>
        <v>Cumple</v>
      </c>
      <c r="K185" s="9">
        <f t="shared" si="48"/>
        <v>150000</v>
      </c>
      <c r="L185" s="4">
        <f>+VLOOKUP(C185,Indicadores!B:P,15,FALSE)</f>
        <v>0.33743333333333331</v>
      </c>
      <c r="M185" s="1" t="str">
        <f t="shared" si="40"/>
        <v>No Cumple</v>
      </c>
      <c r="N185" s="5">
        <f t="shared" si="47"/>
        <v>0</v>
      </c>
      <c r="O185" s="5">
        <f t="shared" si="49"/>
        <v>50000</v>
      </c>
      <c r="P185" s="4">
        <v>0.95</v>
      </c>
      <c r="Q185" s="5" t="str">
        <f t="shared" si="41"/>
        <v>Cumple</v>
      </c>
      <c r="R185" s="5">
        <f t="shared" si="42"/>
        <v>47500</v>
      </c>
      <c r="S185" s="5">
        <f t="shared" si="50"/>
        <v>50000</v>
      </c>
      <c r="T185" s="4">
        <f>+VLOOKUP(C185,Indicadores!B:V,21,FALSE)</f>
        <v>0.5</v>
      </c>
      <c r="U185" s="35" t="str">
        <f t="shared" si="43"/>
        <v>No Cumple</v>
      </c>
      <c r="V185" s="2">
        <f t="shared" si="44"/>
        <v>0</v>
      </c>
      <c r="W185" s="5" t="str">
        <f t="shared" si="45"/>
        <v>SI</v>
      </c>
      <c r="X185" s="5">
        <f t="shared" si="46"/>
        <v>47500</v>
      </c>
      <c r="Y185" s="1"/>
    </row>
    <row r="186" spans="2:25" hidden="1" x14ac:dyDescent="0.25">
      <c r="B186" s="1" t="s">
        <v>233</v>
      </c>
      <c r="C186" s="1" t="s">
        <v>191</v>
      </c>
      <c r="D186" s="1" t="s">
        <v>242</v>
      </c>
      <c r="E186" s="1" t="s">
        <v>302</v>
      </c>
      <c r="F186" s="2">
        <f t="shared" si="37"/>
        <v>250000</v>
      </c>
      <c r="G186" s="4">
        <f>+VLOOKUP(C186,Indicadores!B:C,2,FALSE)</f>
        <v>0.65192727272727269</v>
      </c>
      <c r="H186" s="1" t="str">
        <f t="shared" si="38"/>
        <v>No Cumple</v>
      </c>
      <c r="I186" s="4">
        <f>+VLOOKUP(C186,Indicadores!B:F,5,FALSE)</f>
        <v>0.75</v>
      </c>
      <c r="J186" s="1" t="str">
        <f t="shared" si="39"/>
        <v>Cumple</v>
      </c>
      <c r="K186" s="9">
        <f t="shared" si="48"/>
        <v>150000</v>
      </c>
      <c r="L186" s="4">
        <f>+VLOOKUP(C186,Indicadores!B:P,15,FALSE)</f>
        <v>0.32329999999999998</v>
      </c>
      <c r="M186" s="1" t="str">
        <f t="shared" si="40"/>
        <v>No Cumple</v>
      </c>
      <c r="N186" s="5">
        <f t="shared" si="47"/>
        <v>0</v>
      </c>
      <c r="O186" s="5">
        <f t="shared" si="49"/>
        <v>50000</v>
      </c>
      <c r="P186" s="4">
        <v>0.95</v>
      </c>
      <c r="Q186" s="5" t="str">
        <f t="shared" si="41"/>
        <v>Cumple</v>
      </c>
      <c r="R186" s="5">
        <f t="shared" si="42"/>
        <v>47500</v>
      </c>
      <c r="S186" s="5">
        <f t="shared" si="50"/>
        <v>50000</v>
      </c>
      <c r="T186" s="4">
        <f>+VLOOKUP(C186,Indicadores!B:V,21,FALSE)</f>
        <v>0.88570000000000004</v>
      </c>
      <c r="U186" s="35" t="str">
        <f t="shared" si="43"/>
        <v>No Cumple</v>
      </c>
      <c r="V186" s="2">
        <f t="shared" si="44"/>
        <v>40000</v>
      </c>
      <c r="W186" s="5" t="str">
        <f t="shared" si="45"/>
        <v>SI</v>
      </c>
      <c r="X186" s="5">
        <f t="shared" si="46"/>
        <v>87500</v>
      </c>
      <c r="Y186" s="1"/>
    </row>
    <row r="187" spans="2:25" hidden="1" x14ac:dyDescent="0.25">
      <c r="B187" s="1" t="s">
        <v>233</v>
      </c>
      <c r="C187" s="1" t="s">
        <v>192</v>
      </c>
      <c r="D187" s="1" t="s">
        <v>242</v>
      </c>
      <c r="E187" s="1" t="s">
        <v>302</v>
      </c>
      <c r="F187" s="2">
        <f t="shared" si="37"/>
        <v>250000</v>
      </c>
      <c r="G187" s="4">
        <f>+VLOOKUP(C187,Indicadores!B:C,2,FALSE)</f>
        <v>0.89951818181818188</v>
      </c>
      <c r="H187" s="1" t="str">
        <f t="shared" si="38"/>
        <v>Cumple</v>
      </c>
      <c r="I187" s="4">
        <f>+VLOOKUP(C187,Indicadores!B:F,5,FALSE)</f>
        <v>1</v>
      </c>
      <c r="J187" s="1" t="str">
        <f t="shared" si="39"/>
        <v>Cumple</v>
      </c>
      <c r="K187" s="9">
        <f t="shared" si="48"/>
        <v>150000</v>
      </c>
      <c r="L187" s="4">
        <f>+VLOOKUP(C187,Indicadores!B:P,15,FALSE)</f>
        <v>0.57893333333333341</v>
      </c>
      <c r="M187" s="1" t="str">
        <f t="shared" si="40"/>
        <v>No Cumple</v>
      </c>
      <c r="N187" s="5">
        <f t="shared" si="47"/>
        <v>0</v>
      </c>
      <c r="O187" s="5">
        <f t="shared" si="49"/>
        <v>50000</v>
      </c>
      <c r="P187" s="4">
        <v>0.95</v>
      </c>
      <c r="Q187" s="5" t="str">
        <f t="shared" si="41"/>
        <v>Cumple</v>
      </c>
      <c r="R187" s="5">
        <f t="shared" si="42"/>
        <v>47500</v>
      </c>
      <c r="S187" s="5">
        <f t="shared" si="50"/>
        <v>50000</v>
      </c>
      <c r="T187" s="4">
        <f>+VLOOKUP(C187,Indicadores!B:V,21,FALSE)</f>
        <v>0.5</v>
      </c>
      <c r="U187" s="35" t="str">
        <f t="shared" si="43"/>
        <v>No Cumple</v>
      </c>
      <c r="V187" s="2">
        <f t="shared" si="44"/>
        <v>0</v>
      </c>
      <c r="W187" s="5" t="str">
        <f t="shared" si="45"/>
        <v>SI</v>
      </c>
      <c r="X187" s="5">
        <f t="shared" si="46"/>
        <v>47500</v>
      </c>
      <c r="Y187" s="1"/>
    </row>
    <row r="188" spans="2:25" hidden="1" x14ac:dyDescent="0.25">
      <c r="B188" s="1" t="s">
        <v>233</v>
      </c>
      <c r="C188" s="1" t="s">
        <v>193</v>
      </c>
      <c r="D188" s="1" t="s">
        <v>242</v>
      </c>
      <c r="E188" s="1" t="s">
        <v>302</v>
      </c>
      <c r="F188" s="2">
        <f t="shared" si="37"/>
        <v>250000</v>
      </c>
      <c r="G188" s="4">
        <f>+VLOOKUP(C188,Indicadores!B:C,2,FALSE)</f>
        <v>0.79231818181818181</v>
      </c>
      <c r="H188" s="1" t="str">
        <f t="shared" si="38"/>
        <v>Cumple</v>
      </c>
      <c r="I188" s="4">
        <f>+VLOOKUP(C188,Indicadores!B:F,5,FALSE)</f>
        <v>1</v>
      </c>
      <c r="J188" s="1" t="str">
        <f t="shared" si="39"/>
        <v>Cumple</v>
      </c>
      <c r="K188" s="9">
        <f t="shared" si="48"/>
        <v>150000</v>
      </c>
      <c r="L188" s="4">
        <f>+VLOOKUP(C188,Indicadores!B:P,15,FALSE)</f>
        <v>0.45870000000000005</v>
      </c>
      <c r="M188" s="1" t="str">
        <f t="shared" si="40"/>
        <v>No Cumple</v>
      </c>
      <c r="N188" s="5">
        <f t="shared" si="47"/>
        <v>0</v>
      </c>
      <c r="O188" s="5">
        <f t="shared" si="49"/>
        <v>50000</v>
      </c>
      <c r="P188" s="4">
        <v>0.95</v>
      </c>
      <c r="Q188" s="5" t="str">
        <f t="shared" si="41"/>
        <v>Cumple</v>
      </c>
      <c r="R188" s="5">
        <f t="shared" si="42"/>
        <v>47500</v>
      </c>
      <c r="S188" s="5">
        <f t="shared" si="50"/>
        <v>50000</v>
      </c>
      <c r="T188" s="4">
        <f>+VLOOKUP(C188,Indicadores!B:V,21,FALSE)</f>
        <v>0.5</v>
      </c>
      <c r="U188" s="35" t="str">
        <f t="shared" si="43"/>
        <v>No Cumple</v>
      </c>
      <c r="V188" s="2">
        <f t="shared" si="44"/>
        <v>0</v>
      </c>
      <c r="W188" s="5" t="str">
        <f t="shared" si="45"/>
        <v>SI</v>
      </c>
      <c r="X188" s="5">
        <f t="shared" si="46"/>
        <v>47500</v>
      </c>
      <c r="Y188" s="1"/>
    </row>
    <row r="189" spans="2:25" hidden="1" x14ac:dyDescent="0.25">
      <c r="B189" s="1" t="s">
        <v>233</v>
      </c>
      <c r="C189" s="1" t="s">
        <v>194</v>
      </c>
      <c r="D189" s="1" t="s">
        <v>242</v>
      </c>
      <c r="E189" s="1" t="s">
        <v>302</v>
      </c>
      <c r="F189" s="2">
        <f t="shared" si="37"/>
        <v>250000</v>
      </c>
      <c r="G189" s="4">
        <f>+VLOOKUP(C189,Indicadores!B:C,2,FALSE)</f>
        <v>0.74380000000000013</v>
      </c>
      <c r="H189" s="1" t="str">
        <f t="shared" si="38"/>
        <v>Cumple</v>
      </c>
      <c r="I189" s="4">
        <f>+VLOOKUP(C189,Indicadores!B:F,5,FALSE)</f>
        <v>0.76923076923076927</v>
      </c>
      <c r="J189" s="1" t="str">
        <f t="shared" si="39"/>
        <v>Cumple</v>
      </c>
      <c r="K189" s="9">
        <f t="shared" si="48"/>
        <v>150000</v>
      </c>
      <c r="L189" s="4">
        <f>+VLOOKUP(C189,Indicadores!B:P,15,FALSE)</f>
        <v>0.33939999999999998</v>
      </c>
      <c r="M189" s="1" t="str">
        <f t="shared" si="40"/>
        <v>No Cumple</v>
      </c>
      <c r="N189" s="5">
        <f t="shared" si="47"/>
        <v>0</v>
      </c>
      <c r="O189" s="5">
        <f t="shared" si="49"/>
        <v>50000</v>
      </c>
      <c r="P189" s="4">
        <v>0.95</v>
      </c>
      <c r="Q189" s="5" t="str">
        <f t="shared" si="41"/>
        <v>Cumple</v>
      </c>
      <c r="R189" s="5">
        <f t="shared" si="42"/>
        <v>47500</v>
      </c>
      <c r="S189" s="5">
        <f t="shared" si="50"/>
        <v>50000</v>
      </c>
      <c r="T189" s="4">
        <f>+VLOOKUP(C189,Indicadores!B:V,21,FALSE)</f>
        <v>0.5</v>
      </c>
      <c r="U189" s="35" t="str">
        <f t="shared" si="43"/>
        <v>No Cumple</v>
      </c>
      <c r="V189" s="2">
        <f t="shared" si="44"/>
        <v>0</v>
      </c>
      <c r="W189" s="5" t="str">
        <f t="shared" si="45"/>
        <v>SI</v>
      </c>
      <c r="X189" s="5">
        <f t="shared" si="46"/>
        <v>47500</v>
      </c>
      <c r="Y189" s="1"/>
    </row>
    <row r="190" spans="2:25" hidden="1" x14ac:dyDescent="0.25">
      <c r="B190" s="1" t="s">
        <v>233</v>
      </c>
      <c r="C190" s="1" t="s">
        <v>195</v>
      </c>
      <c r="D190" s="1" t="s">
        <v>242</v>
      </c>
      <c r="E190" s="1" t="s">
        <v>302</v>
      </c>
      <c r="F190" s="2">
        <f t="shared" si="37"/>
        <v>250000</v>
      </c>
      <c r="G190" s="4">
        <f>+VLOOKUP(C190,Indicadores!B:C,2,FALSE)</f>
        <v>0.61128181818181815</v>
      </c>
      <c r="H190" s="1" t="str">
        <f t="shared" si="38"/>
        <v>No Cumple</v>
      </c>
      <c r="I190" s="4">
        <f>+VLOOKUP(C190,Indicadores!B:F,5,FALSE)</f>
        <v>0.66666666666666663</v>
      </c>
      <c r="J190" s="1" t="str">
        <f t="shared" si="39"/>
        <v>No Cumple</v>
      </c>
      <c r="K190" s="9">
        <f t="shared" si="48"/>
        <v>150000</v>
      </c>
      <c r="L190" s="4">
        <f>+VLOOKUP(C190,Indicadores!B:P,15,FALSE)</f>
        <v>0.37586666666666663</v>
      </c>
      <c r="M190" s="1" t="str">
        <f t="shared" si="40"/>
        <v>No Cumple</v>
      </c>
      <c r="N190" s="5">
        <f t="shared" si="47"/>
        <v>0</v>
      </c>
      <c r="O190" s="5">
        <f t="shared" si="49"/>
        <v>50000</v>
      </c>
      <c r="P190" s="4">
        <v>0.95</v>
      </c>
      <c r="Q190" s="5" t="str">
        <f t="shared" si="41"/>
        <v>Cumple</v>
      </c>
      <c r="R190" s="5">
        <f t="shared" si="42"/>
        <v>47500</v>
      </c>
      <c r="S190" s="5">
        <f t="shared" si="50"/>
        <v>50000</v>
      </c>
      <c r="T190" s="4">
        <f>+VLOOKUP(C190,Indicadores!B:V,21,FALSE)</f>
        <v>0.91379999999999995</v>
      </c>
      <c r="U190" s="35" t="str">
        <f t="shared" si="43"/>
        <v>No Cumple</v>
      </c>
      <c r="V190" s="2">
        <f t="shared" si="44"/>
        <v>45000</v>
      </c>
      <c r="W190" s="5" t="str">
        <f t="shared" si="45"/>
        <v>NO</v>
      </c>
      <c r="X190" s="5">
        <f t="shared" si="46"/>
        <v>0</v>
      </c>
      <c r="Y190" s="1"/>
    </row>
    <row r="191" spans="2:25" hidden="1" x14ac:dyDescent="0.25">
      <c r="B191" s="1" t="s">
        <v>233</v>
      </c>
      <c r="C191" s="1" t="s">
        <v>196</v>
      </c>
      <c r="D191" s="1" t="s">
        <v>242</v>
      </c>
      <c r="E191" s="1" t="s">
        <v>302</v>
      </c>
      <c r="F191" s="2">
        <f t="shared" si="37"/>
        <v>250000</v>
      </c>
      <c r="G191" s="4">
        <f>+VLOOKUP(C191,Indicadores!B:C,2,FALSE)</f>
        <v>0.78591818181818196</v>
      </c>
      <c r="H191" s="1" t="str">
        <f t="shared" si="38"/>
        <v>Cumple</v>
      </c>
      <c r="I191" s="4">
        <f>+VLOOKUP(C191,Indicadores!B:F,5,FALSE)</f>
        <v>0.8</v>
      </c>
      <c r="J191" s="1" t="str">
        <f t="shared" si="39"/>
        <v>Cumple</v>
      </c>
      <c r="K191" s="9">
        <f t="shared" si="48"/>
        <v>150000</v>
      </c>
      <c r="L191" s="4">
        <f>+VLOOKUP(C191,Indicadores!B:P,15,FALSE)</f>
        <v>0.58333333333333337</v>
      </c>
      <c r="M191" s="1" t="str">
        <f t="shared" si="40"/>
        <v>No Cumple</v>
      </c>
      <c r="N191" s="5">
        <f t="shared" si="47"/>
        <v>0</v>
      </c>
      <c r="O191" s="5">
        <f t="shared" si="49"/>
        <v>50000</v>
      </c>
      <c r="P191" s="4">
        <v>0.95</v>
      </c>
      <c r="Q191" s="5" t="str">
        <f t="shared" si="41"/>
        <v>Cumple</v>
      </c>
      <c r="R191" s="5">
        <f t="shared" si="42"/>
        <v>47500</v>
      </c>
      <c r="S191" s="5">
        <f t="shared" si="50"/>
        <v>50000</v>
      </c>
      <c r="T191" s="4">
        <f>+VLOOKUP(C191,Indicadores!B:V,21,FALSE)</f>
        <v>1</v>
      </c>
      <c r="U191" s="35" t="str">
        <f t="shared" si="43"/>
        <v>Cumple</v>
      </c>
      <c r="V191" s="2">
        <f t="shared" si="44"/>
        <v>50000</v>
      </c>
      <c r="W191" s="5" t="str">
        <f t="shared" si="45"/>
        <v>SI</v>
      </c>
      <c r="X191" s="5">
        <f t="shared" si="46"/>
        <v>97500</v>
      </c>
      <c r="Y191" s="1"/>
    </row>
    <row r="192" spans="2:25" hidden="1" x14ac:dyDescent="0.25">
      <c r="B192" s="1" t="s">
        <v>233</v>
      </c>
      <c r="C192" s="1" t="s">
        <v>197</v>
      </c>
      <c r="D192" s="1" t="s">
        <v>242</v>
      </c>
      <c r="E192" s="1" t="s">
        <v>302</v>
      </c>
      <c r="F192" s="2">
        <f t="shared" si="37"/>
        <v>250000</v>
      </c>
      <c r="G192" s="4">
        <f>+VLOOKUP(C192,Indicadores!B:C,2,FALSE)</f>
        <v>0.69778181818181817</v>
      </c>
      <c r="H192" s="1" t="str">
        <f t="shared" si="38"/>
        <v>No Cumple</v>
      </c>
      <c r="I192" s="4">
        <f>+VLOOKUP(C192,Indicadores!B:F,5,FALSE)</f>
        <v>0.72727272727272729</v>
      </c>
      <c r="J192" s="1" t="str">
        <f t="shared" si="39"/>
        <v>Cumple</v>
      </c>
      <c r="K192" s="9">
        <f t="shared" si="48"/>
        <v>150000</v>
      </c>
      <c r="L192" s="4">
        <f>+VLOOKUP(C192,Indicadores!B:P,15,FALSE)</f>
        <v>0.43009999999999998</v>
      </c>
      <c r="M192" s="1" t="str">
        <f t="shared" si="40"/>
        <v>No Cumple</v>
      </c>
      <c r="N192" s="5">
        <f t="shared" si="47"/>
        <v>0</v>
      </c>
      <c r="O192" s="5">
        <f t="shared" si="49"/>
        <v>50000</v>
      </c>
      <c r="P192" s="4">
        <v>0.95</v>
      </c>
      <c r="Q192" s="5" t="str">
        <f t="shared" si="41"/>
        <v>Cumple</v>
      </c>
      <c r="R192" s="5">
        <f t="shared" si="42"/>
        <v>47500</v>
      </c>
      <c r="S192" s="5">
        <f t="shared" si="50"/>
        <v>50000</v>
      </c>
      <c r="T192" s="4">
        <f>+VLOOKUP(C192,Indicadores!B:V,21,FALSE)</f>
        <v>0.45945000000000003</v>
      </c>
      <c r="U192" s="35" t="str">
        <f t="shared" si="43"/>
        <v>No Cumple</v>
      </c>
      <c r="V192" s="2">
        <f t="shared" si="44"/>
        <v>0</v>
      </c>
      <c r="W192" s="5" t="str">
        <f t="shared" si="45"/>
        <v>SI</v>
      </c>
      <c r="X192" s="5">
        <f t="shared" si="46"/>
        <v>47500</v>
      </c>
      <c r="Y192" s="1"/>
    </row>
    <row r="193" spans="2:25" hidden="1" x14ac:dyDescent="0.25">
      <c r="B193" s="1" t="s">
        <v>233</v>
      </c>
      <c r="C193" s="1" t="s">
        <v>198</v>
      </c>
      <c r="D193" s="1" t="s">
        <v>242</v>
      </c>
      <c r="E193" s="1" t="s">
        <v>302</v>
      </c>
      <c r="F193" s="2">
        <f t="shared" si="37"/>
        <v>250000</v>
      </c>
      <c r="G193" s="4">
        <f>+VLOOKUP(C193,Indicadores!B:C,2,FALSE)</f>
        <v>0.78000000000000014</v>
      </c>
      <c r="H193" s="1" t="str">
        <f t="shared" si="38"/>
        <v>Cumple</v>
      </c>
      <c r="I193" s="4">
        <f>+VLOOKUP(C193,Indicadores!B:F,5,FALSE)</f>
        <v>1</v>
      </c>
      <c r="J193" s="1" t="str">
        <f t="shared" si="39"/>
        <v>Cumple</v>
      </c>
      <c r="K193" s="9">
        <f t="shared" si="48"/>
        <v>150000</v>
      </c>
      <c r="L193" s="4">
        <f>+VLOOKUP(C193,Indicadores!B:P,15,FALSE)</f>
        <v>0.48666666666666664</v>
      </c>
      <c r="M193" s="1" t="str">
        <f t="shared" si="40"/>
        <v>No Cumple</v>
      </c>
      <c r="N193" s="5">
        <f t="shared" si="47"/>
        <v>0</v>
      </c>
      <c r="O193" s="5">
        <f t="shared" si="49"/>
        <v>50000</v>
      </c>
      <c r="P193" s="4">
        <v>0.95</v>
      </c>
      <c r="Q193" s="5" t="str">
        <f t="shared" si="41"/>
        <v>Cumple</v>
      </c>
      <c r="R193" s="5">
        <f t="shared" si="42"/>
        <v>47500</v>
      </c>
      <c r="S193" s="5">
        <f t="shared" si="50"/>
        <v>50000</v>
      </c>
      <c r="T193" s="4">
        <f>+VLOOKUP(C193,Indicadores!B:V,21,FALSE)</f>
        <v>0.49</v>
      </c>
      <c r="U193" s="35" t="str">
        <f t="shared" si="43"/>
        <v>No Cumple</v>
      </c>
      <c r="V193" s="2">
        <f t="shared" si="44"/>
        <v>0</v>
      </c>
      <c r="W193" s="5" t="str">
        <f t="shared" si="45"/>
        <v>SI</v>
      </c>
      <c r="X193" s="5">
        <f t="shared" si="46"/>
        <v>47500</v>
      </c>
      <c r="Y193" s="1"/>
    </row>
    <row r="194" spans="2:25" x14ac:dyDescent="0.25">
      <c r="G194" s="34"/>
      <c r="I194" s="34"/>
      <c r="L194" s="34"/>
    </row>
  </sheetData>
  <autoFilter ref="B5:Y193" xr:uid="{181C8AE4-DE3A-4451-AC03-2A9181AB31A4}">
    <filterColumn colId="10">
      <filters>
        <filter val="60%"/>
        <filter val="61%"/>
        <filter val="62%"/>
        <filter val="63%"/>
        <filter val="64%"/>
        <filter val="65%"/>
        <filter val="66%"/>
        <filter val="67%"/>
        <filter val="68%"/>
        <filter val="69%"/>
        <filter val="70%"/>
        <filter val="71%"/>
        <filter val="72%"/>
        <filter val="73%"/>
        <filter val="74%"/>
        <filter val="75%"/>
        <filter val="76%"/>
        <filter val="77%"/>
        <filter val="79%"/>
        <filter val="80%"/>
        <filter val="82%"/>
        <filter val="83%"/>
        <filter val="85%"/>
        <filter val="86%"/>
        <filter val="87%"/>
        <filter val="88%"/>
        <filter val="92%"/>
        <filter val="93%"/>
        <filter val="95%"/>
        <filter val="96%"/>
      </filters>
    </filterColumn>
    <filterColumn colId="11">
      <filters>
        <filter val="No Cumple"/>
      </filters>
    </filterColumn>
  </autoFilter>
  <mergeCells count="5">
    <mergeCell ref="G4:H4"/>
    <mergeCell ref="I4:J4"/>
    <mergeCell ref="K4:N4"/>
    <mergeCell ref="O4:R4"/>
    <mergeCell ref="S4:V4"/>
  </mergeCells>
  <conditionalFormatting sqref="C5:C193">
    <cfRule type="duplicateValues" dxfId="3" priority="1"/>
  </conditionalFormatting>
  <conditionalFormatting sqref="H6:H193">
    <cfRule type="containsText" dxfId="2" priority="4" operator="containsText" text="No Cumple">
      <formula>NOT(ISERROR(SEARCH("No Cumple",H6)))</formula>
    </cfRule>
  </conditionalFormatting>
  <conditionalFormatting sqref="J6:J193">
    <cfRule type="containsText" dxfId="1" priority="3" operator="containsText" text="No Cumple">
      <formula>NOT(ISERROR(SEARCH("No Cumple",J6)))</formula>
    </cfRule>
  </conditionalFormatting>
  <conditionalFormatting sqref="M6:M193">
    <cfRule type="containsText" dxfId="0" priority="2" operator="containsText" text="No Cumple">
      <formula>NOT(ISERROR(SEARCH("No Cumple",M6)))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E762-ED81-4880-B686-9D030B60641E}">
  <dimension ref="A1:Y189"/>
  <sheetViews>
    <sheetView topLeftCell="A181" zoomScale="115" zoomScaleNormal="115" workbookViewId="0">
      <selection activeCell="E190" sqref="E190"/>
    </sheetView>
  </sheetViews>
  <sheetFormatPr baseColWidth="10" defaultRowHeight="15" x14ac:dyDescent="0.25"/>
  <cols>
    <col min="1" max="1" width="5.85546875" bestFit="1" customWidth="1"/>
    <col min="2" max="2" width="25.85546875" bestFit="1" customWidth="1"/>
    <col min="3" max="3" width="21" bestFit="1" customWidth="1"/>
    <col min="4" max="4" width="28.5703125" bestFit="1" customWidth="1"/>
    <col min="5" max="5" width="41.42578125" bestFit="1" customWidth="1"/>
    <col min="6" max="6" width="14.42578125" bestFit="1" customWidth="1"/>
    <col min="7" max="7" width="16.7109375" bestFit="1" customWidth="1"/>
    <col min="8" max="8" width="17.7109375" bestFit="1" customWidth="1"/>
    <col min="9" max="9" width="25.28515625" bestFit="1" customWidth="1"/>
    <col min="10" max="10" width="17.7109375" bestFit="1" customWidth="1"/>
    <col min="11" max="11" width="17.140625" bestFit="1" customWidth="1"/>
    <col min="12" max="12" width="18.42578125" bestFit="1" customWidth="1"/>
    <col min="13" max="13" width="18.7109375" bestFit="1" customWidth="1"/>
    <col min="14" max="14" width="13" bestFit="1" customWidth="1"/>
    <col min="15" max="15" width="21.28515625" bestFit="1" customWidth="1"/>
    <col min="16" max="16" width="22.5703125" bestFit="1" customWidth="1"/>
    <col min="17" max="17" width="13.5703125" bestFit="1" customWidth="1"/>
    <col min="18" max="18" width="12" bestFit="1" customWidth="1"/>
    <col min="19" max="19" width="22.5703125" bestFit="1" customWidth="1"/>
    <col min="20" max="20" width="23.42578125" bestFit="1" customWidth="1"/>
    <col min="21" max="21" width="13.5703125" bestFit="1" customWidth="1"/>
    <col min="22" max="22" width="12" bestFit="1" customWidth="1"/>
    <col min="23" max="23" width="21.42578125" bestFit="1" customWidth="1"/>
    <col min="24" max="24" width="21.85546875" bestFit="1" customWidth="1"/>
    <col min="25" max="25" width="14" bestFit="1" customWidth="1"/>
  </cols>
  <sheetData>
    <row r="1" spans="1:25" x14ac:dyDescent="0.25">
      <c r="A1" s="59" t="s">
        <v>347</v>
      </c>
      <c r="B1" s="59" t="s">
        <v>0</v>
      </c>
      <c r="C1" s="59" t="s">
        <v>6</v>
      </c>
      <c r="D1" s="59" t="s">
        <v>213</v>
      </c>
      <c r="E1" s="59" t="s">
        <v>212</v>
      </c>
      <c r="F1" s="59" t="s">
        <v>7</v>
      </c>
      <c r="G1" s="59" t="s">
        <v>223</v>
      </c>
      <c r="H1" s="59" t="s">
        <v>297</v>
      </c>
      <c r="I1" s="59" t="s">
        <v>224</v>
      </c>
      <c r="J1" s="59" t="s">
        <v>297</v>
      </c>
      <c r="K1" s="59" t="s">
        <v>265</v>
      </c>
      <c r="L1" s="59" t="s">
        <v>268</v>
      </c>
      <c r="M1" s="59" t="s">
        <v>266</v>
      </c>
      <c r="N1" s="59" t="s">
        <v>3</v>
      </c>
      <c r="O1" s="59" t="s">
        <v>269</v>
      </c>
      <c r="P1" s="59" t="s">
        <v>270</v>
      </c>
      <c r="Q1" s="59" t="s">
        <v>2</v>
      </c>
      <c r="R1" s="59" t="s">
        <v>3</v>
      </c>
      <c r="S1" s="59" t="s">
        <v>276</v>
      </c>
      <c r="T1" s="59" t="s">
        <v>280</v>
      </c>
      <c r="U1" s="59" t="s">
        <v>2</v>
      </c>
      <c r="V1" s="59" t="s">
        <v>3</v>
      </c>
      <c r="W1" s="59" t="s">
        <v>244</v>
      </c>
      <c r="X1" s="59" t="s">
        <v>226</v>
      </c>
      <c r="Y1" s="59" t="s">
        <v>4</v>
      </c>
    </row>
    <row r="2" spans="1:25" x14ac:dyDescent="0.25">
      <c r="A2" s="57" t="s">
        <v>348</v>
      </c>
      <c r="B2" s="57" t="s">
        <v>233</v>
      </c>
      <c r="C2" s="57" t="s">
        <v>11</v>
      </c>
      <c r="D2" s="57" t="s">
        <v>241</v>
      </c>
      <c r="E2" s="57" t="s">
        <v>336</v>
      </c>
      <c r="F2" s="60">
        <v>250000</v>
      </c>
      <c r="G2" s="61">
        <v>0.8841</v>
      </c>
      <c r="H2" s="57" t="s">
        <v>354</v>
      </c>
      <c r="I2" s="61">
        <v>1</v>
      </c>
      <c r="J2" s="57" t="s">
        <v>354</v>
      </c>
      <c r="K2" s="60">
        <v>150000</v>
      </c>
      <c r="L2" s="61">
        <v>0.86933333333333318</v>
      </c>
      <c r="M2" s="57" t="s">
        <v>354</v>
      </c>
      <c r="N2" s="60">
        <v>120000</v>
      </c>
      <c r="O2" s="60">
        <v>50000</v>
      </c>
      <c r="P2" s="61">
        <v>0.95</v>
      </c>
      <c r="Q2" s="57" t="s">
        <v>354</v>
      </c>
      <c r="R2" s="60">
        <v>47500</v>
      </c>
      <c r="S2" s="60">
        <v>50000</v>
      </c>
      <c r="T2" s="61">
        <v>0.48899999999999999</v>
      </c>
      <c r="U2" s="57" t="s">
        <v>355</v>
      </c>
      <c r="V2" s="60">
        <v>0</v>
      </c>
      <c r="W2" s="57" t="s">
        <v>246</v>
      </c>
      <c r="X2" s="60">
        <v>167500</v>
      </c>
      <c r="Y2" s="57"/>
    </row>
    <row r="3" spans="1:25" x14ac:dyDescent="0.25">
      <c r="A3" s="57" t="s">
        <v>348</v>
      </c>
      <c r="B3" s="57" t="s">
        <v>233</v>
      </c>
      <c r="C3" s="57" t="s">
        <v>12</v>
      </c>
      <c r="D3" s="57" t="s">
        <v>241</v>
      </c>
      <c r="E3" s="57" t="s">
        <v>336</v>
      </c>
      <c r="F3" s="60">
        <v>250000</v>
      </c>
      <c r="G3" s="61">
        <v>0.75190000000000012</v>
      </c>
      <c r="H3" s="57" t="s">
        <v>354</v>
      </c>
      <c r="I3" s="61">
        <v>1</v>
      </c>
      <c r="J3" s="57" t="s">
        <v>354</v>
      </c>
      <c r="K3" s="60">
        <v>150000</v>
      </c>
      <c r="L3" s="61">
        <v>0.40476666666666666</v>
      </c>
      <c r="M3" s="57" t="s">
        <v>355</v>
      </c>
      <c r="N3" s="60">
        <v>0</v>
      </c>
      <c r="O3" s="60">
        <v>50000</v>
      </c>
      <c r="P3" s="61">
        <v>0.95</v>
      </c>
      <c r="Q3" s="57" t="s">
        <v>354</v>
      </c>
      <c r="R3" s="60">
        <v>47500</v>
      </c>
      <c r="S3" s="60">
        <v>50000</v>
      </c>
      <c r="T3" s="61">
        <v>1</v>
      </c>
      <c r="U3" s="57" t="s">
        <v>354</v>
      </c>
      <c r="V3" s="60">
        <v>50000</v>
      </c>
      <c r="W3" s="57" t="s">
        <v>246</v>
      </c>
      <c r="X3" s="60">
        <v>97500</v>
      </c>
      <c r="Y3" s="57"/>
    </row>
    <row r="4" spans="1:25" x14ac:dyDescent="0.25">
      <c r="A4" s="57" t="s">
        <v>348</v>
      </c>
      <c r="B4" s="57" t="s">
        <v>233</v>
      </c>
      <c r="C4" s="57" t="s">
        <v>13</v>
      </c>
      <c r="D4" s="57" t="s">
        <v>241</v>
      </c>
      <c r="E4" s="57" t="s">
        <v>336</v>
      </c>
      <c r="F4" s="60">
        <v>250000</v>
      </c>
      <c r="G4" s="61">
        <v>0.7582181818181819</v>
      </c>
      <c r="H4" s="57" t="s">
        <v>354</v>
      </c>
      <c r="I4" s="61">
        <v>0.44444444444444442</v>
      </c>
      <c r="J4" s="57" t="s">
        <v>355</v>
      </c>
      <c r="K4" s="60">
        <v>150000</v>
      </c>
      <c r="L4" s="61">
        <v>0.39656666666666668</v>
      </c>
      <c r="M4" s="57" t="s">
        <v>355</v>
      </c>
      <c r="N4" s="60">
        <v>0</v>
      </c>
      <c r="O4" s="60">
        <v>50000</v>
      </c>
      <c r="P4" s="61">
        <v>0.95</v>
      </c>
      <c r="Q4" s="57" t="s">
        <v>354</v>
      </c>
      <c r="R4" s="60">
        <v>47500</v>
      </c>
      <c r="S4" s="60">
        <v>50000</v>
      </c>
      <c r="T4" s="61">
        <v>0.48935000000000001</v>
      </c>
      <c r="U4" s="57" t="s">
        <v>355</v>
      </c>
      <c r="V4" s="60">
        <v>0</v>
      </c>
      <c r="W4" s="57" t="s">
        <v>349</v>
      </c>
      <c r="X4" s="60">
        <v>0</v>
      </c>
      <c r="Y4" s="57"/>
    </row>
    <row r="5" spans="1:25" x14ac:dyDescent="0.25">
      <c r="A5" s="57" t="s">
        <v>348</v>
      </c>
      <c r="B5" s="57" t="s">
        <v>233</v>
      </c>
      <c r="C5" s="57" t="s">
        <v>14</v>
      </c>
      <c r="D5" s="57" t="s">
        <v>241</v>
      </c>
      <c r="E5" s="57" t="s">
        <v>336</v>
      </c>
      <c r="F5" s="60">
        <v>250000</v>
      </c>
      <c r="G5" s="61">
        <v>0.70937272727272738</v>
      </c>
      <c r="H5" s="57" t="s">
        <v>354</v>
      </c>
      <c r="I5" s="61">
        <v>0.82608695652173914</v>
      </c>
      <c r="J5" s="57" t="s">
        <v>354</v>
      </c>
      <c r="K5" s="60">
        <v>150000</v>
      </c>
      <c r="L5" s="61">
        <v>0.35353333333333331</v>
      </c>
      <c r="M5" s="57" t="s">
        <v>355</v>
      </c>
      <c r="N5" s="60">
        <v>0</v>
      </c>
      <c r="O5" s="60">
        <v>50000</v>
      </c>
      <c r="P5" s="61">
        <v>0.95</v>
      </c>
      <c r="Q5" s="57" t="s">
        <v>354</v>
      </c>
      <c r="R5" s="60">
        <v>47500</v>
      </c>
      <c r="S5" s="60">
        <v>50000</v>
      </c>
      <c r="T5" s="61">
        <v>0.46970000000000001</v>
      </c>
      <c r="U5" s="57" t="s">
        <v>355</v>
      </c>
      <c r="V5" s="60">
        <v>0</v>
      </c>
      <c r="W5" s="57" t="s">
        <v>246</v>
      </c>
      <c r="X5" s="60">
        <v>47500</v>
      </c>
      <c r="Y5" s="57"/>
    </row>
    <row r="6" spans="1:25" x14ac:dyDescent="0.25">
      <c r="A6" s="57" t="s">
        <v>348</v>
      </c>
      <c r="B6" s="57" t="s">
        <v>233</v>
      </c>
      <c r="C6" s="57" t="s">
        <v>15</v>
      </c>
      <c r="D6" s="57" t="s">
        <v>241</v>
      </c>
      <c r="E6" s="57" t="s">
        <v>336</v>
      </c>
      <c r="F6" s="60">
        <v>250000</v>
      </c>
      <c r="G6" s="61">
        <v>0.75084545454545448</v>
      </c>
      <c r="H6" s="57" t="s">
        <v>354</v>
      </c>
      <c r="I6" s="61">
        <v>1</v>
      </c>
      <c r="J6" s="57" t="s">
        <v>354</v>
      </c>
      <c r="K6" s="60">
        <v>150000</v>
      </c>
      <c r="L6" s="61">
        <v>0.53333333333333333</v>
      </c>
      <c r="M6" s="57" t="s">
        <v>355</v>
      </c>
      <c r="N6" s="60">
        <v>80000</v>
      </c>
      <c r="O6" s="60">
        <v>50000</v>
      </c>
      <c r="P6" s="61">
        <v>0.95</v>
      </c>
      <c r="Q6" s="57" t="s">
        <v>354</v>
      </c>
      <c r="R6" s="60">
        <v>47500</v>
      </c>
      <c r="S6" s="60">
        <v>50000</v>
      </c>
      <c r="T6" s="61">
        <v>1</v>
      </c>
      <c r="U6" s="57" t="s">
        <v>354</v>
      </c>
      <c r="V6" s="60">
        <v>50000</v>
      </c>
      <c r="W6" s="57" t="s">
        <v>246</v>
      </c>
      <c r="X6" s="60">
        <v>177500</v>
      </c>
      <c r="Y6" s="57"/>
    </row>
    <row r="7" spans="1:25" x14ac:dyDescent="0.25">
      <c r="A7" s="57" t="s">
        <v>348</v>
      </c>
      <c r="B7" s="57" t="s">
        <v>233</v>
      </c>
      <c r="C7" s="57" t="s">
        <v>16</v>
      </c>
      <c r="D7" s="57" t="s">
        <v>241</v>
      </c>
      <c r="E7" s="57" t="s">
        <v>336</v>
      </c>
      <c r="F7" s="60">
        <v>250000</v>
      </c>
      <c r="G7" s="61">
        <v>0.4869</v>
      </c>
      <c r="H7" s="57" t="s">
        <v>355</v>
      </c>
      <c r="I7" s="61">
        <v>1</v>
      </c>
      <c r="J7" s="57" t="s">
        <v>354</v>
      </c>
      <c r="K7" s="60">
        <v>150000</v>
      </c>
      <c r="L7" s="61">
        <v>0.30066666666666669</v>
      </c>
      <c r="M7" s="57" t="s">
        <v>355</v>
      </c>
      <c r="N7" s="60">
        <v>0</v>
      </c>
      <c r="O7" s="60">
        <v>50000</v>
      </c>
      <c r="P7" s="61">
        <v>0.95</v>
      </c>
      <c r="Q7" s="57" t="s">
        <v>354</v>
      </c>
      <c r="R7" s="60">
        <v>47500</v>
      </c>
      <c r="S7" s="60">
        <v>50000</v>
      </c>
      <c r="T7" s="61">
        <v>0.38984999999999997</v>
      </c>
      <c r="U7" s="57" t="s">
        <v>355</v>
      </c>
      <c r="V7" s="60">
        <v>0</v>
      </c>
      <c r="W7" s="57" t="s">
        <v>246</v>
      </c>
      <c r="X7" s="60">
        <v>47500</v>
      </c>
      <c r="Y7" s="57"/>
    </row>
    <row r="8" spans="1:25" x14ac:dyDescent="0.25">
      <c r="A8" s="57" t="s">
        <v>348</v>
      </c>
      <c r="B8" s="57" t="s">
        <v>233</v>
      </c>
      <c r="C8" s="57" t="s">
        <v>17</v>
      </c>
      <c r="D8" s="57" t="s">
        <v>241</v>
      </c>
      <c r="E8" s="57" t="s">
        <v>336</v>
      </c>
      <c r="F8" s="60">
        <v>250000</v>
      </c>
      <c r="G8" s="61">
        <v>0.78221818181818181</v>
      </c>
      <c r="H8" s="57" t="s">
        <v>354</v>
      </c>
      <c r="I8" s="61">
        <v>1</v>
      </c>
      <c r="J8" s="57" t="s">
        <v>354</v>
      </c>
      <c r="K8" s="60">
        <v>150000</v>
      </c>
      <c r="L8" s="61">
        <v>0.56656666666666666</v>
      </c>
      <c r="M8" s="57" t="s">
        <v>355</v>
      </c>
      <c r="N8" s="60">
        <v>84985</v>
      </c>
      <c r="O8" s="60">
        <v>50000</v>
      </c>
      <c r="P8" s="61">
        <v>0.95</v>
      </c>
      <c r="Q8" s="57" t="s">
        <v>354</v>
      </c>
      <c r="R8" s="60">
        <v>47500</v>
      </c>
      <c r="S8" s="60">
        <v>50000</v>
      </c>
      <c r="T8" s="61">
        <v>0.4945</v>
      </c>
      <c r="U8" s="57" t="s">
        <v>355</v>
      </c>
      <c r="V8" s="60">
        <v>0</v>
      </c>
      <c r="W8" s="57" t="s">
        <v>246</v>
      </c>
      <c r="X8" s="60">
        <v>132485</v>
      </c>
      <c r="Y8" s="57"/>
    </row>
    <row r="9" spans="1:25" x14ac:dyDescent="0.25">
      <c r="A9" s="57" t="s">
        <v>348</v>
      </c>
      <c r="B9" s="57" t="s">
        <v>233</v>
      </c>
      <c r="C9" s="57" t="s">
        <v>18</v>
      </c>
      <c r="D9" s="57" t="s">
        <v>241</v>
      </c>
      <c r="E9" s="57" t="s">
        <v>336</v>
      </c>
      <c r="F9" s="60">
        <v>250000</v>
      </c>
      <c r="G9" s="61">
        <v>0.75439999999999996</v>
      </c>
      <c r="H9" s="57" t="s">
        <v>354</v>
      </c>
      <c r="I9" s="61">
        <v>0.9285714285714286</v>
      </c>
      <c r="J9" s="57" t="s">
        <v>354</v>
      </c>
      <c r="K9" s="60">
        <v>150000</v>
      </c>
      <c r="L9" s="61">
        <v>0.36899999999999999</v>
      </c>
      <c r="M9" s="57" t="s">
        <v>355</v>
      </c>
      <c r="N9" s="60">
        <v>0</v>
      </c>
      <c r="O9" s="60">
        <v>50000</v>
      </c>
      <c r="P9" s="61">
        <v>0.95</v>
      </c>
      <c r="Q9" s="57" t="s">
        <v>354</v>
      </c>
      <c r="R9" s="60">
        <v>47500</v>
      </c>
      <c r="S9" s="60">
        <v>50000</v>
      </c>
      <c r="T9" s="61">
        <v>0.94030000000000002</v>
      </c>
      <c r="U9" s="57" t="s">
        <v>355</v>
      </c>
      <c r="V9" s="60">
        <v>45000</v>
      </c>
      <c r="W9" s="57" t="s">
        <v>246</v>
      </c>
      <c r="X9" s="60">
        <v>92500</v>
      </c>
      <c r="Y9" s="57"/>
    </row>
    <row r="10" spans="1:25" x14ac:dyDescent="0.25">
      <c r="A10" s="57" t="s">
        <v>348</v>
      </c>
      <c r="B10" s="57" t="s">
        <v>233</v>
      </c>
      <c r="C10" s="57" t="s">
        <v>19</v>
      </c>
      <c r="D10" s="57" t="s">
        <v>242</v>
      </c>
      <c r="E10" s="57" t="s">
        <v>302</v>
      </c>
      <c r="F10" s="60">
        <v>250000</v>
      </c>
      <c r="G10" s="61">
        <v>0.73967272727272726</v>
      </c>
      <c r="H10" s="57" t="s">
        <v>354</v>
      </c>
      <c r="I10" s="61">
        <v>0.5</v>
      </c>
      <c r="J10" s="57" t="s">
        <v>355</v>
      </c>
      <c r="K10" s="60">
        <v>150000</v>
      </c>
      <c r="L10" s="61">
        <v>0.66163333333333341</v>
      </c>
      <c r="M10" s="57" t="s">
        <v>355</v>
      </c>
      <c r="N10" s="60">
        <v>99245.000000000015</v>
      </c>
      <c r="O10" s="60">
        <v>50000</v>
      </c>
      <c r="P10" s="61">
        <v>0.95</v>
      </c>
      <c r="Q10" s="57" t="s">
        <v>354</v>
      </c>
      <c r="R10" s="60">
        <v>47500</v>
      </c>
      <c r="S10" s="60">
        <v>50000</v>
      </c>
      <c r="T10" s="61">
        <v>0.40910000000000002</v>
      </c>
      <c r="U10" s="57" t="s">
        <v>355</v>
      </c>
      <c r="V10" s="60">
        <v>0</v>
      </c>
      <c r="W10" s="57" t="s">
        <v>349</v>
      </c>
      <c r="X10" s="60">
        <v>0</v>
      </c>
      <c r="Y10" s="57"/>
    </row>
    <row r="11" spans="1:25" x14ac:dyDescent="0.25">
      <c r="A11" s="57" t="s">
        <v>348</v>
      </c>
      <c r="B11" s="57" t="s">
        <v>233</v>
      </c>
      <c r="C11" s="57" t="s">
        <v>20</v>
      </c>
      <c r="D11" s="57" t="s">
        <v>242</v>
      </c>
      <c r="E11" s="57" t="s">
        <v>302</v>
      </c>
      <c r="F11" s="60">
        <v>250000</v>
      </c>
      <c r="G11" s="61">
        <v>0.27650909090909087</v>
      </c>
      <c r="H11" s="57" t="s">
        <v>355</v>
      </c>
      <c r="I11" s="61">
        <v>1</v>
      </c>
      <c r="J11" s="57" t="s">
        <v>354</v>
      </c>
      <c r="K11" s="60">
        <v>150000</v>
      </c>
      <c r="L11" s="61">
        <v>0.11109999999999999</v>
      </c>
      <c r="M11" s="57" t="s">
        <v>355</v>
      </c>
      <c r="N11" s="60">
        <v>0</v>
      </c>
      <c r="O11" s="60">
        <v>50000</v>
      </c>
      <c r="P11" s="61">
        <v>0.95</v>
      </c>
      <c r="Q11" s="57" t="s">
        <v>354</v>
      </c>
      <c r="R11" s="60">
        <v>47500</v>
      </c>
      <c r="S11" s="60">
        <v>50000</v>
      </c>
      <c r="T11" s="61">
        <v>0.375</v>
      </c>
      <c r="U11" s="57" t="s">
        <v>355</v>
      </c>
      <c r="V11" s="60">
        <v>0</v>
      </c>
      <c r="W11" s="57" t="s">
        <v>246</v>
      </c>
      <c r="X11" s="60">
        <v>47500</v>
      </c>
      <c r="Y11" s="57"/>
    </row>
    <row r="12" spans="1:25" x14ac:dyDescent="0.25">
      <c r="A12" s="57" t="s">
        <v>348</v>
      </c>
      <c r="B12" s="57" t="s">
        <v>233</v>
      </c>
      <c r="C12" s="57" t="s">
        <v>21</v>
      </c>
      <c r="D12" s="57" t="s">
        <v>241</v>
      </c>
      <c r="E12" s="57" t="s">
        <v>336</v>
      </c>
      <c r="F12" s="60">
        <v>250000</v>
      </c>
      <c r="G12" s="61">
        <v>0.76430909090909083</v>
      </c>
      <c r="H12" s="57" t="s">
        <v>354</v>
      </c>
      <c r="I12" s="61">
        <v>1</v>
      </c>
      <c r="J12" s="57" t="s">
        <v>354</v>
      </c>
      <c r="K12" s="60">
        <v>150000</v>
      </c>
      <c r="L12" s="61">
        <v>0.66666666666666663</v>
      </c>
      <c r="M12" s="57" t="s">
        <v>355</v>
      </c>
      <c r="N12" s="60">
        <v>100000</v>
      </c>
      <c r="O12" s="60">
        <v>50000</v>
      </c>
      <c r="P12" s="61">
        <v>0.95</v>
      </c>
      <c r="Q12" s="57" t="s">
        <v>354</v>
      </c>
      <c r="R12" s="60">
        <v>47500</v>
      </c>
      <c r="S12" s="60">
        <v>50000</v>
      </c>
      <c r="T12" s="61">
        <v>1</v>
      </c>
      <c r="U12" s="57" t="s">
        <v>354</v>
      </c>
      <c r="V12" s="60">
        <v>50000</v>
      </c>
      <c r="W12" s="57" t="s">
        <v>246</v>
      </c>
      <c r="X12" s="60">
        <v>197500</v>
      </c>
      <c r="Y12" s="57"/>
    </row>
    <row r="13" spans="1:25" x14ac:dyDescent="0.25">
      <c r="A13" s="57" t="s">
        <v>348</v>
      </c>
      <c r="B13" s="57" t="s">
        <v>233</v>
      </c>
      <c r="C13" s="57" t="s">
        <v>22</v>
      </c>
      <c r="D13" s="57" t="s">
        <v>241</v>
      </c>
      <c r="E13" s="57" t="s">
        <v>336</v>
      </c>
      <c r="F13" s="60">
        <v>250000</v>
      </c>
      <c r="G13" s="61">
        <v>0.73865454545454545</v>
      </c>
      <c r="H13" s="57" t="s">
        <v>354</v>
      </c>
      <c r="I13" s="61">
        <v>1</v>
      </c>
      <c r="J13" s="57" t="s">
        <v>354</v>
      </c>
      <c r="K13" s="60">
        <v>150000</v>
      </c>
      <c r="L13" s="61">
        <v>0.30556666666666665</v>
      </c>
      <c r="M13" s="57" t="s">
        <v>355</v>
      </c>
      <c r="N13" s="60">
        <v>0</v>
      </c>
      <c r="O13" s="60">
        <v>50000</v>
      </c>
      <c r="P13" s="61">
        <v>0.95</v>
      </c>
      <c r="Q13" s="57" t="s">
        <v>354</v>
      </c>
      <c r="R13" s="60">
        <v>47500</v>
      </c>
      <c r="S13" s="60">
        <v>50000</v>
      </c>
      <c r="T13" s="61">
        <v>0.91669999999999996</v>
      </c>
      <c r="U13" s="57" t="s">
        <v>355</v>
      </c>
      <c r="V13" s="60">
        <v>45000</v>
      </c>
      <c r="W13" s="57" t="s">
        <v>246</v>
      </c>
      <c r="X13" s="60">
        <v>92500</v>
      </c>
      <c r="Y13" s="57"/>
    </row>
    <row r="14" spans="1:25" x14ac:dyDescent="0.25">
      <c r="A14" s="57" t="s">
        <v>348</v>
      </c>
      <c r="B14" s="57" t="s">
        <v>233</v>
      </c>
      <c r="C14" s="57" t="s">
        <v>23</v>
      </c>
      <c r="D14" s="57" t="s">
        <v>241</v>
      </c>
      <c r="E14" s="57" t="s">
        <v>336</v>
      </c>
      <c r="F14" s="60">
        <v>250000</v>
      </c>
      <c r="G14" s="61">
        <v>0.76424545454545456</v>
      </c>
      <c r="H14" s="57" t="s">
        <v>354</v>
      </c>
      <c r="I14" s="61">
        <v>1</v>
      </c>
      <c r="J14" s="57" t="s">
        <v>354</v>
      </c>
      <c r="K14" s="60">
        <v>150000</v>
      </c>
      <c r="L14" s="61">
        <v>0.43973333333333336</v>
      </c>
      <c r="M14" s="57" t="s">
        <v>355</v>
      </c>
      <c r="N14" s="60">
        <v>0</v>
      </c>
      <c r="O14" s="60">
        <v>50000</v>
      </c>
      <c r="P14" s="61">
        <v>0.95</v>
      </c>
      <c r="Q14" s="57" t="s">
        <v>354</v>
      </c>
      <c r="R14" s="60">
        <v>47500</v>
      </c>
      <c r="S14" s="60">
        <v>50000</v>
      </c>
      <c r="T14" s="61">
        <v>0.5</v>
      </c>
      <c r="U14" s="57" t="s">
        <v>355</v>
      </c>
      <c r="V14" s="60">
        <v>0</v>
      </c>
      <c r="W14" s="57" t="s">
        <v>246</v>
      </c>
      <c r="X14" s="60">
        <v>47500</v>
      </c>
      <c r="Y14" s="57"/>
    </row>
    <row r="15" spans="1:25" x14ac:dyDescent="0.25">
      <c r="A15" s="57" t="s">
        <v>348</v>
      </c>
      <c r="B15" s="57" t="s">
        <v>233</v>
      </c>
      <c r="C15" s="57" t="s">
        <v>24</v>
      </c>
      <c r="D15" s="57" t="s">
        <v>241</v>
      </c>
      <c r="E15" s="57" t="s">
        <v>336</v>
      </c>
      <c r="F15" s="60">
        <v>250000</v>
      </c>
      <c r="G15" s="61">
        <v>0.77872727272727282</v>
      </c>
      <c r="H15" s="57" t="s">
        <v>354</v>
      </c>
      <c r="I15" s="61">
        <v>0.66666666666666663</v>
      </c>
      <c r="J15" s="57" t="s">
        <v>355</v>
      </c>
      <c r="K15" s="60">
        <v>150000</v>
      </c>
      <c r="L15" s="61">
        <v>0.66510000000000002</v>
      </c>
      <c r="M15" s="57" t="s">
        <v>355</v>
      </c>
      <c r="N15" s="60">
        <v>99765</v>
      </c>
      <c r="O15" s="60">
        <v>50000</v>
      </c>
      <c r="P15" s="61">
        <v>0.95</v>
      </c>
      <c r="Q15" s="57" t="s">
        <v>354</v>
      </c>
      <c r="R15" s="60">
        <v>47500</v>
      </c>
      <c r="S15" s="60">
        <v>50000</v>
      </c>
      <c r="T15" s="61">
        <v>0.5</v>
      </c>
      <c r="U15" s="57" t="s">
        <v>355</v>
      </c>
      <c r="V15" s="60">
        <v>0</v>
      </c>
      <c r="W15" s="57" t="s">
        <v>349</v>
      </c>
      <c r="X15" s="60">
        <v>0</v>
      </c>
      <c r="Y15" s="57"/>
    </row>
    <row r="16" spans="1:25" x14ac:dyDescent="0.25">
      <c r="A16" s="57" t="s">
        <v>348</v>
      </c>
      <c r="B16" s="57" t="s">
        <v>233</v>
      </c>
      <c r="C16" s="57" t="s">
        <v>25</v>
      </c>
      <c r="D16" s="57" t="s">
        <v>241</v>
      </c>
      <c r="E16" s="57" t="s">
        <v>336</v>
      </c>
      <c r="F16" s="60">
        <v>250000</v>
      </c>
      <c r="G16" s="61">
        <v>0.74007272727272733</v>
      </c>
      <c r="H16" s="57" t="s">
        <v>354</v>
      </c>
      <c r="I16" s="61">
        <v>0.83333333333333337</v>
      </c>
      <c r="J16" s="57" t="s">
        <v>354</v>
      </c>
      <c r="K16" s="60">
        <v>150000</v>
      </c>
      <c r="L16" s="61">
        <v>0.33333333333333331</v>
      </c>
      <c r="M16" s="57" t="s">
        <v>355</v>
      </c>
      <c r="N16" s="60">
        <v>0</v>
      </c>
      <c r="O16" s="60">
        <v>50000</v>
      </c>
      <c r="P16" s="61">
        <v>0.95</v>
      </c>
      <c r="Q16" s="57" t="s">
        <v>354</v>
      </c>
      <c r="R16" s="60">
        <v>47500</v>
      </c>
      <c r="S16" s="60">
        <v>50000</v>
      </c>
      <c r="T16" s="61">
        <v>0.49220000000000003</v>
      </c>
      <c r="U16" s="57" t="s">
        <v>355</v>
      </c>
      <c r="V16" s="60">
        <v>0</v>
      </c>
      <c r="W16" s="57" t="s">
        <v>246</v>
      </c>
      <c r="X16" s="60">
        <v>47500</v>
      </c>
      <c r="Y16" s="57"/>
    </row>
    <row r="17" spans="1:25" x14ac:dyDescent="0.25">
      <c r="A17" s="57" t="s">
        <v>348</v>
      </c>
      <c r="B17" s="57" t="s">
        <v>233</v>
      </c>
      <c r="C17" s="57" t="s">
        <v>26</v>
      </c>
      <c r="D17" s="57" t="s">
        <v>241</v>
      </c>
      <c r="E17" s="57" t="s">
        <v>336</v>
      </c>
      <c r="F17" s="60">
        <v>250000</v>
      </c>
      <c r="G17" s="61">
        <v>0.75609090909090915</v>
      </c>
      <c r="H17" s="57" t="s">
        <v>354</v>
      </c>
      <c r="I17" s="61">
        <v>1</v>
      </c>
      <c r="J17" s="57" t="s">
        <v>354</v>
      </c>
      <c r="K17" s="60">
        <v>150000</v>
      </c>
      <c r="L17" s="61">
        <v>0.38210000000000005</v>
      </c>
      <c r="M17" s="57" t="s">
        <v>355</v>
      </c>
      <c r="N17" s="60">
        <v>0</v>
      </c>
      <c r="O17" s="60">
        <v>50000</v>
      </c>
      <c r="P17" s="61">
        <v>0.95</v>
      </c>
      <c r="Q17" s="57" t="s">
        <v>354</v>
      </c>
      <c r="R17" s="60">
        <v>47500</v>
      </c>
      <c r="S17" s="60">
        <v>50000</v>
      </c>
      <c r="T17" s="61">
        <v>0.48780000000000001</v>
      </c>
      <c r="U17" s="57" t="s">
        <v>355</v>
      </c>
      <c r="V17" s="60">
        <v>0</v>
      </c>
      <c r="W17" s="57" t="s">
        <v>246</v>
      </c>
      <c r="X17" s="60">
        <v>47500</v>
      </c>
      <c r="Y17" s="57"/>
    </row>
    <row r="18" spans="1:25" x14ac:dyDescent="0.25">
      <c r="A18" s="57" t="s">
        <v>348</v>
      </c>
      <c r="B18" s="57" t="s">
        <v>233</v>
      </c>
      <c r="C18" s="57" t="s">
        <v>27</v>
      </c>
      <c r="D18" s="57" t="s">
        <v>241</v>
      </c>
      <c r="E18" s="57" t="s">
        <v>337</v>
      </c>
      <c r="F18" s="60">
        <v>250000</v>
      </c>
      <c r="G18" s="61">
        <v>0.8050272727272727</v>
      </c>
      <c r="H18" s="57" t="s">
        <v>354</v>
      </c>
      <c r="I18" s="61">
        <v>1</v>
      </c>
      <c r="J18" s="57" t="s">
        <v>354</v>
      </c>
      <c r="K18" s="60">
        <v>150000</v>
      </c>
      <c r="L18" s="61">
        <v>0.61946666666666672</v>
      </c>
      <c r="M18" s="57" t="s">
        <v>355</v>
      </c>
      <c r="N18" s="60">
        <v>92920.000000000015</v>
      </c>
      <c r="O18" s="60">
        <v>50000</v>
      </c>
      <c r="P18" s="61">
        <v>0.95</v>
      </c>
      <c r="Q18" s="57" t="s">
        <v>354</v>
      </c>
      <c r="R18" s="60">
        <v>47500</v>
      </c>
      <c r="S18" s="60">
        <v>50000</v>
      </c>
      <c r="T18" s="61">
        <v>1</v>
      </c>
      <c r="U18" s="57" t="s">
        <v>354</v>
      </c>
      <c r="V18" s="60">
        <v>50000</v>
      </c>
      <c r="W18" s="57" t="s">
        <v>246</v>
      </c>
      <c r="X18" s="60">
        <v>190420</v>
      </c>
      <c r="Y18" s="57"/>
    </row>
    <row r="19" spans="1:25" x14ac:dyDescent="0.25">
      <c r="A19" s="57" t="s">
        <v>348</v>
      </c>
      <c r="B19" s="57" t="s">
        <v>233</v>
      </c>
      <c r="C19" s="57" t="s">
        <v>28</v>
      </c>
      <c r="D19" s="57" t="s">
        <v>241</v>
      </c>
      <c r="E19" s="57" t="s">
        <v>337</v>
      </c>
      <c r="F19" s="60">
        <v>250000</v>
      </c>
      <c r="G19" s="61">
        <v>0.76277272727272727</v>
      </c>
      <c r="H19" s="57" t="s">
        <v>354</v>
      </c>
      <c r="I19" s="61">
        <v>1</v>
      </c>
      <c r="J19" s="57" t="s">
        <v>354</v>
      </c>
      <c r="K19" s="60">
        <v>150000</v>
      </c>
      <c r="L19" s="61">
        <v>0.48530000000000001</v>
      </c>
      <c r="M19" s="57" t="s">
        <v>355</v>
      </c>
      <c r="N19" s="60">
        <v>0</v>
      </c>
      <c r="O19" s="60">
        <v>50000</v>
      </c>
      <c r="P19" s="61">
        <v>0.95</v>
      </c>
      <c r="Q19" s="57" t="s">
        <v>354</v>
      </c>
      <c r="R19" s="60">
        <v>47500</v>
      </c>
      <c r="S19" s="60">
        <v>50000</v>
      </c>
      <c r="T19" s="61">
        <v>1</v>
      </c>
      <c r="U19" s="57" t="s">
        <v>354</v>
      </c>
      <c r="V19" s="60">
        <v>50000</v>
      </c>
      <c r="W19" s="57" t="s">
        <v>246</v>
      </c>
      <c r="X19" s="60">
        <v>97500</v>
      </c>
      <c r="Y19" s="57"/>
    </row>
    <row r="20" spans="1:25" x14ac:dyDescent="0.25">
      <c r="A20" s="57" t="s">
        <v>348</v>
      </c>
      <c r="B20" s="57" t="s">
        <v>233</v>
      </c>
      <c r="C20" s="57" t="s">
        <v>29</v>
      </c>
      <c r="D20" s="57" t="s">
        <v>241</v>
      </c>
      <c r="E20" s="57" t="s">
        <v>337</v>
      </c>
      <c r="F20" s="60">
        <v>250000</v>
      </c>
      <c r="G20" s="61">
        <v>0.83382727272727275</v>
      </c>
      <c r="H20" s="57" t="s">
        <v>354</v>
      </c>
      <c r="I20" s="61">
        <v>1</v>
      </c>
      <c r="J20" s="57" t="s">
        <v>354</v>
      </c>
      <c r="K20" s="60">
        <v>150000</v>
      </c>
      <c r="L20" s="61">
        <v>0.4371666666666667</v>
      </c>
      <c r="M20" s="57" t="s">
        <v>355</v>
      </c>
      <c r="N20" s="60">
        <v>0</v>
      </c>
      <c r="O20" s="60">
        <v>50000</v>
      </c>
      <c r="P20" s="61">
        <v>0.95</v>
      </c>
      <c r="Q20" s="57" t="s">
        <v>354</v>
      </c>
      <c r="R20" s="60">
        <v>47500</v>
      </c>
      <c r="S20" s="60">
        <v>50000</v>
      </c>
      <c r="T20" s="61">
        <v>1</v>
      </c>
      <c r="U20" s="57" t="s">
        <v>354</v>
      </c>
      <c r="V20" s="60">
        <v>50000</v>
      </c>
      <c r="W20" s="57" t="s">
        <v>246</v>
      </c>
      <c r="X20" s="60">
        <v>97500</v>
      </c>
      <c r="Y20" s="57"/>
    </row>
    <row r="21" spans="1:25" x14ac:dyDescent="0.25">
      <c r="A21" s="57" t="s">
        <v>348</v>
      </c>
      <c r="B21" s="57" t="s">
        <v>233</v>
      </c>
      <c r="C21" s="57" t="s">
        <v>30</v>
      </c>
      <c r="D21" s="57" t="s">
        <v>241</v>
      </c>
      <c r="E21" s="57" t="s">
        <v>337</v>
      </c>
      <c r="F21" s="60">
        <v>250000</v>
      </c>
      <c r="G21" s="61">
        <v>0.84884545454545457</v>
      </c>
      <c r="H21" s="57" t="s">
        <v>354</v>
      </c>
      <c r="I21" s="61">
        <v>1</v>
      </c>
      <c r="J21" s="57" t="s">
        <v>354</v>
      </c>
      <c r="K21" s="60">
        <v>150000</v>
      </c>
      <c r="L21" s="61">
        <v>0.84649999999999992</v>
      </c>
      <c r="M21" s="57" t="s">
        <v>354</v>
      </c>
      <c r="N21" s="60">
        <v>120000</v>
      </c>
      <c r="O21" s="60">
        <v>50000</v>
      </c>
      <c r="P21" s="61">
        <v>0.95</v>
      </c>
      <c r="Q21" s="57" t="s">
        <v>354</v>
      </c>
      <c r="R21" s="60">
        <v>47500</v>
      </c>
      <c r="S21" s="60">
        <v>50000</v>
      </c>
      <c r="T21" s="61">
        <v>0.5</v>
      </c>
      <c r="U21" s="57" t="s">
        <v>355</v>
      </c>
      <c r="V21" s="60">
        <v>0</v>
      </c>
      <c r="W21" s="57" t="s">
        <v>246</v>
      </c>
      <c r="X21" s="60">
        <v>167500</v>
      </c>
      <c r="Y21" s="57"/>
    </row>
    <row r="22" spans="1:25" x14ac:dyDescent="0.25">
      <c r="A22" s="57" t="s">
        <v>348</v>
      </c>
      <c r="B22" s="57" t="s">
        <v>233</v>
      </c>
      <c r="C22" s="57" t="s">
        <v>31</v>
      </c>
      <c r="D22" s="57" t="s">
        <v>241</v>
      </c>
      <c r="E22" s="57" t="s">
        <v>337</v>
      </c>
      <c r="F22" s="60">
        <v>250000</v>
      </c>
      <c r="G22" s="61">
        <v>0.7612363636363636</v>
      </c>
      <c r="H22" s="57" t="s">
        <v>354</v>
      </c>
      <c r="I22" s="61">
        <v>1</v>
      </c>
      <c r="J22" s="57" t="s">
        <v>354</v>
      </c>
      <c r="K22" s="60">
        <v>150000</v>
      </c>
      <c r="L22" s="61">
        <v>0.63419999999999999</v>
      </c>
      <c r="M22" s="57" t="s">
        <v>355</v>
      </c>
      <c r="N22" s="60">
        <v>95130</v>
      </c>
      <c r="O22" s="60">
        <v>50000</v>
      </c>
      <c r="P22" s="61">
        <v>0.95</v>
      </c>
      <c r="Q22" s="57" t="s">
        <v>354</v>
      </c>
      <c r="R22" s="60">
        <v>47500</v>
      </c>
      <c r="S22" s="60">
        <v>50000</v>
      </c>
      <c r="T22" s="61">
        <v>1</v>
      </c>
      <c r="U22" s="57" t="s">
        <v>354</v>
      </c>
      <c r="V22" s="60">
        <v>50000</v>
      </c>
      <c r="W22" s="57" t="s">
        <v>246</v>
      </c>
      <c r="X22" s="60">
        <v>192630</v>
      </c>
      <c r="Y22" s="57"/>
    </row>
    <row r="23" spans="1:25" x14ac:dyDescent="0.25">
      <c r="A23" s="57" t="s">
        <v>348</v>
      </c>
      <c r="B23" s="57" t="s">
        <v>233</v>
      </c>
      <c r="C23" s="57" t="s">
        <v>32</v>
      </c>
      <c r="D23" s="57" t="s">
        <v>241</v>
      </c>
      <c r="E23" s="57" t="s">
        <v>337</v>
      </c>
      <c r="F23" s="60">
        <v>250000</v>
      </c>
      <c r="G23" s="61">
        <v>0.75548181818181814</v>
      </c>
      <c r="H23" s="57" t="s">
        <v>354</v>
      </c>
      <c r="I23" s="61">
        <v>1</v>
      </c>
      <c r="J23" s="57" t="s">
        <v>354</v>
      </c>
      <c r="K23" s="60">
        <v>150000</v>
      </c>
      <c r="L23" s="61">
        <v>0.55913333333333337</v>
      </c>
      <c r="M23" s="57" t="s">
        <v>355</v>
      </c>
      <c r="N23" s="60">
        <v>83870</v>
      </c>
      <c r="O23" s="60">
        <v>50000</v>
      </c>
      <c r="P23" s="61">
        <v>0.95</v>
      </c>
      <c r="Q23" s="57" t="s">
        <v>354</v>
      </c>
      <c r="R23" s="60">
        <v>47500</v>
      </c>
      <c r="S23" s="60">
        <v>50000</v>
      </c>
      <c r="T23" s="61">
        <v>1</v>
      </c>
      <c r="U23" s="57" t="s">
        <v>354</v>
      </c>
      <c r="V23" s="60">
        <v>50000</v>
      </c>
      <c r="W23" s="57" t="s">
        <v>246</v>
      </c>
      <c r="X23" s="60">
        <v>181370</v>
      </c>
      <c r="Y23" s="57"/>
    </row>
    <row r="24" spans="1:25" x14ac:dyDescent="0.25">
      <c r="A24" s="57" t="s">
        <v>348</v>
      </c>
      <c r="B24" s="57" t="s">
        <v>233</v>
      </c>
      <c r="C24" s="57" t="s">
        <v>33</v>
      </c>
      <c r="D24" s="57" t="s">
        <v>241</v>
      </c>
      <c r="E24" s="57" t="s">
        <v>337</v>
      </c>
      <c r="F24" s="60">
        <v>250000</v>
      </c>
      <c r="G24" s="61">
        <v>0.85924545454545442</v>
      </c>
      <c r="H24" s="57" t="s">
        <v>354</v>
      </c>
      <c r="I24" s="61">
        <v>1</v>
      </c>
      <c r="J24" s="57" t="s">
        <v>354</v>
      </c>
      <c r="K24" s="60">
        <v>150000</v>
      </c>
      <c r="L24" s="61">
        <v>0.72873333333333334</v>
      </c>
      <c r="M24" s="57" t="s">
        <v>355</v>
      </c>
      <c r="N24" s="60">
        <v>109310</v>
      </c>
      <c r="O24" s="60">
        <v>50000</v>
      </c>
      <c r="P24" s="61">
        <v>0.95</v>
      </c>
      <c r="Q24" s="57" t="s">
        <v>354</v>
      </c>
      <c r="R24" s="60">
        <v>47500</v>
      </c>
      <c r="S24" s="60">
        <v>50000</v>
      </c>
      <c r="T24" s="61">
        <v>1</v>
      </c>
      <c r="U24" s="57" t="s">
        <v>354</v>
      </c>
      <c r="V24" s="60">
        <v>50000</v>
      </c>
      <c r="W24" s="57" t="s">
        <v>246</v>
      </c>
      <c r="X24" s="60">
        <v>206810</v>
      </c>
      <c r="Y24" s="57"/>
    </row>
    <row r="25" spans="1:25" x14ac:dyDescent="0.25">
      <c r="A25" s="57" t="s">
        <v>348</v>
      </c>
      <c r="B25" s="57" t="s">
        <v>233</v>
      </c>
      <c r="C25" s="57" t="s">
        <v>34</v>
      </c>
      <c r="D25" s="57" t="s">
        <v>241</v>
      </c>
      <c r="E25" s="57" t="s">
        <v>337</v>
      </c>
      <c r="F25" s="60">
        <v>250000</v>
      </c>
      <c r="G25" s="61">
        <v>0.8066363636363636</v>
      </c>
      <c r="H25" s="57" t="s">
        <v>354</v>
      </c>
      <c r="I25" s="61">
        <v>1</v>
      </c>
      <c r="J25" s="57" t="s">
        <v>354</v>
      </c>
      <c r="K25" s="60">
        <v>150000</v>
      </c>
      <c r="L25" s="61">
        <v>0.69840000000000002</v>
      </c>
      <c r="M25" s="57" t="s">
        <v>355</v>
      </c>
      <c r="N25" s="60">
        <v>104760</v>
      </c>
      <c r="O25" s="60">
        <v>50000</v>
      </c>
      <c r="P25" s="61">
        <v>0.95</v>
      </c>
      <c r="Q25" s="57" t="s">
        <v>354</v>
      </c>
      <c r="R25" s="60">
        <v>47500</v>
      </c>
      <c r="S25" s="60">
        <v>50000</v>
      </c>
      <c r="T25" s="61">
        <v>1</v>
      </c>
      <c r="U25" s="57" t="s">
        <v>354</v>
      </c>
      <c r="V25" s="60">
        <v>50000</v>
      </c>
      <c r="W25" s="57" t="s">
        <v>246</v>
      </c>
      <c r="X25" s="60">
        <v>202260</v>
      </c>
      <c r="Y25" s="57"/>
    </row>
    <row r="26" spans="1:25" x14ac:dyDescent="0.25">
      <c r="A26" s="57" t="s">
        <v>348</v>
      </c>
      <c r="B26" s="57" t="s">
        <v>233</v>
      </c>
      <c r="C26" s="57" t="s">
        <v>35</v>
      </c>
      <c r="D26" s="57" t="s">
        <v>241</v>
      </c>
      <c r="E26" s="57" t="s">
        <v>337</v>
      </c>
      <c r="F26" s="60">
        <v>250000</v>
      </c>
      <c r="G26" s="61">
        <v>0.8267181818181818</v>
      </c>
      <c r="H26" s="57" t="s">
        <v>354</v>
      </c>
      <c r="I26" s="61">
        <v>1</v>
      </c>
      <c r="J26" s="57" t="s">
        <v>354</v>
      </c>
      <c r="K26" s="60">
        <v>150000</v>
      </c>
      <c r="L26" s="61">
        <v>0.67359999999999998</v>
      </c>
      <c r="M26" s="57" t="s">
        <v>355</v>
      </c>
      <c r="N26" s="60">
        <v>101040</v>
      </c>
      <c r="O26" s="60">
        <v>50000</v>
      </c>
      <c r="P26" s="61">
        <v>0.95</v>
      </c>
      <c r="Q26" s="57" t="s">
        <v>354</v>
      </c>
      <c r="R26" s="60">
        <v>47500</v>
      </c>
      <c r="S26" s="60">
        <v>50000</v>
      </c>
      <c r="T26" s="61">
        <v>0.99219999999999997</v>
      </c>
      <c r="U26" s="57" t="s">
        <v>355</v>
      </c>
      <c r="V26" s="60">
        <v>0</v>
      </c>
      <c r="W26" s="57" t="s">
        <v>246</v>
      </c>
      <c r="X26" s="60">
        <v>148540</v>
      </c>
      <c r="Y26" s="57"/>
    </row>
    <row r="27" spans="1:25" x14ac:dyDescent="0.25">
      <c r="A27" s="57" t="s">
        <v>348</v>
      </c>
      <c r="B27" s="57" t="s">
        <v>233</v>
      </c>
      <c r="C27" s="57" t="s">
        <v>36</v>
      </c>
      <c r="D27" s="57" t="s">
        <v>241</v>
      </c>
      <c r="E27" s="57" t="s">
        <v>337</v>
      </c>
      <c r="F27" s="60">
        <v>250000</v>
      </c>
      <c r="G27" s="61">
        <v>0.85950909090909089</v>
      </c>
      <c r="H27" s="57" t="s">
        <v>354</v>
      </c>
      <c r="I27" s="61">
        <v>1</v>
      </c>
      <c r="J27" s="57" t="s">
        <v>354</v>
      </c>
      <c r="K27" s="60">
        <v>150000</v>
      </c>
      <c r="L27" s="61">
        <v>0.78860000000000008</v>
      </c>
      <c r="M27" s="57" t="s">
        <v>355</v>
      </c>
      <c r="N27" s="60">
        <v>118290.00000000001</v>
      </c>
      <c r="O27" s="60">
        <v>50000</v>
      </c>
      <c r="P27" s="61">
        <v>0.95</v>
      </c>
      <c r="Q27" s="57" t="s">
        <v>354</v>
      </c>
      <c r="R27" s="60">
        <v>47500</v>
      </c>
      <c r="S27" s="60">
        <v>50000</v>
      </c>
      <c r="T27" s="61">
        <v>1</v>
      </c>
      <c r="U27" s="57" t="s">
        <v>354</v>
      </c>
      <c r="V27" s="60">
        <v>50000</v>
      </c>
      <c r="W27" s="57" t="s">
        <v>246</v>
      </c>
      <c r="X27" s="60">
        <v>215790</v>
      </c>
      <c r="Y27" s="57"/>
    </row>
    <row r="28" spans="1:25" x14ac:dyDescent="0.25">
      <c r="A28" s="57" t="s">
        <v>348</v>
      </c>
      <c r="B28" s="57" t="s">
        <v>233</v>
      </c>
      <c r="C28" s="57" t="s">
        <v>37</v>
      </c>
      <c r="D28" s="57" t="s">
        <v>241</v>
      </c>
      <c r="E28" s="57" t="s">
        <v>337</v>
      </c>
      <c r="F28" s="60">
        <v>250000</v>
      </c>
      <c r="G28" s="61">
        <v>0.92803636363636377</v>
      </c>
      <c r="H28" s="57" t="s">
        <v>354</v>
      </c>
      <c r="I28" s="61">
        <v>1</v>
      </c>
      <c r="J28" s="57" t="s">
        <v>354</v>
      </c>
      <c r="K28" s="60">
        <v>150000</v>
      </c>
      <c r="L28" s="61">
        <v>0.94543333333333335</v>
      </c>
      <c r="M28" s="57" t="s">
        <v>354</v>
      </c>
      <c r="N28" s="60">
        <v>135000</v>
      </c>
      <c r="O28" s="60">
        <v>50000</v>
      </c>
      <c r="P28" s="61">
        <v>0.95</v>
      </c>
      <c r="Q28" s="57" t="s">
        <v>354</v>
      </c>
      <c r="R28" s="60">
        <v>47500</v>
      </c>
      <c r="S28" s="60">
        <v>50000</v>
      </c>
      <c r="T28" s="61">
        <v>1</v>
      </c>
      <c r="U28" s="57" t="s">
        <v>354</v>
      </c>
      <c r="V28" s="60">
        <v>50000</v>
      </c>
      <c r="W28" s="57" t="s">
        <v>246</v>
      </c>
      <c r="X28" s="60">
        <v>232500</v>
      </c>
      <c r="Y28" s="57"/>
    </row>
    <row r="29" spans="1:25" x14ac:dyDescent="0.25">
      <c r="A29" s="57" t="s">
        <v>348</v>
      </c>
      <c r="B29" s="57" t="s">
        <v>233</v>
      </c>
      <c r="C29" s="57" t="s">
        <v>38</v>
      </c>
      <c r="D29" s="57" t="s">
        <v>241</v>
      </c>
      <c r="E29" s="57" t="s">
        <v>337</v>
      </c>
      <c r="F29" s="60">
        <v>250000</v>
      </c>
      <c r="G29" s="61">
        <v>0.83635454545454557</v>
      </c>
      <c r="H29" s="57" t="s">
        <v>354</v>
      </c>
      <c r="I29" s="61">
        <v>0.8</v>
      </c>
      <c r="J29" s="57" t="s">
        <v>354</v>
      </c>
      <c r="K29" s="60">
        <v>150000</v>
      </c>
      <c r="L29" s="61">
        <v>0.57199999999999995</v>
      </c>
      <c r="M29" s="57" t="s">
        <v>355</v>
      </c>
      <c r="N29" s="60">
        <v>85800</v>
      </c>
      <c r="O29" s="60">
        <v>50000</v>
      </c>
      <c r="P29" s="61">
        <v>0.95</v>
      </c>
      <c r="Q29" s="57" t="s">
        <v>354</v>
      </c>
      <c r="R29" s="60">
        <v>47500</v>
      </c>
      <c r="S29" s="60">
        <v>50000</v>
      </c>
      <c r="T29" s="61">
        <v>1</v>
      </c>
      <c r="U29" s="57" t="s">
        <v>354</v>
      </c>
      <c r="V29" s="60">
        <v>50000</v>
      </c>
      <c r="W29" s="57" t="s">
        <v>246</v>
      </c>
      <c r="X29" s="60">
        <v>183300</v>
      </c>
      <c r="Y29" s="57"/>
    </row>
    <row r="30" spans="1:25" x14ac:dyDescent="0.25">
      <c r="A30" s="57" t="s">
        <v>348</v>
      </c>
      <c r="B30" s="57" t="s">
        <v>233</v>
      </c>
      <c r="C30" s="57" t="s">
        <v>39</v>
      </c>
      <c r="D30" s="57" t="s">
        <v>241</v>
      </c>
      <c r="E30" s="57" t="s">
        <v>337</v>
      </c>
      <c r="F30" s="60">
        <v>250000</v>
      </c>
      <c r="G30" s="61">
        <v>0.84659090909090906</v>
      </c>
      <c r="H30" s="57" t="s">
        <v>354</v>
      </c>
      <c r="I30" s="61">
        <v>1</v>
      </c>
      <c r="J30" s="57" t="s">
        <v>354</v>
      </c>
      <c r="K30" s="60">
        <v>150000</v>
      </c>
      <c r="L30" s="61">
        <v>0.77083333333333337</v>
      </c>
      <c r="M30" s="57" t="s">
        <v>355</v>
      </c>
      <c r="N30" s="60">
        <v>115625</v>
      </c>
      <c r="O30" s="60">
        <v>50000</v>
      </c>
      <c r="P30" s="61">
        <v>0.95</v>
      </c>
      <c r="Q30" s="57" t="s">
        <v>354</v>
      </c>
      <c r="R30" s="60">
        <v>47500</v>
      </c>
      <c r="S30" s="60">
        <v>50000</v>
      </c>
      <c r="T30" s="61">
        <v>1</v>
      </c>
      <c r="U30" s="57" t="s">
        <v>354</v>
      </c>
      <c r="V30" s="60">
        <v>50000</v>
      </c>
      <c r="W30" s="57" t="s">
        <v>246</v>
      </c>
      <c r="X30" s="60">
        <v>213125</v>
      </c>
      <c r="Y30" s="57"/>
    </row>
    <row r="31" spans="1:25" x14ac:dyDescent="0.25">
      <c r="A31" s="57" t="s">
        <v>348</v>
      </c>
      <c r="B31" s="57" t="s">
        <v>233</v>
      </c>
      <c r="C31" s="57" t="s">
        <v>40</v>
      </c>
      <c r="D31" s="57" t="s">
        <v>241</v>
      </c>
      <c r="E31" s="57" t="s">
        <v>337</v>
      </c>
      <c r="F31" s="60">
        <v>250000</v>
      </c>
      <c r="G31" s="61">
        <v>0.80819090909090907</v>
      </c>
      <c r="H31" s="57" t="s">
        <v>354</v>
      </c>
      <c r="I31" s="61">
        <v>1</v>
      </c>
      <c r="J31" s="57" t="s">
        <v>354</v>
      </c>
      <c r="K31" s="60">
        <v>150000</v>
      </c>
      <c r="L31" s="61">
        <v>0.49963333333333332</v>
      </c>
      <c r="M31" s="57" t="s">
        <v>355</v>
      </c>
      <c r="N31" s="60">
        <v>74945</v>
      </c>
      <c r="O31" s="60">
        <v>50000</v>
      </c>
      <c r="P31" s="61">
        <v>0.95</v>
      </c>
      <c r="Q31" s="57" t="s">
        <v>354</v>
      </c>
      <c r="R31" s="60">
        <v>47500</v>
      </c>
      <c r="S31" s="60">
        <v>50000</v>
      </c>
      <c r="T31" s="61">
        <v>1</v>
      </c>
      <c r="U31" s="57" t="s">
        <v>354</v>
      </c>
      <c r="V31" s="60">
        <v>50000</v>
      </c>
      <c r="W31" s="57" t="s">
        <v>246</v>
      </c>
      <c r="X31" s="60">
        <v>172445</v>
      </c>
      <c r="Y31" s="57"/>
    </row>
    <row r="32" spans="1:25" x14ac:dyDescent="0.25">
      <c r="A32" s="57" t="s">
        <v>348</v>
      </c>
      <c r="B32" s="57" t="s">
        <v>233</v>
      </c>
      <c r="C32" s="57" t="s">
        <v>41</v>
      </c>
      <c r="D32" s="57" t="s">
        <v>241</v>
      </c>
      <c r="E32" s="57" t="s">
        <v>337</v>
      </c>
      <c r="F32" s="60">
        <v>250000</v>
      </c>
      <c r="G32" s="61">
        <v>0.85299999999999987</v>
      </c>
      <c r="H32" s="57" t="s">
        <v>354</v>
      </c>
      <c r="I32" s="61">
        <v>1</v>
      </c>
      <c r="J32" s="57" t="s">
        <v>354</v>
      </c>
      <c r="K32" s="60">
        <v>150000</v>
      </c>
      <c r="L32" s="61">
        <v>0.80320000000000003</v>
      </c>
      <c r="M32" s="57" t="s">
        <v>354</v>
      </c>
      <c r="N32" s="60">
        <v>0</v>
      </c>
      <c r="O32" s="60">
        <v>50000</v>
      </c>
      <c r="P32" s="61">
        <v>0.95</v>
      </c>
      <c r="Q32" s="57" t="s">
        <v>354</v>
      </c>
      <c r="R32" s="60">
        <v>47500</v>
      </c>
      <c r="S32" s="60">
        <v>50000</v>
      </c>
      <c r="T32" s="61">
        <v>1</v>
      </c>
      <c r="U32" s="57" t="s">
        <v>354</v>
      </c>
      <c r="V32" s="60">
        <v>50000</v>
      </c>
      <c r="W32" s="57" t="s">
        <v>246</v>
      </c>
      <c r="X32" s="60">
        <v>97500</v>
      </c>
      <c r="Y32" s="57"/>
    </row>
    <row r="33" spans="1:25" x14ac:dyDescent="0.25">
      <c r="A33" s="57" t="s">
        <v>348</v>
      </c>
      <c r="B33" s="57" t="s">
        <v>233</v>
      </c>
      <c r="C33" s="57" t="s">
        <v>42</v>
      </c>
      <c r="D33" s="57" t="s">
        <v>241</v>
      </c>
      <c r="E33" s="57" t="s">
        <v>337</v>
      </c>
      <c r="F33" s="60">
        <v>250000</v>
      </c>
      <c r="G33" s="61">
        <v>0.81572727272727275</v>
      </c>
      <c r="H33" s="57" t="s">
        <v>354</v>
      </c>
      <c r="I33" s="61">
        <v>1</v>
      </c>
      <c r="J33" s="57" t="s">
        <v>354</v>
      </c>
      <c r="K33" s="60">
        <v>150000</v>
      </c>
      <c r="L33" s="61">
        <v>0.54003333333333325</v>
      </c>
      <c r="M33" s="57" t="s">
        <v>355</v>
      </c>
      <c r="N33" s="60">
        <v>81004.999999999985</v>
      </c>
      <c r="O33" s="60">
        <v>50000</v>
      </c>
      <c r="P33" s="61">
        <v>0.95</v>
      </c>
      <c r="Q33" s="57" t="s">
        <v>354</v>
      </c>
      <c r="R33" s="60">
        <v>47500</v>
      </c>
      <c r="S33" s="60">
        <v>50000</v>
      </c>
      <c r="T33" s="61">
        <v>1</v>
      </c>
      <c r="U33" s="57" t="s">
        <v>354</v>
      </c>
      <c r="V33" s="60">
        <v>50000</v>
      </c>
      <c r="W33" s="57" t="s">
        <v>246</v>
      </c>
      <c r="X33" s="60">
        <v>178505</v>
      </c>
      <c r="Y33" s="57"/>
    </row>
    <row r="34" spans="1:25" x14ac:dyDescent="0.25">
      <c r="A34" s="57" t="s">
        <v>348</v>
      </c>
      <c r="B34" s="57" t="s">
        <v>233</v>
      </c>
      <c r="C34" s="57" t="s">
        <v>43</v>
      </c>
      <c r="D34" s="57" t="s">
        <v>242</v>
      </c>
      <c r="E34" s="57" t="s">
        <v>303</v>
      </c>
      <c r="F34" s="60">
        <v>250000</v>
      </c>
      <c r="G34" s="61">
        <v>0.7536272727272727</v>
      </c>
      <c r="H34" s="57" t="s">
        <v>354</v>
      </c>
      <c r="I34" s="61">
        <v>1</v>
      </c>
      <c r="J34" s="57" t="s">
        <v>354</v>
      </c>
      <c r="K34" s="60">
        <v>150000</v>
      </c>
      <c r="L34" s="61">
        <v>0.57143333333333335</v>
      </c>
      <c r="M34" s="57" t="s">
        <v>355</v>
      </c>
      <c r="N34" s="60">
        <v>85715</v>
      </c>
      <c r="O34" s="60">
        <v>50000</v>
      </c>
      <c r="P34" s="61">
        <v>0.95</v>
      </c>
      <c r="Q34" s="57" t="s">
        <v>354</v>
      </c>
      <c r="R34" s="60">
        <v>47500</v>
      </c>
      <c r="S34" s="60">
        <v>50000</v>
      </c>
      <c r="T34" s="61">
        <v>1</v>
      </c>
      <c r="U34" s="57" t="s">
        <v>354</v>
      </c>
      <c r="V34" s="60">
        <v>50000</v>
      </c>
      <c r="W34" s="57" t="s">
        <v>246</v>
      </c>
      <c r="X34" s="60">
        <v>183215</v>
      </c>
      <c r="Y34" s="57"/>
    </row>
    <row r="35" spans="1:25" x14ac:dyDescent="0.25">
      <c r="A35" s="57" t="s">
        <v>348</v>
      </c>
      <c r="B35" s="57" t="s">
        <v>233</v>
      </c>
      <c r="C35" s="57" t="s">
        <v>44</v>
      </c>
      <c r="D35" s="57" t="s">
        <v>242</v>
      </c>
      <c r="E35" s="57" t="s">
        <v>303</v>
      </c>
      <c r="F35" s="60">
        <v>250000</v>
      </c>
      <c r="G35" s="61">
        <v>0.78246363636363625</v>
      </c>
      <c r="H35" s="57" t="s">
        <v>354</v>
      </c>
      <c r="I35" s="61">
        <v>0.93333333333333335</v>
      </c>
      <c r="J35" s="57" t="s">
        <v>354</v>
      </c>
      <c r="K35" s="60">
        <v>150000</v>
      </c>
      <c r="L35" s="61">
        <v>0.72526666666666662</v>
      </c>
      <c r="M35" s="57" t="s">
        <v>355</v>
      </c>
      <c r="N35" s="60">
        <v>108789.99999999999</v>
      </c>
      <c r="O35" s="60">
        <v>50000</v>
      </c>
      <c r="P35" s="61">
        <v>0.95</v>
      </c>
      <c r="Q35" s="57" t="s">
        <v>354</v>
      </c>
      <c r="R35" s="60">
        <v>47500</v>
      </c>
      <c r="S35" s="60">
        <v>50000</v>
      </c>
      <c r="T35" s="61">
        <v>0.5</v>
      </c>
      <c r="U35" s="57" t="s">
        <v>355</v>
      </c>
      <c r="V35" s="60">
        <v>0</v>
      </c>
      <c r="W35" s="57" t="s">
        <v>246</v>
      </c>
      <c r="X35" s="60">
        <v>156290</v>
      </c>
      <c r="Y35" s="57"/>
    </row>
    <row r="36" spans="1:25" x14ac:dyDescent="0.25">
      <c r="A36" s="57" t="s">
        <v>348</v>
      </c>
      <c r="B36" s="57" t="s">
        <v>233</v>
      </c>
      <c r="C36" s="57" t="s">
        <v>45</v>
      </c>
      <c r="D36" s="57" t="s">
        <v>242</v>
      </c>
      <c r="E36" s="57" t="s">
        <v>303</v>
      </c>
      <c r="F36" s="60">
        <v>250000</v>
      </c>
      <c r="G36" s="61">
        <v>0.37843636363636352</v>
      </c>
      <c r="H36" s="57" t="s">
        <v>355</v>
      </c>
      <c r="I36" s="61">
        <v>1</v>
      </c>
      <c r="J36" s="57" t="s">
        <v>354</v>
      </c>
      <c r="K36" s="60">
        <v>150000</v>
      </c>
      <c r="L36" s="61">
        <v>5.4266666666666664E-2</v>
      </c>
      <c r="M36" s="57" t="s">
        <v>355</v>
      </c>
      <c r="N36" s="60">
        <v>0</v>
      </c>
      <c r="O36" s="60">
        <v>50000</v>
      </c>
      <c r="P36" s="61">
        <v>0.95</v>
      </c>
      <c r="Q36" s="57" t="s">
        <v>354</v>
      </c>
      <c r="R36" s="60">
        <v>47500</v>
      </c>
      <c r="S36" s="60">
        <v>50000</v>
      </c>
      <c r="T36" s="61">
        <v>0.49419999999999997</v>
      </c>
      <c r="U36" s="57" t="s">
        <v>355</v>
      </c>
      <c r="V36" s="60">
        <v>0</v>
      </c>
      <c r="W36" s="57" t="s">
        <v>246</v>
      </c>
      <c r="X36" s="60">
        <v>47500</v>
      </c>
      <c r="Y36" s="57"/>
    </row>
    <row r="37" spans="1:25" x14ac:dyDescent="0.25">
      <c r="A37" s="57" t="s">
        <v>348</v>
      </c>
      <c r="B37" s="57" t="s">
        <v>233</v>
      </c>
      <c r="C37" s="57" t="s">
        <v>46</v>
      </c>
      <c r="D37" s="57" t="s">
        <v>242</v>
      </c>
      <c r="E37" s="57" t="s">
        <v>303</v>
      </c>
      <c r="F37" s="60">
        <v>250000</v>
      </c>
      <c r="G37" s="61">
        <v>0.7530363636363635</v>
      </c>
      <c r="H37" s="57" t="s">
        <v>354</v>
      </c>
      <c r="I37" s="61">
        <v>0.95238095238095233</v>
      </c>
      <c r="J37" s="57" t="s">
        <v>354</v>
      </c>
      <c r="K37" s="60">
        <v>150000</v>
      </c>
      <c r="L37" s="61">
        <v>0.49006666666666665</v>
      </c>
      <c r="M37" s="57" t="s">
        <v>355</v>
      </c>
      <c r="N37" s="60">
        <v>0</v>
      </c>
      <c r="O37" s="60">
        <v>50000</v>
      </c>
      <c r="P37" s="61">
        <v>0.95</v>
      </c>
      <c r="Q37" s="57" t="s">
        <v>354</v>
      </c>
      <c r="R37" s="60">
        <v>47500</v>
      </c>
      <c r="S37" s="60">
        <v>50000</v>
      </c>
      <c r="T37" s="61">
        <v>0.49559999999999998</v>
      </c>
      <c r="U37" s="57" t="s">
        <v>355</v>
      </c>
      <c r="V37" s="60">
        <v>0</v>
      </c>
      <c r="W37" s="57" t="s">
        <v>246</v>
      </c>
      <c r="X37" s="60">
        <v>47500</v>
      </c>
      <c r="Y37" s="57"/>
    </row>
    <row r="38" spans="1:25" x14ac:dyDescent="0.25">
      <c r="A38" s="57" t="s">
        <v>348</v>
      </c>
      <c r="B38" s="57" t="s">
        <v>233</v>
      </c>
      <c r="C38" s="57" t="s">
        <v>47</v>
      </c>
      <c r="D38" s="57" t="s">
        <v>242</v>
      </c>
      <c r="E38" s="57" t="s">
        <v>303</v>
      </c>
      <c r="F38" s="60">
        <v>250000</v>
      </c>
      <c r="G38" s="61">
        <v>0.78945454545454541</v>
      </c>
      <c r="H38" s="57" t="s">
        <v>354</v>
      </c>
      <c r="I38" s="61">
        <v>1</v>
      </c>
      <c r="J38" s="57" t="s">
        <v>354</v>
      </c>
      <c r="K38" s="60">
        <v>150000</v>
      </c>
      <c r="L38" s="61">
        <v>0.47879999999999995</v>
      </c>
      <c r="M38" s="57" t="s">
        <v>355</v>
      </c>
      <c r="N38" s="60">
        <v>0</v>
      </c>
      <c r="O38" s="60">
        <v>50000</v>
      </c>
      <c r="P38" s="61">
        <v>0.95</v>
      </c>
      <c r="Q38" s="57" t="s">
        <v>354</v>
      </c>
      <c r="R38" s="60">
        <v>47500</v>
      </c>
      <c r="S38" s="60">
        <v>50000</v>
      </c>
      <c r="T38" s="61">
        <v>0.49559999999999998</v>
      </c>
      <c r="U38" s="57" t="s">
        <v>355</v>
      </c>
      <c r="V38" s="60">
        <v>0</v>
      </c>
      <c r="W38" s="57" t="s">
        <v>246</v>
      </c>
      <c r="X38" s="60">
        <v>47500</v>
      </c>
      <c r="Y38" s="57"/>
    </row>
    <row r="39" spans="1:25" x14ac:dyDescent="0.25">
      <c r="A39" s="57" t="s">
        <v>348</v>
      </c>
      <c r="B39" s="57" t="s">
        <v>233</v>
      </c>
      <c r="C39" s="57" t="s">
        <v>48</v>
      </c>
      <c r="D39" s="57" t="s">
        <v>242</v>
      </c>
      <c r="E39" s="57" t="s">
        <v>303</v>
      </c>
      <c r="F39" s="60">
        <v>250000</v>
      </c>
      <c r="G39" s="61">
        <v>0.75649999999999984</v>
      </c>
      <c r="H39" s="57" t="s">
        <v>354</v>
      </c>
      <c r="I39" s="61">
        <v>1</v>
      </c>
      <c r="J39" s="57" t="s">
        <v>354</v>
      </c>
      <c r="K39" s="60">
        <v>150000</v>
      </c>
      <c r="L39" s="61">
        <v>0.66666666666666663</v>
      </c>
      <c r="M39" s="57" t="s">
        <v>355</v>
      </c>
      <c r="N39" s="60">
        <v>100000</v>
      </c>
      <c r="O39" s="60">
        <v>50000</v>
      </c>
      <c r="P39" s="61">
        <v>0.95</v>
      </c>
      <c r="Q39" s="57" t="s">
        <v>354</v>
      </c>
      <c r="R39" s="60">
        <v>47500</v>
      </c>
      <c r="S39" s="60">
        <v>50000</v>
      </c>
      <c r="T39" s="61">
        <v>0.96430000000000005</v>
      </c>
      <c r="U39" s="57" t="s">
        <v>355</v>
      </c>
      <c r="V39" s="60">
        <v>0</v>
      </c>
      <c r="W39" s="57" t="s">
        <v>246</v>
      </c>
      <c r="X39" s="60">
        <v>147500</v>
      </c>
      <c r="Y39" s="57"/>
    </row>
    <row r="40" spans="1:25" x14ac:dyDescent="0.25">
      <c r="A40" s="57" t="s">
        <v>348</v>
      </c>
      <c r="B40" s="57" t="s">
        <v>233</v>
      </c>
      <c r="C40" s="57" t="s">
        <v>49</v>
      </c>
      <c r="D40" s="57" t="s">
        <v>241</v>
      </c>
      <c r="E40" s="57" t="s">
        <v>338</v>
      </c>
      <c r="F40" s="60">
        <v>250000</v>
      </c>
      <c r="G40" s="61">
        <v>0.89160909090909091</v>
      </c>
      <c r="H40" s="57" t="s">
        <v>354</v>
      </c>
      <c r="I40" s="61">
        <v>1</v>
      </c>
      <c r="J40" s="57" t="s">
        <v>354</v>
      </c>
      <c r="K40" s="60">
        <v>150000</v>
      </c>
      <c r="L40" s="61">
        <v>0.85896666666666677</v>
      </c>
      <c r="M40" s="57" t="s">
        <v>354</v>
      </c>
      <c r="N40" s="60">
        <v>120000</v>
      </c>
      <c r="O40" s="60">
        <v>50000</v>
      </c>
      <c r="P40" s="61">
        <v>0.95</v>
      </c>
      <c r="Q40" s="57" t="s">
        <v>354</v>
      </c>
      <c r="R40" s="60">
        <v>47500</v>
      </c>
      <c r="S40" s="60">
        <v>50000</v>
      </c>
      <c r="T40" s="61">
        <v>0.5</v>
      </c>
      <c r="U40" s="57" t="s">
        <v>355</v>
      </c>
      <c r="V40" s="60">
        <v>0</v>
      </c>
      <c r="W40" s="57" t="s">
        <v>246</v>
      </c>
      <c r="X40" s="60">
        <v>167500</v>
      </c>
      <c r="Y40" s="57"/>
    </row>
    <row r="41" spans="1:25" x14ac:dyDescent="0.25">
      <c r="A41" s="57" t="s">
        <v>348</v>
      </c>
      <c r="B41" s="57" t="s">
        <v>233</v>
      </c>
      <c r="C41" s="57" t="s">
        <v>50</v>
      </c>
      <c r="D41" s="57" t="s">
        <v>242</v>
      </c>
      <c r="E41" s="57" t="s">
        <v>303</v>
      </c>
      <c r="F41" s="60">
        <v>250000</v>
      </c>
      <c r="G41" s="61">
        <v>0.79950909090909095</v>
      </c>
      <c r="H41" s="57" t="s">
        <v>354</v>
      </c>
      <c r="I41" s="61">
        <v>1</v>
      </c>
      <c r="J41" s="57" t="s">
        <v>354</v>
      </c>
      <c r="K41" s="60">
        <v>150000</v>
      </c>
      <c r="L41" s="61">
        <v>0.51119999999999999</v>
      </c>
      <c r="M41" s="57" t="s">
        <v>355</v>
      </c>
      <c r="N41" s="60">
        <v>76680</v>
      </c>
      <c r="O41" s="60">
        <v>50000</v>
      </c>
      <c r="P41" s="61">
        <v>0.95</v>
      </c>
      <c r="Q41" s="57" t="s">
        <v>354</v>
      </c>
      <c r="R41" s="60">
        <v>47500</v>
      </c>
      <c r="S41" s="60">
        <v>50000</v>
      </c>
      <c r="T41" s="61">
        <v>0.5</v>
      </c>
      <c r="U41" s="57" t="s">
        <v>355</v>
      </c>
      <c r="V41" s="60">
        <v>0</v>
      </c>
      <c r="W41" s="57" t="s">
        <v>246</v>
      </c>
      <c r="X41" s="60">
        <v>124180</v>
      </c>
      <c r="Y41" s="57"/>
    </row>
    <row r="42" spans="1:25" x14ac:dyDescent="0.25">
      <c r="A42" s="57" t="s">
        <v>348</v>
      </c>
      <c r="B42" s="57" t="s">
        <v>233</v>
      </c>
      <c r="C42" s="57" t="s">
        <v>51</v>
      </c>
      <c r="D42" s="57" t="s">
        <v>242</v>
      </c>
      <c r="E42" s="57" t="s">
        <v>303</v>
      </c>
      <c r="F42" s="60">
        <v>250000</v>
      </c>
      <c r="G42" s="61">
        <v>0.7218181818181818</v>
      </c>
      <c r="H42" s="57" t="s">
        <v>354</v>
      </c>
      <c r="I42" s="61">
        <v>1</v>
      </c>
      <c r="J42" s="57" t="s">
        <v>354</v>
      </c>
      <c r="K42" s="60">
        <v>150000</v>
      </c>
      <c r="L42" s="61">
        <v>0.32666666666666666</v>
      </c>
      <c r="M42" s="57" t="s">
        <v>355</v>
      </c>
      <c r="N42" s="60">
        <v>0</v>
      </c>
      <c r="O42" s="60">
        <v>50000</v>
      </c>
      <c r="P42" s="61">
        <v>0.95</v>
      </c>
      <c r="Q42" s="57" t="s">
        <v>354</v>
      </c>
      <c r="R42" s="60">
        <v>47500</v>
      </c>
      <c r="S42" s="60">
        <v>50000</v>
      </c>
      <c r="T42" s="61">
        <v>0.48</v>
      </c>
      <c r="U42" s="57" t="s">
        <v>355</v>
      </c>
      <c r="V42" s="60">
        <v>0</v>
      </c>
      <c r="W42" s="57" t="s">
        <v>246</v>
      </c>
      <c r="X42" s="60">
        <v>47500</v>
      </c>
      <c r="Y42" s="57"/>
    </row>
    <row r="43" spans="1:25" x14ac:dyDescent="0.25">
      <c r="A43" s="57" t="s">
        <v>348</v>
      </c>
      <c r="B43" s="57" t="s">
        <v>233</v>
      </c>
      <c r="C43" s="57" t="s">
        <v>52</v>
      </c>
      <c r="D43" s="57" t="s">
        <v>242</v>
      </c>
      <c r="E43" s="57" t="s">
        <v>303</v>
      </c>
      <c r="F43" s="60">
        <v>250000</v>
      </c>
      <c r="G43" s="61">
        <v>0.3695</v>
      </c>
      <c r="H43" s="57" t="s">
        <v>355</v>
      </c>
      <c r="I43" s="61">
        <v>1</v>
      </c>
      <c r="J43" s="57" t="s">
        <v>354</v>
      </c>
      <c r="K43" s="60">
        <v>150000</v>
      </c>
      <c r="L43" s="61">
        <v>0.10453333333333333</v>
      </c>
      <c r="M43" s="57" t="s">
        <v>355</v>
      </c>
      <c r="N43" s="60">
        <v>0</v>
      </c>
      <c r="O43" s="60">
        <v>50000</v>
      </c>
      <c r="P43" s="61">
        <v>0.95</v>
      </c>
      <c r="Q43" s="57" t="s">
        <v>354</v>
      </c>
      <c r="R43" s="60">
        <v>47500</v>
      </c>
      <c r="S43" s="60">
        <v>50000</v>
      </c>
      <c r="T43" s="61">
        <v>0.9839</v>
      </c>
      <c r="U43" s="57" t="s">
        <v>355</v>
      </c>
      <c r="V43" s="60">
        <v>0</v>
      </c>
      <c r="W43" s="57" t="s">
        <v>246</v>
      </c>
      <c r="X43" s="60">
        <v>47500</v>
      </c>
      <c r="Y43" s="57"/>
    </row>
    <row r="44" spans="1:25" x14ac:dyDescent="0.25">
      <c r="A44" s="57" t="s">
        <v>348</v>
      </c>
      <c r="B44" s="57" t="s">
        <v>233</v>
      </c>
      <c r="C44" s="57" t="s">
        <v>53</v>
      </c>
      <c r="D44" s="57" t="s">
        <v>242</v>
      </c>
      <c r="E44" s="57" t="s">
        <v>303</v>
      </c>
      <c r="F44" s="60">
        <v>250000</v>
      </c>
      <c r="G44" s="61">
        <v>0.77899090909090918</v>
      </c>
      <c r="H44" s="57" t="s">
        <v>354</v>
      </c>
      <c r="I44" s="61">
        <v>1</v>
      </c>
      <c r="J44" s="57" t="s">
        <v>354</v>
      </c>
      <c r="K44" s="60">
        <v>150000</v>
      </c>
      <c r="L44" s="61">
        <v>0.60586666666666666</v>
      </c>
      <c r="M44" s="57" t="s">
        <v>355</v>
      </c>
      <c r="N44" s="60">
        <v>90880</v>
      </c>
      <c r="O44" s="60">
        <v>50000</v>
      </c>
      <c r="P44" s="61">
        <v>0.95</v>
      </c>
      <c r="Q44" s="57" t="s">
        <v>354</v>
      </c>
      <c r="R44" s="60">
        <v>47500</v>
      </c>
      <c r="S44" s="60">
        <v>50000</v>
      </c>
      <c r="T44" s="61">
        <v>0.5</v>
      </c>
      <c r="U44" s="57" t="s">
        <v>355</v>
      </c>
      <c r="V44" s="60">
        <v>0</v>
      </c>
      <c r="W44" s="57" t="s">
        <v>246</v>
      </c>
      <c r="X44" s="60">
        <v>138380</v>
      </c>
      <c r="Y44" s="57"/>
    </row>
    <row r="45" spans="1:25" x14ac:dyDescent="0.25">
      <c r="A45" s="57" t="s">
        <v>348</v>
      </c>
      <c r="B45" s="57" t="s">
        <v>233</v>
      </c>
      <c r="C45" s="57" t="s">
        <v>54</v>
      </c>
      <c r="D45" s="57" t="s">
        <v>242</v>
      </c>
      <c r="E45" s="57" t="s">
        <v>303</v>
      </c>
      <c r="F45" s="60">
        <v>250000</v>
      </c>
      <c r="G45" s="61">
        <v>0.74939999999999996</v>
      </c>
      <c r="H45" s="57" t="s">
        <v>354</v>
      </c>
      <c r="I45" s="61">
        <v>1</v>
      </c>
      <c r="J45" s="57" t="s">
        <v>354</v>
      </c>
      <c r="K45" s="60">
        <v>150000</v>
      </c>
      <c r="L45" s="61">
        <v>0.37559999999999999</v>
      </c>
      <c r="M45" s="57" t="s">
        <v>355</v>
      </c>
      <c r="N45" s="60">
        <v>0</v>
      </c>
      <c r="O45" s="60">
        <v>50000</v>
      </c>
      <c r="P45" s="61">
        <v>0.95</v>
      </c>
      <c r="Q45" s="57" t="s">
        <v>354</v>
      </c>
      <c r="R45" s="60">
        <v>47500</v>
      </c>
      <c r="S45" s="60">
        <v>50000</v>
      </c>
      <c r="T45" s="61">
        <v>0.97299999999999998</v>
      </c>
      <c r="U45" s="57" t="s">
        <v>355</v>
      </c>
      <c r="V45" s="60">
        <v>0</v>
      </c>
      <c r="W45" s="57" t="s">
        <v>246</v>
      </c>
      <c r="X45" s="60">
        <v>47500</v>
      </c>
      <c r="Y45" s="57"/>
    </row>
    <row r="46" spans="1:25" x14ac:dyDescent="0.25">
      <c r="A46" s="57" t="s">
        <v>348</v>
      </c>
      <c r="B46" s="57" t="s">
        <v>233</v>
      </c>
      <c r="C46" s="57" t="s">
        <v>55</v>
      </c>
      <c r="D46" s="57" t="s">
        <v>242</v>
      </c>
      <c r="E46" s="57" t="s">
        <v>303</v>
      </c>
      <c r="F46" s="60">
        <v>250000</v>
      </c>
      <c r="G46" s="61">
        <v>0.83699090909090923</v>
      </c>
      <c r="H46" s="57" t="s">
        <v>354</v>
      </c>
      <c r="I46" s="61">
        <v>1</v>
      </c>
      <c r="J46" s="57" t="s">
        <v>354</v>
      </c>
      <c r="K46" s="60">
        <v>150000</v>
      </c>
      <c r="L46" s="61">
        <v>0.83046666666666669</v>
      </c>
      <c r="M46" s="57" t="s">
        <v>354</v>
      </c>
      <c r="N46" s="60">
        <v>120000</v>
      </c>
      <c r="O46" s="60">
        <v>50000</v>
      </c>
      <c r="P46" s="61">
        <v>0.95</v>
      </c>
      <c r="Q46" s="57" t="s">
        <v>354</v>
      </c>
      <c r="R46" s="60">
        <v>47500</v>
      </c>
      <c r="S46" s="60">
        <v>50000</v>
      </c>
      <c r="T46" s="61">
        <v>0.5</v>
      </c>
      <c r="U46" s="57" t="s">
        <v>355</v>
      </c>
      <c r="V46" s="60">
        <v>0</v>
      </c>
      <c r="W46" s="57" t="s">
        <v>246</v>
      </c>
      <c r="X46" s="60">
        <v>167500</v>
      </c>
      <c r="Y46" s="57"/>
    </row>
    <row r="47" spans="1:25" x14ac:dyDescent="0.25">
      <c r="A47" s="57" t="s">
        <v>348</v>
      </c>
      <c r="B47" s="57" t="s">
        <v>233</v>
      </c>
      <c r="C47" s="57" t="s">
        <v>56</v>
      </c>
      <c r="D47" s="57" t="s">
        <v>242</v>
      </c>
      <c r="E47" s="57" t="s">
        <v>303</v>
      </c>
      <c r="F47" s="60">
        <v>250000</v>
      </c>
      <c r="G47" s="61">
        <v>0.75</v>
      </c>
      <c r="H47" s="57" t="s">
        <v>354</v>
      </c>
      <c r="I47" s="61">
        <v>1</v>
      </c>
      <c r="J47" s="57" t="s">
        <v>354</v>
      </c>
      <c r="K47" s="60">
        <v>150000</v>
      </c>
      <c r="L47" s="61">
        <v>0.34089999999999998</v>
      </c>
      <c r="M47" s="57" t="s">
        <v>355</v>
      </c>
      <c r="N47" s="60">
        <v>0</v>
      </c>
      <c r="O47" s="60">
        <v>50000</v>
      </c>
      <c r="P47" s="61">
        <v>0.95</v>
      </c>
      <c r="Q47" s="57" t="s">
        <v>354</v>
      </c>
      <c r="R47" s="60">
        <v>47500</v>
      </c>
      <c r="S47" s="60">
        <v>50000</v>
      </c>
      <c r="T47" s="61">
        <v>0.5</v>
      </c>
      <c r="U47" s="57" t="s">
        <v>355</v>
      </c>
      <c r="V47" s="60">
        <v>0</v>
      </c>
      <c r="W47" s="57" t="s">
        <v>246</v>
      </c>
      <c r="X47" s="60">
        <v>47500</v>
      </c>
      <c r="Y47" s="57"/>
    </row>
    <row r="48" spans="1:25" x14ac:dyDescent="0.25">
      <c r="A48" s="57" t="s">
        <v>348</v>
      </c>
      <c r="B48" s="57" t="s">
        <v>233</v>
      </c>
      <c r="C48" s="57" t="s">
        <v>57</v>
      </c>
      <c r="D48" s="57" t="s">
        <v>242</v>
      </c>
      <c r="E48" s="57" t="s">
        <v>303</v>
      </c>
      <c r="F48" s="60">
        <v>250000</v>
      </c>
      <c r="G48" s="61">
        <v>0.91754545454545455</v>
      </c>
      <c r="H48" s="57" t="s">
        <v>354</v>
      </c>
      <c r="I48" s="61">
        <v>1</v>
      </c>
      <c r="J48" s="57" t="s">
        <v>354</v>
      </c>
      <c r="K48" s="60">
        <v>150000</v>
      </c>
      <c r="L48" s="61">
        <v>0.87790000000000001</v>
      </c>
      <c r="M48" s="57" t="s">
        <v>354</v>
      </c>
      <c r="N48" s="60">
        <v>120000</v>
      </c>
      <c r="O48" s="60">
        <v>50000</v>
      </c>
      <c r="P48" s="61">
        <v>0.95</v>
      </c>
      <c r="Q48" s="57" t="s">
        <v>354</v>
      </c>
      <c r="R48" s="60">
        <v>47500</v>
      </c>
      <c r="S48" s="60">
        <v>50000</v>
      </c>
      <c r="T48" s="61">
        <v>0.5</v>
      </c>
      <c r="U48" s="57" t="s">
        <v>355</v>
      </c>
      <c r="V48" s="60">
        <v>0</v>
      </c>
      <c r="W48" s="57" t="s">
        <v>246</v>
      </c>
      <c r="X48" s="60">
        <v>167500</v>
      </c>
      <c r="Y48" s="57"/>
    </row>
    <row r="49" spans="1:25" x14ac:dyDescent="0.25">
      <c r="A49" s="57" t="s">
        <v>348</v>
      </c>
      <c r="B49" s="57" t="s">
        <v>233</v>
      </c>
      <c r="C49" s="57" t="s">
        <v>58</v>
      </c>
      <c r="D49" s="57" t="s">
        <v>242</v>
      </c>
      <c r="E49" s="57" t="s">
        <v>303</v>
      </c>
      <c r="F49" s="60">
        <v>250000</v>
      </c>
      <c r="G49" s="61">
        <v>0.76043636363636358</v>
      </c>
      <c r="H49" s="57" t="s">
        <v>354</v>
      </c>
      <c r="I49" s="61">
        <v>1</v>
      </c>
      <c r="J49" s="57" t="s">
        <v>354</v>
      </c>
      <c r="K49" s="60">
        <v>150000</v>
      </c>
      <c r="L49" s="61">
        <v>0.41436666666666661</v>
      </c>
      <c r="M49" s="57" t="s">
        <v>355</v>
      </c>
      <c r="N49" s="60">
        <v>0</v>
      </c>
      <c r="O49" s="60">
        <v>50000</v>
      </c>
      <c r="P49" s="61">
        <v>0.95</v>
      </c>
      <c r="Q49" s="57" t="s">
        <v>354</v>
      </c>
      <c r="R49" s="60">
        <v>47500</v>
      </c>
      <c r="S49" s="60">
        <v>50000</v>
      </c>
      <c r="T49" s="61">
        <v>0.49480000000000002</v>
      </c>
      <c r="U49" s="57" t="s">
        <v>355</v>
      </c>
      <c r="V49" s="60">
        <v>0</v>
      </c>
      <c r="W49" s="57" t="s">
        <v>246</v>
      </c>
      <c r="X49" s="60">
        <v>47500</v>
      </c>
      <c r="Y49" s="57"/>
    </row>
    <row r="50" spans="1:25" x14ac:dyDescent="0.25">
      <c r="A50" s="57" t="s">
        <v>348</v>
      </c>
      <c r="B50" s="57" t="s">
        <v>234</v>
      </c>
      <c r="C50" s="57" t="s">
        <v>59</v>
      </c>
      <c r="D50" s="57" t="s">
        <v>243</v>
      </c>
      <c r="E50" s="57" t="s">
        <v>339</v>
      </c>
      <c r="F50" s="60">
        <v>250000</v>
      </c>
      <c r="G50" s="61">
        <v>0.75942727272727273</v>
      </c>
      <c r="H50" s="57" t="s">
        <v>354</v>
      </c>
      <c r="I50" s="61">
        <v>1</v>
      </c>
      <c r="J50" s="57" t="s">
        <v>354</v>
      </c>
      <c r="K50" s="60">
        <v>150000</v>
      </c>
      <c r="L50" s="61">
        <v>0.52253333333333341</v>
      </c>
      <c r="M50" s="57" t="s">
        <v>355</v>
      </c>
      <c r="N50" s="60">
        <v>78380.000000000015</v>
      </c>
      <c r="O50" s="60">
        <v>50000</v>
      </c>
      <c r="P50" s="61">
        <v>0.95</v>
      </c>
      <c r="Q50" s="57" t="s">
        <v>354</v>
      </c>
      <c r="R50" s="60">
        <v>47500</v>
      </c>
      <c r="S50" s="60">
        <v>50000</v>
      </c>
      <c r="T50" s="61">
        <v>1</v>
      </c>
      <c r="U50" s="57" t="s">
        <v>354</v>
      </c>
      <c r="V50" s="60">
        <v>50000</v>
      </c>
      <c r="W50" s="57" t="s">
        <v>246</v>
      </c>
      <c r="X50" s="60">
        <v>175880</v>
      </c>
      <c r="Y50" s="57"/>
    </row>
    <row r="51" spans="1:25" x14ac:dyDescent="0.25">
      <c r="A51" s="57" t="s">
        <v>348</v>
      </c>
      <c r="B51" s="57" t="s">
        <v>234</v>
      </c>
      <c r="C51" s="57" t="s">
        <v>60</v>
      </c>
      <c r="D51" s="57" t="s">
        <v>243</v>
      </c>
      <c r="E51" s="57" t="s">
        <v>339</v>
      </c>
      <c r="F51" s="60">
        <v>250000</v>
      </c>
      <c r="G51" s="61">
        <v>0.74545454545454559</v>
      </c>
      <c r="H51" s="57" t="s">
        <v>354</v>
      </c>
      <c r="I51" s="61">
        <v>1</v>
      </c>
      <c r="J51" s="57" t="s">
        <v>354</v>
      </c>
      <c r="K51" s="60">
        <v>150000</v>
      </c>
      <c r="L51" s="61">
        <v>0.51333333333333331</v>
      </c>
      <c r="M51" s="57" t="s">
        <v>355</v>
      </c>
      <c r="N51" s="60">
        <v>77000</v>
      </c>
      <c r="O51" s="60">
        <v>50000</v>
      </c>
      <c r="P51" s="61">
        <v>0.95</v>
      </c>
      <c r="Q51" s="57" t="s">
        <v>354</v>
      </c>
      <c r="R51" s="60">
        <v>47500</v>
      </c>
      <c r="S51" s="60">
        <v>50000</v>
      </c>
      <c r="T51" s="61">
        <v>0.49</v>
      </c>
      <c r="U51" s="57" t="s">
        <v>355</v>
      </c>
      <c r="V51" s="60">
        <v>0</v>
      </c>
      <c r="W51" s="57" t="s">
        <v>246</v>
      </c>
      <c r="X51" s="60">
        <v>124500</v>
      </c>
      <c r="Y51" s="57"/>
    </row>
    <row r="52" spans="1:25" x14ac:dyDescent="0.25">
      <c r="A52" s="57" t="s">
        <v>348</v>
      </c>
      <c r="B52" s="57" t="s">
        <v>234</v>
      </c>
      <c r="C52" s="57" t="s">
        <v>61</v>
      </c>
      <c r="D52" s="57" t="s">
        <v>243</v>
      </c>
      <c r="E52" s="57" t="s">
        <v>339</v>
      </c>
      <c r="F52" s="60">
        <v>250000</v>
      </c>
      <c r="G52" s="61">
        <v>0.81584545454545454</v>
      </c>
      <c r="H52" s="57" t="s">
        <v>354</v>
      </c>
      <c r="I52" s="61">
        <v>1</v>
      </c>
      <c r="J52" s="57" t="s">
        <v>354</v>
      </c>
      <c r="K52" s="60">
        <v>150000</v>
      </c>
      <c r="L52" s="61">
        <v>0.57356666666666667</v>
      </c>
      <c r="M52" s="57" t="s">
        <v>355</v>
      </c>
      <c r="N52" s="60">
        <v>86035</v>
      </c>
      <c r="O52" s="60">
        <v>50000</v>
      </c>
      <c r="P52" s="61">
        <v>0.95</v>
      </c>
      <c r="Q52" s="57" t="s">
        <v>354</v>
      </c>
      <c r="R52" s="60">
        <v>47500</v>
      </c>
      <c r="S52" s="60">
        <v>50000</v>
      </c>
      <c r="T52" s="61">
        <v>0.5</v>
      </c>
      <c r="U52" s="57" t="s">
        <v>355</v>
      </c>
      <c r="V52" s="60">
        <v>0</v>
      </c>
      <c r="W52" s="57" t="s">
        <v>246</v>
      </c>
      <c r="X52" s="60">
        <v>133535</v>
      </c>
      <c r="Y52" s="57"/>
    </row>
    <row r="53" spans="1:25" x14ac:dyDescent="0.25">
      <c r="A53" s="57" t="s">
        <v>348</v>
      </c>
      <c r="B53" s="57" t="s">
        <v>234</v>
      </c>
      <c r="C53" s="57" t="s">
        <v>62</v>
      </c>
      <c r="D53" s="57" t="s">
        <v>243</v>
      </c>
      <c r="E53" s="57" t="s">
        <v>339</v>
      </c>
      <c r="F53" s="60">
        <v>250000</v>
      </c>
      <c r="G53" s="61">
        <v>0.85741818181818197</v>
      </c>
      <c r="H53" s="57" t="s">
        <v>354</v>
      </c>
      <c r="I53" s="61">
        <v>0.95</v>
      </c>
      <c r="J53" s="57" t="s">
        <v>354</v>
      </c>
      <c r="K53" s="60">
        <v>150000</v>
      </c>
      <c r="L53" s="61">
        <v>0.73606666666666676</v>
      </c>
      <c r="M53" s="57" t="s">
        <v>355</v>
      </c>
      <c r="N53" s="60">
        <v>110410.00000000001</v>
      </c>
      <c r="O53" s="60">
        <v>50000</v>
      </c>
      <c r="P53" s="61">
        <v>0.95</v>
      </c>
      <c r="Q53" s="57" t="s">
        <v>354</v>
      </c>
      <c r="R53" s="60">
        <v>47500</v>
      </c>
      <c r="S53" s="60">
        <v>50000</v>
      </c>
      <c r="T53" s="61">
        <v>0.5</v>
      </c>
      <c r="U53" s="57" t="s">
        <v>355</v>
      </c>
      <c r="V53" s="60">
        <v>0</v>
      </c>
      <c r="W53" s="57" t="s">
        <v>246</v>
      </c>
      <c r="X53" s="60">
        <v>157910</v>
      </c>
      <c r="Y53" s="57"/>
    </row>
    <row r="54" spans="1:25" x14ac:dyDescent="0.25">
      <c r="A54" s="57" t="s">
        <v>348</v>
      </c>
      <c r="B54" s="57" t="s">
        <v>234</v>
      </c>
      <c r="C54" s="57" t="s">
        <v>63</v>
      </c>
      <c r="D54" s="57" t="s">
        <v>243</v>
      </c>
      <c r="E54" s="57" t="s">
        <v>339</v>
      </c>
      <c r="F54" s="60">
        <v>250000</v>
      </c>
      <c r="G54" s="61">
        <v>0.81049090909090904</v>
      </c>
      <c r="H54" s="57" t="s">
        <v>354</v>
      </c>
      <c r="I54" s="61">
        <v>1</v>
      </c>
      <c r="J54" s="57" t="s">
        <v>354</v>
      </c>
      <c r="K54" s="60">
        <v>150000</v>
      </c>
      <c r="L54" s="61">
        <v>0.46286666666666659</v>
      </c>
      <c r="M54" s="57" t="s">
        <v>355</v>
      </c>
      <c r="N54" s="60">
        <v>0</v>
      </c>
      <c r="O54" s="60">
        <v>50000</v>
      </c>
      <c r="P54" s="61">
        <v>0.95</v>
      </c>
      <c r="Q54" s="57" t="s">
        <v>354</v>
      </c>
      <c r="R54" s="60">
        <v>47500</v>
      </c>
      <c r="S54" s="60">
        <v>50000</v>
      </c>
      <c r="T54" s="61">
        <v>0.5</v>
      </c>
      <c r="U54" s="57" t="s">
        <v>355</v>
      </c>
      <c r="V54" s="60">
        <v>0</v>
      </c>
      <c r="W54" s="57" t="s">
        <v>246</v>
      </c>
      <c r="X54" s="60">
        <v>47500</v>
      </c>
      <c r="Y54" s="57"/>
    </row>
    <row r="55" spans="1:25" x14ac:dyDescent="0.25">
      <c r="A55" s="57" t="s">
        <v>348</v>
      </c>
      <c r="B55" s="57" t="s">
        <v>234</v>
      </c>
      <c r="C55" s="57" t="s">
        <v>64</v>
      </c>
      <c r="D55" s="57" t="s">
        <v>243</v>
      </c>
      <c r="E55" s="57" t="s">
        <v>339</v>
      </c>
      <c r="F55" s="60">
        <v>250000</v>
      </c>
      <c r="G55" s="61">
        <v>0.79825454545454544</v>
      </c>
      <c r="H55" s="57" t="s">
        <v>354</v>
      </c>
      <c r="I55" s="61">
        <v>1</v>
      </c>
      <c r="J55" s="57" t="s">
        <v>354</v>
      </c>
      <c r="K55" s="60">
        <v>150000</v>
      </c>
      <c r="L55" s="61">
        <v>0.36109999999999998</v>
      </c>
      <c r="M55" s="57" t="s">
        <v>355</v>
      </c>
      <c r="N55" s="60">
        <v>0</v>
      </c>
      <c r="O55" s="60">
        <v>50000</v>
      </c>
      <c r="P55" s="61">
        <v>0.95</v>
      </c>
      <c r="Q55" s="57" t="s">
        <v>354</v>
      </c>
      <c r="R55" s="60">
        <v>47500</v>
      </c>
      <c r="S55" s="60">
        <v>50000</v>
      </c>
      <c r="T55" s="61">
        <v>1</v>
      </c>
      <c r="U55" s="57" t="s">
        <v>354</v>
      </c>
      <c r="V55" s="60">
        <v>50000</v>
      </c>
      <c r="W55" s="57" t="s">
        <v>246</v>
      </c>
      <c r="X55" s="60">
        <v>97500</v>
      </c>
      <c r="Y55" s="57"/>
    </row>
    <row r="56" spans="1:25" x14ac:dyDescent="0.25">
      <c r="A56" s="57" t="s">
        <v>348</v>
      </c>
      <c r="B56" s="57" t="s">
        <v>234</v>
      </c>
      <c r="C56" s="57" t="s">
        <v>65</v>
      </c>
      <c r="D56" s="57" t="s">
        <v>243</v>
      </c>
      <c r="E56" s="57" t="s">
        <v>339</v>
      </c>
      <c r="F56" s="60">
        <v>250000</v>
      </c>
      <c r="G56" s="61">
        <v>0.76489090909090907</v>
      </c>
      <c r="H56" s="57" t="s">
        <v>354</v>
      </c>
      <c r="I56" s="61">
        <v>0.92307692307692313</v>
      </c>
      <c r="J56" s="57" t="s">
        <v>354</v>
      </c>
      <c r="K56" s="60">
        <v>150000</v>
      </c>
      <c r="L56" s="61">
        <v>0.50383333333333336</v>
      </c>
      <c r="M56" s="57" t="s">
        <v>355</v>
      </c>
      <c r="N56" s="60">
        <v>75575</v>
      </c>
      <c r="O56" s="60">
        <v>50000</v>
      </c>
      <c r="P56" s="61">
        <v>0.95</v>
      </c>
      <c r="Q56" s="57" t="s">
        <v>354</v>
      </c>
      <c r="R56" s="60">
        <v>47500</v>
      </c>
      <c r="S56" s="60">
        <v>50000</v>
      </c>
      <c r="T56" s="61">
        <v>0.5</v>
      </c>
      <c r="U56" s="57" t="s">
        <v>355</v>
      </c>
      <c r="V56" s="60">
        <v>0</v>
      </c>
      <c r="W56" s="57" t="s">
        <v>246</v>
      </c>
      <c r="X56" s="60">
        <v>123075</v>
      </c>
      <c r="Y56" s="57"/>
    </row>
    <row r="57" spans="1:25" x14ac:dyDescent="0.25">
      <c r="A57" s="57" t="s">
        <v>348</v>
      </c>
      <c r="B57" s="57" t="s">
        <v>234</v>
      </c>
      <c r="C57" s="57" t="s">
        <v>66</v>
      </c>
      <c r="D57" s="57" t="s">
        <v>243</v>
      </c>
      <c r="E57" s="57" t="s">
        <v>339</v>
      </c>
      <c r="F57" s="60">
        <v>250000</v>
      </c>
      <c r="G57" s="61">
        <v>0.79330909090909085</v>
      </c>
      <c r="H57" s="57" t="s">
        <v>354</v>
      </c>
      <c r="I57" s="61">
        <v>1</v>
      </c>
      <c r="J57" s="57" t="s">
        <v>354</v>
      </c>
      <c r="K57" s="60">
        <v>150000</v>
      </c>
      <c r="L57" s="61">
        <v>0.6166666666666667</v>
      </c>
      <c r="M57" s="57" t="s">
        <v>355</v>
      </c>
      <c r="N57" s="60">
        <v>92500</v>
      </c>
      <c r="O57" s="60">
        <v>50000</v>
      </c>
      <c r="P57" s="61">
        <v>0.95</v>
      </c>
      <c r="Q57" s="57" t="s">
        <v>354</v>
      </c>
      <c r="R57" s="60">
        <v>47500</v>
      </c>
      <c r="S57" s="60">
        <v>50000</v>
      </c>
      <c r="T57" s="61">
        <v>1</v>
      </c>
      <c r="U57" s="57" t="s">
        <v>354</v>
      </c>
      <c r="V57" s="60">
        <v>50000</v>
      </c>
      <c r="W57" s="57" t="s">
        <v>246</v>
      </c>
      <c r="X57" s="60">
        <v>190000</v>
      </c>
      <c r="Y57" s="57"/>
    </row>
    <row r="58" spans="1:25" x14ac:dyDescent="0.25">
      <c r="A58" s="57" t="s">
        <v>348</v>
      </c>
      <c r="B58" s="57" t="s">
        <v>234</v>
      </c>
      <c r="C58" s="57" t="s">
        <v>67</v>
      </c>
      <c r="D58" s="57" t="s">
        <v>243</v>
      </c>
      <c r="E58" s="57" t="s">
        <v>339</v>
      </c>
      <c r="F58" s="60">
        <v>250000</v>
      </c>
      <c r="G58" s="61">
        <v>0.79930909090909086</v>
      </c>
      <c r="H58" s="57" t="s">
        <v>354</v>
      </c>
      <c r="I58" s="61">
        <v>1</v>
      </c>
      <c r="J58" s="57" t="s">
        <v>354</v>
      </c>
      <c r="K58" s="60">
        <v>150000</v>
      </c>
      <c r="L58" s="61">
        <v>0.68553333333333333</v>
      </c>
      <c r="M58" s="57" t="s">
        <v>355</v>
      </c>
      <c r="N58" s="60">
        <v>102830</v>
      </c>
      <c r="O58" s="60">
        <v>50000</v>
      </c>
      <c r="P58" s="61">
        <v>0.95</v>
      </c>
      <c r="Q58" s="57" t="s">
        <v>354</v>
      </c>
      <c r="R58" s="60">
        <v>47500</v>
      </c>
      <c r="S58" s="60">
        <v>50000</v>
      </c>
      <c r="T58" s="61">
        <v>0.5</v>
      </c>
      <c r="U58" s="57" t="s">
        <v>355</v>
      </c>
      <c r="V58" s="60">
        <v>0</v>
      </c>
      <c r="W58" s="57" t="s">
        <v>246</v>
      </c>
      <c r="X58" s="60">
        <v>150330</v>
      </c>
      <c r="Y58" s="57"/>
    </row>
    <row r="59" spans="1:25" x14ac:dyDescent="0.25">
      <c r="A59" s="57" t="s">
        <v>348</v>
      </c>
      <c r="B59" s="57" t="s">
        <v>234</v>
      </c>
      <c r="C59" s="57" t="s">
        <v>68</v>
      </c>
      <c r="D59" s="57" t="s">
        <v>243</v>
      </c>
      <c r="E59" s="57" t="s">
        <v>339</v>
      </c>
      <c r="F59" s="60">
        <v>250000</v>
      </c>
      <c r="G59" s="61">
        <v>0.79154545454545444</v>
      </c>
      <c r="H59" s="57" t="s">
        <v>354</v>
      </c>
      <c r="I59" s="61">
        <v>0.82352941176470584</v>
      </c>
      <c r="J59" s="57" t="s">
        <v>354</v>
      </c>
      <c r="K59" s="60">
        <v>150000</v>
      </c>
      <c r="L59" s="61">
        <v>0.45789999999999997</v>
      </c>
      <c r="M59" s="57" t="s">
        <v>355</v>
      </c>
      <c r="N59" s="60">
        <v>0</v>
      </c>
      <c r="O59" s="60">
        <v>50000</v>
      </c>
      <c r="P59" s="61">
        <v>0.95</v>
      </c>
      <c r="Q59" s="57" t="s">
        <v>354</v>
      </c>
      <c r="R59" s="60">
        <v>47500</v>
      </c>
      <c r="S59" s="60">
        <v>50000</v>
      </c>
      <c r="T59" s="61">
        <v>0.5</v>
      </c>
      <c r="U59" s="57" t="s">
        <v>355</v>
      </c>
      <c r="V59" s="60">
        <v>0</v>
      </c>
      <c r="W59" s="57" t="s">
        <v>246</v>
      </c>
      <c r="X59" s="60">
        <v>47500</v>
      </c>
      <c r="Y59" s="57"/>
    </row>
    <row r="60" spans="1:25" x14ac:dyDescent="0.25">
      <c r="A60" s="57" t="s">
        <v>348</v>
      </c>
      <c r="B60" s="57" t="s">
        <v>234</v>
      </c>
      <c r="C60" s="57" t="s">
        <v>69</v>
      </c>
      <c r="D60" s="57" t="s">
        <v>243</v>
      </c>
      <c r="E60" s="57" t="s">
        <v>339</v>
      </c>
      <c r="F60" s="60">
        <v>250000</v>
      </c>
      <c r="G60" s="61">
        <v>0.78886363636363643</v>
      </c>
      <c r="H60" s="57" t="s">
        <v>354</v>
      </c>
      <c r="I60" s="61">
        <v>1</v>
      </c>
      <c r="J60" s="57" t="s">
        <v>354</v>
      </c>
      <c r="K60" s="60">
        <v>150000</v>
      </c>
      <c r="L60" s="61">
        <v>0.57169999999999999</v>
      </c>
      <c r="M60" s="57" t="s">
        <v>355</v>
      </c>
      <c r="N60" s="60">
        <v>85755</v>
      </c>
      <c r="O60" s="60">
        <v>50000</v>
      </c>
      <c r="P60" s="61">
        <v>0.95</v>
      </c>
      <c r="Q60" s="57" t="s">
        <v>354</v>
      </c>
      <c r="R60" s="60">
        <v>47500</v>
      </c>
      <c r="S60" s="60">
        <v>50000</v>
      </c>
      <c r="T60" s="61">
        <v>0.99195</v>
      </c>
      <c r="U60" s="57" t="s">
        <v>355</v>
      </c>
      <c r="V60" s="60">
        <v>0</v>
      </c>
      <c r="W60" s="57" t="s">
        <v>246</v>
      </c>
      <c r="X60" s="60">
        <v>133255</v>
      </c>
      <c r="Y60" s="57"/>
    </row>
    <row r="61" spans="1:25" x14ac:dyDescent="0.25">
      <c r="A61" s="57" t="s">
        <v>348</v>
      </c>
      <c r="B61" s="57" t="s">
        <v>234</v>
      </c>
      <c r="C61" s="57" t="s">
        <v>70</v>
      </c>
      <c r="D61" s="57" t="s">
        <v>243</v>
      </c>
      <c r="E61" s="57" t="s">
        <v>339</v>
      </c>
      <c r="F61" s="60">
        <v>250000</v>
      </c>
      <c r="G61" s="61">
        <v>0.75610909090909084</v>
      </c>
      <c r="H61" s="57" t="s">
        <v>354</v>
      </c>
      <c r="I61" s="61">
        <v>1</v>
      </c>
      <c r="J61" s="57" t="s">
        <v>354</v>
      </c>
      <c r="K61" s="60">
        <v>150000</v>
      </c>
      <c r="L61" s="61">
        <v>0.36493333333333333</v>
      </c>
      <c r="M61" s="57" t="s">
        <v>355</v>
      </c>
      <c r="N61" s="60">
        <v>0</v>
      </c>
      <c r="O61" s="60">
        <v>50000</v>
      </c>
      <c r="P61" s="61">
        <v>0.95</v>
      </c>
      <c r="Q61" s="57" t="s">
        <v>354</v>
      </c>
      <c r="R61" s="60">
        <v>47500</v>
      </c>
      <c r="S61" s="60">
        <v>50000</v>
      </c>
      <c r="T61" s="61">
        <v>0.5</v>
      </c>
      <c r="U61" s="57" t="s">
        <v>355</v>
      </c>
      <c r="V61" s="60">
        <v>0</v>
      </c>
      <c r="W61" s="57" t="s">
        <v>246</v>
      </c>
      <c r="X61" s="60">
        <v>47500</v>
      </c>
      <c r="Y61" s="57"/>
    </row>
    <row r="62" spans="1:25" x14ac:dyDescent="0.25">
      <c r="A62" s="57" t="s">
        <v>348</v>
      </c>
      <c r="B62" s="57" t="s">
        <v>234</v>
      </c>
      <c r="C62" s="57" t="s">
        <v>71</v>
      </c>
      <c r="D62" s="57" t="s">
        <v>243</v>
      </c>
      <c r="E62" s="57" t="s">
        <v>339</v>
      </c>
      <c r="F62" s="60">
        <v>250000</v>
      </c>
      <c r="G62" s="61">
        <v>0.84487272727272711</v>
      </c>
      <c r="H62" s="57" t="s">
        <v>354</v>
      </c>
      <c r="I62" s="61">
        <v>0.92307692307692313</v>
      </c>
      <c r="J62" s="57" t="s">
        <v>354</v>
      </c>
      <c r="K62" s="60">
        <v>150000</v>
      </c>
      <c r="L62" s="61">
        <v>0.79596666666666671</v>
      </c>
      <c r="M62" s="57" t="s">
        <v>355</v>
      </c>
      <c r="N62" s="60">
        <v>119395</v>
      </c>
      <c r="O62" s="60">
        <v>50000</v>
      </c>
      <c r="P62" s="61">
        <v>0.95</v>
      </c>
      <c r="Q62" s="57" t="s">
        <v>354</v>
      </c>
      <c r="R62" s="60">
        <v>47500</v>
      </c>
      <c r="S62" s="60">
        <v>50000</v>
      </c>
      <c r="T62" s="61">
        <v>0.49454999999999999</v>
      </c>
      <c r="U62" s="57" t="s">
        <v>355</v>
      </c>
      <c r="V62" s="60">
        <v>0</v>
      </c>
      <c r="W62" s="57" t="s">
        <v>246</v>
      </c>
      <c r="X62" s="60">
        <v>166895</v>
      </c>
      <c r="Y62" s="57"/>
    </row>
    <row r="63" spans="1:25" x14ac:dyDescent="0.25">
      <c r="A63" s="57" t="s">
        <v>348</v>
      </c>
      <c r="B63" s="57" t="s">
        <v>234</v>
      </c>
      <c r="C63" s="57" t="s">
        <v>72</v>
      </c>
      <c r="D63" s="57" t="s">
        <v>243</v>
      </c>
      <c r="E63" s="57" t="s">
        <v>339</v>
      </c>
      <c r="F63" s="60">
        <v>250000</v>
      </c>
      <c r="G63" s="61">
        <v>0.80184545454545464</v>
      </c>
      <c r="H63" s="57" t="s">
        <v>354</v>
      </c>
      <c r="I63" s="61">
        <v>1</v>
      </c>
      <c r="J63" s="57" t="s">
        <v>354</v>
      </c>
      <c r="K63" s="60">
        <v>150000</v>
      </c>
      <c r="L63" s="61">
        <v>0.70413333333333339</v>
      </c>
      <c r="M63" s="57" t="s">
        <v>355</v>
      </c>
      <c r="N63" s="60">
        <v>105620.00000000001</v>
      </c>
      <c r="O63" s="60">
        <v>50000</v>
      </c>
      <c r="P63" s="61">
        <v>0.95</v>
      </c>
      <c r="Q63" s="57" t="s">
        <v>354</v>
      </c>
      <c r="R63" s="60">
        <v>47500</v>
      </c>
      <c r="S63" s="60">
        <v>50000</v>
      </c>
      <c r="T63" s="61">
        <v>0.5</v>
      </c>
      <c r="U63" s="57" t="s">
        <v>355</v>
      </c>
      <c r="V63" s="60">
        <v>0</v>
      </c>
      <c r="W63" s="57" t="s">
        <v>246</v>
      </c>
      <c r="X63" s="60">
        <v>153120</v>
      </c>
      <c r="Y63" s="57"/>
    </row>
    <row r="64" spans="1:25" x14ac:dyDescent="0.25">
      <c r="A64" s="57" t="s">
        <v>348</v>
      </c>
      <c r="B64" s="57" t="s">
        <v>235</v>
      </c>
      <c r="C64" s="57" t="s">
        <v>73</v>
      </c>
      <c r="D64" s="57" t="s">
        <v>243</v>
      </c>
      <c r="E64" s="57" t="s">
        <v>340</v>
      </c>
      <c r="F64" s="60">
        <v>250000</v>
      </c>
      <c r="G64" s="61">
        <v>0.81913636363636355</v>
      </c>
      <c r="H64" s="57" t="s">
        <v>354</v>
      </c>
      <c r="I64" s="61">
        <v>0.90476190476190477</v>
      </c>
      <c r="J64" s="57" t="s">
        <v>354</v>
      </c>
      <c r="K64" s="60">
        <v>150000</v>
      </c>
      <c r="L64" s="61">
        <v>0.53403333333333336</v>
      </c>
      <c r="M64" s="57" t="s">
        <v>355</v>
      </c>
      <c r="N64" s="60">
        <v>80105</v>
      </c>
      <c r="O64" s="60">
        <v>50000</v>
      </c>
      <c r="P64" s="61">
        <v>0.95</v>
      </c>
      <c r="Q64" s="57" t="s">
        <v>354</v>
      </c>
      <c r="R64" s="60">
        <v>47500</v>
      </c>
      <c r="S64" s="60">
        <v>50000</v>
      </c>
      <c r="T64" s="61">
        <v>0.5</v>
      </c>
      <c r="U64" s="57" t="s">
        <v>355</v>
      </c>
      <c r="V64" s="60">
        <v>0</v>
      </c>
      <c r="W64" s="57" t="s">
        <v>246</v>
      </c>
      <c r="X64" s="60">
        <v>127605</v>
      </c>
      <c r="Y64" s="57"/>
    </row>
    <row r="65" spans="1:25" x14ac:dyDescent="0.25">
      <c r="A65" s="57" t="s">
        <v>348</v>
      </c>
      <c r="B65" s="57" t="s">
        <v>235</v>
      </c>
      <c r="C65" s="57" t="s">
        <v>74</v>
      </c>
      <c r="D65" s="57" t="s">
        <v>243</v>
      </c>
      <c r="E65" s="57" t="s">
        <v>340</v>
      </c>
      <c r="F65" s="60">
        <v>250000</v>
      </c>
      <c r="G65" s="61">
        <v>0.81587272727272719</v>
      </c>
      <c r="H65" s="57" t="s">
        <v>354</v>
      </c>
      <c r="I65" s="61">
        <v>0.95454545454545459</v>
      </c>
      <c r="J65" s="57" t="s">
        <v>354</v>
      </c>
      <c r="K65" s="60">
        <v>150000</v>
      </c>
      <c r="L65" s="61">
        <v>0.5984666666666667</v>
      </c>
      <c r="M65" s="57" t="s">
        <v>355</v>
      </c>
      <c r="N65" s="60">
        <v>89770</v>
      </c>
      <c r="O65" s="60">
        <v>50000</v>
      </c>
      <c r="P65" s="61">
        <v>0.95</v>
      </c>
      <c r="Q65" s="57" t="s">
        <v>354</v>
      </c>
      <c r="R65" s="60">
        <v>47500</v>
      </c>
      <c r="S65" s="60">
        <v>50000</v>
      </c>
      <c r="T65" s="61">
        <v>0.5</v>
      </c>
      <c r="U65" s="57" t="s">
        <v>355</v>
      </c>
      <c r="V65" s="60">
        <v>0</v>
      </c>
      <c r="W65" s="57" t="s">
        <v>246</v>
      </c>
      <c r="X65" s="60">
        <v>137270</v>
      </c>
      <c r="Y65" s="57"/>
    </row>
    <row r="66" spans="1:25" x14ac:dyDescent="0.25">
      <c r="A66" s="57" t="s">
        <v>348</v>
      </c>
      <c r="B66" s="57" t="s">
        <v>235</v>
      </c>
      <c r="C66" s="57" t="s">
        <v>75</v>
      </c>
      <c r="D66" s="57" t="s">
        <v>243</v>
      </c>
      <c r="E66" s="57" t="s">
        <v>340</v>
      </c>
      <c r="F66" s="60">
        <v>250000</v>
      </c>
      <c r="G66" s="61">
        <v>0.88816363636363638</v>
      </c>
      <c r="H66" s="57" t="s">
        <v>354</v>
      </c>
      <c r="I66" s="61">
        <v>0.9642857142857143</v>
      </c>
      <c r="J66" s="57" t="s">
        <v>354</v>
      </c>
      <c r="K66" s="60">
        <v>150000</v>
      </c>
      <c r="L66" s="61">
        <v>0.91533333333333333</v>
      </c>
      <c r="M66" s="57" t="s">
        <v>354</v>
      </c>
      <c r="N66" s="60">
        <v>135000</v>
      </c>
      <c r="O66" s="60">
        <v>50000</v>
      </c>
      <c r="P66" s="61">
        <v>0.95</v>
      </c>
      <c r="Q66" s="57" t="s">
        <v>354</v>
      </c>
      <c r="R66" s="60">
        <v>47500</v>
      </c>
      <c r="S66" s="60">
        <v>50000</v>
      </c>
      <c r="T66" s="61">
        <v>0.5</v>
      </c>
      <c r="U66" s="57" t="s">
        <v>355</v>
      </c>
      <c r="V66" s="60">
        <v>0</v>
      </c>
      <c r="W66" s="57" t="s">
        <v>246</v>
      </c>
      <c r="X66" s="60">
        <v>182500</v>
      </c>
      <c r="Y66" s="57"/>
    </row>
    <row r="67" spans="1:25" x14ac:dyDescent="0.25">
      <c r="A67" s="57" t="s">
        <v>348</v>
      </c>
      <c r="B67" s="57" t="s">
        <v>235</v>
      </c>
      <c r="C67" s="57" t="s">
        <v>76</v>
      </c>
      <c r="D67" s="57" t="s">
        <v>243</v>
      </c>
      <c r="E67" s="57" t="s">
        <v>340</v>
      </c>
      <c r="F67" s="60">
        <v>250000</v>
      </c>
      <c r="G67" s="61">
        <v>0.80165454545454551</v>
      </c>
      <c r="H67" s="57" t="s">
        <v>354</v>
      </c>
      <c r="I67" s="61">
        <v>1</v>
      </c>
      <c r="J67" s="57" t="s">
        <v>354</v>
      </c>
      <c r="K67" s="60">
        <v>150000</v>
      </c>
      <c r="L67" s="61">
        <v>0.61340000000000006</v>
      </c>
      <c r="M67" s="57" t="s">
        <v>355</v>
      </c>
      <c r="N67" s="60">
        <v>92010.000000000015</v>
      </c>
      <c r="O67" s="60">
        <v>50000</v>
      </c>
      <c r="P67" s="61">
        <v>0.95</v>
      </c>
      <c r="Q67" s="57" t="s">
        <v>354</v>
      </c>
      <c r="R67" s="60">
        <v>47500</v>
      </c>
      <c r="S67" s="60">
        <v>50000</v>
      </c>
      <c r="T67" s="61">
        <v>0.5</v>
      </c>
      <c r="U67" s="57" t="s">
        <v>355</v>
      </c>
      <c r="V67" s="60">
        <v>0</v>
      </c>
      <c r="W67" s="57" t="s">
        <v>246</v>
      </c>
      <c r="X67" s="60">
        <v>139510</v>
      </c>
      <c r="Y67" s="57"/>
    </row>
    <row r="68" spans="1:25" x14ac:dyDescent="0.25">
      <c r="A68" s="57" t="s">
        <v>348</v>
      </c>
      <c r="B68" s="57" t="s">
        <v>235</v>
      </c>
      <c r="C68" s="57" t="s">
        <v>77</v>
      </c>
      <c r="D68" s="57" t="s">
        <v>243</v>
      </c>
      <c r="E68" s="57" t="s">
        <v>340</v>
      </c>
      <c r="F68" s="60">
        <v>250000</v>
      </c>
      <c r="G68" s="61">
        <v>0.76715454545454553</v>
      </c>
      <c r="H68" s="57" t="s">
        <v>354</v>
      </c>
      <c r="I68" s="61">
        <v>0.88888888888888884</v>
      </c>
      <c r="J68" s="57" t="s">
        <v>354</v>
      </c>
      <c r="K68" s="60">
        <v>150000</v>
      </c>
      <c r="L68" s="61">
        <v>0.44443333333333329</v>
      </c>
      <c r="M68" s="57" t="s">
        <v>355</v>
      </c>
      <c r="N68" s="60">
        <v>0</v>
      </c>
      <c r="O68" s="60">
        <v>50000</v>
      </c>
      <c r="P68" s="61">
        <v>0.95</v>
      </c>
      <c r="Q68" s="57" t="s">
        <v>354</v>
      </c>
      <c r="R68" s="60">
        <v>47500</v>
      </c>
      <c r="S68" s="60">
        <v>50000</v>
      </c>
      <c r="T68" s="61">
        <v>1</v>
      </c>
      <c r="U68" s="57" t="s">
        <v>354</v>
      </c>
      <c r="V68" s="60">
        <v>50000</v>
      </c>
      <c r="W68" s="57" t="s">
        <v>246</v>
      </c>
      <c r="X68" s="60">
        <v>97500</v>
      </c>
      <c r="Y68" s="57"/>
    </row>
    <row r="69" spans="1:25" x14ac:dyDescent="0.25">
      <c r="A69" s="57" t="s">
        <v>348</v>
      </c>
      <c r="B69" s="57" t="s">
        <v>236</v>
      </c>
      <c r="C69" s="57" t="s">
        <v>78</v>
      </c>
      <c r="D69" s="57" t="s">
        <v>243</v>
      </c>
      <c r="E69" s="57" t="s">
        <v>340</v>
      </c>
      <c r="F69" s="60">
        <v>250000</v>
      </c>
      <c r="G69" s="61">
        <v>0.85227272727272729</v>
      </c>
      <c r="H69" s="57" t="s">
        <v>354</v>
      </c>
      <c r="I69" s="61">
        <v>1</v>
      </c>
      <c r="J69" s="57" t="s">
        <v>354</v>
      </c>
      <c r="K69" s="60">
        <v>150000</v>
      </c>
      <c r="L69" s="61">
        <v>0.50556666666666672</v>
      </c>
      <c r="M69" s="57" t="s">
        <v>355</v>
      </c>
      <c r="N69" s="60">
        <v>75835.000000000015</v>
      </c>
      <c r="O69" s="60">
        <v>50000</v>
      </c>
      <c r="P69" s="61">
        <v>0.95</v>
      </c>
      <c r="Q69" s="57" t="s">
        <v>354</v>
      </c>
      <c r="R69" s="60">
        <v>47500</v>
      </c>
      <c r="S69" s="60">
        <v>50000</v>
      </c>
      <c r="T69" s="61">
        <v>0.5</v>
      </c>
      <c r="U69" s="57" t="s">
        <v>355</v>
      </c>
      <c r="V69" s="60">
        <v>0</v>
      </c>
      <c r="W69" s="57" t="s">
        <v>246</v>
      </c>
      <c r="X69" s="60">
        <v>123335.00000000001</v>
      </c>
      <c r="Y69" s="57"/>
    </row>
    <row r="70" spans="1:25" x14ac:dyDescent="0.25">
      <c r="A70" s="57" t="s">
        <v>348</v>
      </c>
      <c r="B70" s="57" t="s">
        <v>236</v>
      </c>
      <c r="C70" s="57" t="s">
        <v>79</v>
      </c>
      <c r="D70" s="57" t="s">
        <v>243</v>
      </c>
      <c r="E70" s="57" t="s">
        <v>340</v>
      </c>
      <c r="F70" s="60">
        <v>250000</v>
      </c>
      <c r="G70" s="61">
        <v>0.87129090909090923</v>
      </c>
      <c r="H70" s="57" t="s">
        <v>354</v>
      </c>
      <c r="I70" s="61">
        <v>0.96296296296296291</v>
      </c>
      <c r="J70" s="57" t="s">
        <v>354</v>
      </c>
      <c r="K70" s="60">
        <v>150000</v>
      </c>
      <c r="L70" s="61">
        <v>0.58183333333333331</v>
      </c>
      <c r="M70" s="57" t="s">
        <v>355</v>
      </c>
      <c r="N70" s="60">
        <v>87275</v>
      </c>
      <c r="O70" s="60">
        <v>50000</v>
      </c>
      <c r="P70" s="61">
        <v>0.95</v>
      </c>
      <c r="Q70" s="57" t="s">
        <v>354</v>
      </c>
      <c r="R70" s="60">
        <v>47500</v>
      </c>
      <c r="S70" s="60">
        <v>50000</v>
      </c>
      <c r="T70" s="61">
        <v>0.5</v>
      </c>
      <c r="U70" s="57" t="s">
        <v>355</v>
      </c>
      <c r="V70" s="60">
        <v>0</v>
      </c>
      <c r="W70" s="57" t="s">
        <v>246</v>
      </c>
      <c r="X70" s="60">
        <v>134775</v>
      </c>
      <c r="Y70" s="57"/>
    </row>
    <row r="71" spans="1:25" x14ac:dyDescent="0.25">
      <c r="A71" s="57" t="s">
        <v>348</v>
      </c>
      <c r="B71" s="57" t="s">
        <v>236</v>
      </c>
      <c r="C71" s="57" t="s">
        <v>80</v>
      </c>
      <c r="D71" s="57" t="s">
        <v>243</v>
      </c>
      <c r="E71" s="57" t="s">
        <v>340</v>
      </c>
      <c r="F71" s="60">
        <v>250000</v>
      </c>
      <c r="G71" s="61">
        <v>0.77189090909090907</v>
      </c>
      <c r="H71" s="57" t="s">
        <v>354</v>
      </c>
      <c r="I71" s="61">
        <v>0.96</v>
      </c>
      <c r="J71" s="57" t="s">
        <v>354</v>
      </c>
      <c r="K71" s="60">
        <v>150000</v>
      </c>
      <c r="L71" s="61">
        <v>0.44980000000000003</v>
      </c>
      <c r="M71" s="57" t="s">
        <v>355</v>
      </c>
      <c r="N71" s="60">
        <v>0</v>
      </c>
      <c r="O71" s="60">
        <v>50000</v>
      </c>
      <c r="P71" s="61">
        <v>0.95</v>
      </c>
      <c r="Q71" s="57" t="s">
        <v>354</v>
      </c>
      <c r="R71" s="60">
        <v>47500</v>
      </c>
      <c r="S71" s="60">
        <v>50000</v>
      </c>
      <c r="T71" s="61">
        <v>0.5</v>
      </c>
      <c r="U71" s="57" t="s">
        <v>355</v>
      </c>
      <c r="V71" s="60">
        <v>0</v>
      </c>
      <c r="W71" s="57" t="s">
        <v>246</v>
      </c>
      <c r="X71" s="60">
        <v>47500</v>
      </c>
      <c r="Y71" s="57"/>
    </row>
    <row r="72" spans="1:25" x14ac:dyDescent="0.25">
      <c r="A72" s="57" t="s">
        <v>348</v>
      </c>
      <c r="B72" s="57" t="s">
        <v>236</v>
      </c>
      <c r="C72" s="57" t="s">
        <v>81</v>
      </c>
      <c r="D72" s="57" t="s">
        <v>243</v>
      </c>
      <c r="E72" s="57" t="s">
        <v>340</v>
      </c>
      <c r="F72" s="60">
        <v>250000</v>
      </c>
      <c r="G72" s="61">
        <v>0.79692727272727271</v>
      </c>
      <c r="H72" s="57" t="s">
        <v>354</v>
      </c>
      <c r="I72" s="61">
        <v>1</v>
      </c>
      <c r="J72" s="57" t="s">
        <v>354</v>
      </c>
      <c r="K72" s="60">
        <v>150000</v>
      </c>
      <c r="L72" s="61">
        <v>0.5949333333333332</v>
      </c>
      <c r="M72" s="57" t="s">
        <v>355</v>
      </c>
      <c r="N72" s="60">
        <v>89239.999999999985</v>
      </c>
      <c r="O72" s="60">
        <v>50000</v>
      </c>
      <c r="P72" s="61">
        <v>0.95</v>
      </c>
      <c r="Q72" s="57" t="s">
        <v>354</v>
      </c>
      <c r="R72" s="60">
        <v>47500</v>
      </c>
      <c r="S72" s="60">
        <v>50000</v>
      </c>
      <c r="T72" s="61">
        <v>0.49469999999999997</v>
      </c>
      <c r="U72" s="57" t="s">
        <v>355</v>
      </c>
      <c r="V72" s="60">
        <v>0</v>
      </c>
      <c r="W72" s="57" t="s">
        <v>246</v>
      </c>
      <c r="X72" s="60">
        <v>136740</v>
      </c>
      <c r="Y72" s="57"/>
    </row>
    <row r="73" spans="1:25" x14ac:dyDescent="0.25">
      <c r="A73" s="57" t="s">
        <v>348</v>
      </c>
      <c r="B73" s="57" t="s">
        <v>236</v>
      </c>
      <c r="C73" s="57" t="s">
        <v>82</v>
      </c>
      <c r="D73" s="57" t="s">
        <v>243</v>
      </c>
      <c r="E73" s="57" t="s">
        <v>340</v>
      </c>
      <c r="F73" s="60">
        <v>250000</v>
      </c>
      <c r="G73" s="61">
        <v>0.76105454545454554</v>
      </c>
      <c r="H73" s="57" t="s">
        <v>354</v>
      </c>
      <c r="I73" s="61">
        <v>1</v>
      </c>
      <c r="J73" s="57" t="s">
        <v>354</v>
      </c>
      <c r="K73" s="60">
        <v>150000</v>
      </c>
      <c r="L73" s="61">
        <v>0.51383333333333336</v>
      </c>
      <c r="M73" s="57" t="s">
        <v>355</v>
      </c>
      <c r="N73" s="60">
        <v>77075</v>
      </c>
      <c r="O73" s="60">
        <v>50000</v>
      </c>
      <c r="P73" s="61">
        <v>0.95</v>
      </c>
      <c r="Q73" s="57" t="s">
        <v>354</v>
      </c>
      <c r="R73" s="60">
        <v>47500</v>
      </c>
      <c r="S73" s="60">
        <v>50000</v>
      </c>
      <c r="T73" s="61">
        <v>0.5</v>
      </c>
      <c r="U73" s="57" t="s">
        <v>355</v>
      </c>
      <c r="V73" s="60">
        <v>0</v>
      </c>
      <c r="W73" s="57" t="s">
        <v>246</v>
      </c>
      <c r="X73" s="60">
        <v>124575</v>
      </c>
      <c r="Y73" s="57"/>
    </row>
    <row r="74" spans="1:25" x14ac:dyDescent="0.25">
      <c r="A74" s="57" t="s">
        <v>348</v>
      </c>
      <c r="B74" s="57" t="s">
        <v>235</v>
      </c>
      <c r="C74" s="57" t="s">
        <v>83</v>
      </c>
      <c r="D74" s="57" t="s">
        <v>243</v>
      </c>
      <c r="E74" s="57" t="s">
        <v>340</v>
      </c>
      <c r="F74" s="60">
        <v>250000</v>
      </c>
      <c r="G74" s="61">
        <v>0.79361818181818211</v>
      </c>
      <c r="H74" s="57" t="s">
        <v>354</v>
      </c>
      <c r="I74" s="61">
        <v>1</v>
      </c>
      <c r="J74" s="57" t="s">
        <v>354</v>
      </c>
      <c r="K74" s="60">
        <v>150000</v>
      </c>
      <c r="L74" s="61">
        <v>0.41783333333333333</v>
      </c>
      <c r="M74" s="57" t="s">
        <v>355</v>
      </c>
      <c r="N74" s="60">
        <v>0</v>
      </c>
      <c r="O74" s="60">
        <v>50000</v>
      </c>
      <c r="P74" s="61">
        <v>0.95</v>
      </c>
      <c r="Q74" s="57" t="s">
        <v>354</v>
      </c>
      <c r="R74" s="60">
        <v>47500</v>
      </c>
      <c r="S74" s="60">
        <v>50000</v>
      </c>
      <c r="T74" s="61">
        <v>0.99324999999999997</v>
      </c>
      <c r="U74" s="57" t="s">
        <v>355</v>
      </c>
      <c r="V74" s="60">
        <v>0</v>
      </c>
      <c r="W74" s="57" t="s">
        <v>246</v>
      </c>
      <c r="X74" s="60">
        <v>47500</v>
      </c>
      <c r="Y74" s="57"/>
    </row>
    <row r="75" spans="1:25" x14ac:dyDescent="0.25">
      <c r="A75" s="57" t="s">
        <v>348</v>
      </c>
      <c r="B75" s="57" t="s">
        <v>237</v>
      </c>
      <c r="C75" s="57" t="s">
        <v>84</v>
      </c>
      <c r="D75" s="57" t="s">
        <v>242</v>
      </c>
      <c r="E75" s="57" t="s">
        <v>341</v>
      </c>
      <c r="F75" s="60">
        <v>250000</v>
      </c>
      <c r="G75" s="61">
        <v>0.82598181818181826</v>
      </c>
      <c r="H75" s="57" t="s">
        <v>354</v>
      </c>
      <c r="I75" s="61">
        <v>0.875</v>
      </c>
      <c r="J75" s="57" t="s">
        <v>354</v>
      </c>
      <c r="K75" s="60">
        <v>150000</v>
      </c>
      <c r="L75" s="61">
        <v>0.63683333333333336</v>
      </c>
      <c r="M75" s="57" t="s">
        <v>355</v>
      </c>
      <c r="N75" s="60">
        <v>95525</v>
      </c>
      <c r="O75" s="60">
        <v>50000</v>
      </c>
      <c r="P75" s="61">
        <v>0.95</v>
      </c>
      <c r="Q75" s="57" t="s">
        <v>354</v>
      </c>
      <c r="R75" s="60">
        <v>47500</v>
      </c>
      <c r="S75" s="60">
        <v>50000</v>
      </c>
      <c r="T75" s="61">
        <v>1</v>
      </c>
      <c r="U75" s="57" t="s">
        <v>354</v>
      </c>
      <c r="V75" s="60">
        <v>50000</v>
      </c>
      <c r="W75" s="57" t="s">
        <v>246</v>
      </c>
      <c r="X75" s="60">
        <v>193025</v>
      </c>
      <c r="Y75" s="57"/>
    </row>
    <row r="76" spans="1:25" x14ac:dyDescent="0.25">
      <c r="A76" s="57" t="s">
        <v>348</v>
      </c>
      <c r="B76" s="57" t="s">
        <v>237</v>
      </c>
      <c r="C76" s="57" t="s">
        <v>85</v>
      </c>
      <c r="D76" s="57" t="s">
        <v>242</v>
      </c>
      <c r="E76" s="57" t="s">
        <v>341</v>
      </c>
      <c r="F76" s="60">
        <v>250000</v>
      </c>
      <c r="G76" s="61">
        <v>0.76119999999999988</v>
      </c>
      <c r="H76" s="57" t="s">
        <v>354</v>
      </c>
      <c r="I76" s="61">
        <v>0.77777777777777779</v>
      </c>
      <c r="J76" s="57" t="s">
        <v>354</v>
      </c>
      <c r="K76" s="60">
        <v>150000</v>
      </c>
      <c r="L76" s="61">
        <v>0.36109999999999998</v>
      </c>
      <c r="M76" s="57" t="s">
        <v>355</v>
      </c>
      <c r="N76" s="60">
        <v>0</v>
      </c>
      <c r="O76" s="60">
        <v>50000</v>
      </c>
      <c r="P76" s="61">
        <v>0.95</v>
      </c>
      <c r="Q76" s="57" t="s">
        <v>354</v>
      </c>
      <c r="R76" s="60">
        <v>47500</v>
      </c>
      <c r="S76" s="60">
        <v>50000</v>
      </c>
      <c r="T76" s="61">
        <v>0.99255000000000004</v>
      </c>
      <c r="U76" s="57" t="s">
        <v>355</v>
      </c>
      <c r="V76" s="60">
        <v>0</v>
      </c>
      <c r="W76" s="57" t="s">
        <v>246</v>
      </c>
      <c r="X76" s="60">
        <v>47500</v>
      </c>
      <c r="Y76" s="57"/>
    </row>
    <row r="77" spans="1:25" x14ac:dyDescent="0.25">
      <c r="A77" s="57" t="s">
        <v>348</v>
      </c>
      <c r="B77" s="57" t="s">
        <v>237</v>
      </c>
      <c r="C77" s="57" t="s">
        <v>86</v>
      </c>
      <c r="D77" s="57" t="s">
        <v>242</v>
      </c>
      <c r="E77" s="57" t="s">
        <v>341</v>
      </c>
      <c r="F77" s="60">
        <v>250000</v>
      </c>
      <c r="G77" s="61">
        <v>0.82840000000000014</v>
      </c>
      <c r="H77" s="57" t="s">
        <v>354</v>
      </c>
      <c r="I77" s="61">
        <v>1</v>
      </c>
      <c r="J77" s="57" t="s">
        <v>354</v>
      </c>
      <c r="K77" s="60">
        <v>150000</v>
      </c>
      <c r="L77" s="61">
        <v>0.76429999999999998</v>
      </c>
      <c r="M77" s="57" t="s">
        <v>355</v>
      </c>
      <c r="N77" s="60">
        <v>114645</v>
      </c>
      <c r="O77" s="60">
        <v>50000</v>
      </c>
      <c r="P77" s="61">
        <v>0.95</v>
      </c>
      <c r="Q77" s="57" t="s">
        <v>354</v>
      </c>
      <c r="R77" s="60">
        <v>47500</v>
      </c>
      <c r="S77" s="60">
        <v>50000</v>
      </c>
      <c r="T77" s="61">
        <v>1</v>
      </c>
      <c r="U77" s="57" t="s">
        <v>354</v>
      </c>
      <c r="V77" s="60">
        <v>50000</v>
      </c>
      <c r="W77" s="57" t="s">
        <v>246</v>
      </c>
      <c r="X77" s="60">
        <v>212145</v>
      </c>
      <c r="Y77" s="57"/>
    </row>
    <row r="78" spans="1:25" x14ac:dyDescent="0.25">
      <c r="A78" s="57" t="s">
        <v>348</v>
      </c>
      <c r="B78" s="57" t="s">
        <v>237</v>
      </c>
      <c r="C78" s="57" t="s">
        <v>87</v>
      </c>
      <c r="D78" s="57" t="s">
        <v>242</v>
      </c>
      <c r="E78" s="57" t="s">
        <v>341</v>
      </c>
      <c r="F78" s="60">
        <v>250000</v>
      </c>
      <c r="G78" s="61">
        <v>0.74914545454545456</v>
      </c>
      <c r="H78" s="57" t="s">
        <v>354</v>
      </c>
      <c r="I78" s="61">
        <v>0.91666666666666663</v>
      </c>
      <c r="J78" s="57" t="s">
        <v>354</v>
      </c>
      <c r="K78" s="60">
        <v>150000</v>
      </c>
      <c r="L78" s="61">
        <v>0.39433333333333337</v>
      </c>
      <c r="M78" s="57" t="s">
        <v>355</v>
      </c>
      <c r="N78" s="60">
        <v>0</v>
      </c>
      <c r="O78" s="60">
        <v>50000</v>
      </c>
      <c r="P78" s="61">
        <v>0.95</v>
      </c>
      <c r="Q78" s="57" t="s">
        <v>354</v>
      </c>
      <c r="R78" s="60">
        <v>47500</v>
      </c>
      <c r="S78" s="60">
        <v>50000</v>
      </c>
      <c r="T78" s="61">
        <v>0.96199999999999997</v>
      </c>
      <c r="U78" s="57" t="s">
        <v>355</v>
      </c>
      <c r="V78" s="60">
        <v>0</v>
      </c>
      <c r="W78" s="57" t="s">
        <v>246</v>
      </c>
      <c r="X78" s="60">
        <v>47500</v>
      </c>
      <c r="Y78" s="57"/>
    </row>
    <row r="79" spans="1:25" x14ac:dyDescent="0.25">
      <c r="A79" s="57" t="s">
        <v>348</v>
      </c>
      <c r="B79" s="57" t="s">
        <v>237</v>
      </c>
      <c r="C79" s="57" t="s">
        <v>88</v>
      </c>
      <c r="D79" s="57" t="s">
        <v>242</v>
      </c>
      <c r="E79" s="57" t="s">
        <v>341</v>
      </c>
      <c r="F79" s="60">
        <v>250000</v>
      </c>
      <c r="G79" s="61">
        <v>0.78275454545454548</v>
      </c>
      <c r="H79" s="57" t="s">
        <v>354</v>
      </c>
      <c r="I79" s="61">
        <v>0.875</v>
      </c>
      <c r="J79" s="57" t="s">
        <v>354</v>
      </c>
      <c r="K79" s="60">
        <v>150000</v>
      </c>
      <c r="L79" s="61">
        <v>0.40563333333333335</v>
      </c>
      <c r="M79" s="57" t="s">
        <v>355</v>
      </c>
      <c r="N79" s="60">
        <v>0</v>
      </c>
      <c r="O79" s="60">
        <v>50000</v>
      </c>
      <c r="P79" s="61">
        <v>0.95</v>
      </c>
      <c r="Q79" s="57" t="s">
        <v>354</v>
      </c>
      <c r="R79" s="60">
        <v>47500</v>
      </c>
      <c r="S79" s="60">
        <v>50000</v>
      </c>
      <c r="T79" s="61">
        <v>1</v>
      </c>
      <c r="U79" s="57" t="s">
        <v>354</v>
      </c>
      <c r="V79" s="60">
        <v>50000</v>
      </c>
      <c r="W79" s="57" t="s">
        <v>246</v>
      </c>
      <c r="X79" s="60">
        <v>97500</v>
      </c>
      <c r="Y79" s="57"/>
    </row>
    <row r="80" spans="1:25" x14ac:dyDescent="0.25">
      <c r="A80" s="57" t="s">
        <v>348</v>
      </c>
      <c r="B80" s="57" t="s">
        <v>237</v>
      </c>
      <c r="C80" s="57" t="s">
        <v>89</v>
      </c>
      <c r="D80" s="57" t="s">
        <v>242</v>
      </c>
      <c r="E80" s="57" t="s">
        <v>341</v>
      </c>
      <c r="F80" s="60">
        <v>250000</v>
      </c>
      <c r="G80" s="61">
        <v>0.72260000000000002</v>
      </c>
      <c r="H80" s="57" t="s">
        <v>354</v>
      </c>
      <c r="I80" s="61">
        <v>0.8</v>
      </c>
      <c r="J80" s="57" t="s">
        <v>354</v>
      </c>
      <c r="K80" s="60">
        <v>150000</v>
      </c>
      <c r="L80" s="61">
        <v>0.3276</v>
      </c>
      <c r="M80" s="57" t="s">
        <v>355</v>
      </c>
      <c r="N80" s="60">
        <v>0</v>
      </c>
      <c r="O80" s="60">
        <v>50000</v>
      </c>
      <c r="P80" s="61">
        <v>0.95</v>
      </c>
      <c r="Q80" s="57" t="s">
        <v>354</v>
      </c>
      <c r="R80" s="60">
        <v>47500</v>
      </c>
      <c r="S80" s="60">
        <v>50000</v>
      </c>
      <c r="T80" s="61">
        <v>0.98280000000000001</v>
      </c>
      <c r="U80" s="57" t="s">
        <v>355</v>
      </c>
      <c r="V80" s="60">
        <v>0</v>
      </c>
      <c r="W80" s="57" t="s">
        <v>246</v>
      </c>
      <c r="X80" s="60">
        <v>47500</v>
      </c>
      <c r="Y80" s="57"/>
    </row>
    <row r="81" spans="1:25" x14ac:dyDescent="0.25">
      <c r="A81" s="57" t="s">
        <v>348</v>
      </c>
      <c r="B81" s="57" t="s">
        <v>237</v>
      </c>
      <c r="C81" s="57" t="s">
        <v>90</v>
      </c>
      <c r="D81" s="57" t="s">
        <v>242</v>
      </c>
      <c r="E81" s="57" t="s">
        <v>341</v>
      </c>
      <c r="F81" s="60">
        <v>250000</v>
      </c>
      <c r="G81" s="61">
        <v>0.74503636363636361</v>
      </c>
      <c r="H81" s="57" t="s">
        <v>354</v>
      </c>
      <c r="I81" s="61">
        <v>0.94117647058823528</v>
      </c>
      <c r="J81" s="57" t="s">
        <v>354</v>
      </c>
      <c r="K81" s="60">
        <v>150000</v>
      </c>
      <c r="L81" s="61">
        <v>0.33333333333333331</v>
      </c>
      <c r="M81" s="57" t="s">
        <v>355</v>
      </c>
      <c r="N81" s="60">
        <v>0</v>
      </c>
      <c r="O81" s="60">
        <v>50000</v>
      </c>
      <c r="P81" s="61">
        <v>0.95</v>
      </c>
      <c r="Q81" s="57" t="s">
        <v>354</v>
      </c>
      <c r="R81" s="60">
        <v>47500</v>
      </c>
      <c r="S81" s="60">
        <v>50000</v>
      </c>
      <c r="T81" s="61">
        <v>1</v>
      </c>
      <c r="U81" s="57" t="s">
        <v>354</v>
      </c>
      <c r="V81" s="60">
        <v>50000</v>
      </c>
      <c r="W81" s="57" t="s">
        <v>246</v>
      </c>
      <c r="X81" s="60">
        <v>97500</v>
      </c>
      <c r="Y81" s="57"/>
    </row>
    <row r="82" spans="1:25" x14ac:dyDescent="0.25">
      <c r="A82" s="57" t="s">
        <v>348</v>
      </c>
      <c r="B82" s="57" t="s">
        <v>237</v>
      </c>
      <c r="C82" s="57" t="s">
        <v>91</v>
      </c>
      <c r="D82" s="57" t="s">
        <v>242</v>
      </c>
      <c r="E82" s="57" t="s">
        <v>341</v>
      </c>
      <c r="F82" s="60">
        <v>250000</v>
      </c>
      <c r="G82" s="61">
        <v>0.79571818181818188</v>
      </c>
      <c r="H82" s="57" t="s">
        <v>354</v>
      </c>
      <c r="I82" s="61">
        <v>0.94117647058823528</v>
      </c>
      <c r="J82" s="57" t="s">
        <v>354</v>
      </c>
      <c r="K82" s="60">
        <v>150000</v>
      </c>
      <c r="L82" s="61">
        <v>0.42996666666666666</v>
      </c>
      <c r="M82" s="57" t="s">
        <v>355</v>
      </c>
      <c r="N82" s="60">
        <v>0</v>
      </c>
      <c r="O82" s="60">
        <v>50000</v>
      </c>
      <c r="P82" s="61">
        <v>0.95</v>
      </c>
      <c r="Q82" s="57" t="s">
        <v>354</v>
      </c>
      <c r="R82" s="60">
        <v>47500</v>
      </c>
      <c r="S82" s="60">
        <v>50000</v>
      </c>
      <c r="T82" s="61">
        <v>1</v>
      </c>
      <c r="U82" s="57" t="s">
        <v>354</v>
      </c>
      <c r="V82" s="60">
        <v>50000</v>
      </c>
      <c r="W82" s="57" t="s">
        <v>246</v>
      </c>
      <c r="X82" s="60">
        <v>97500</v>
      </c>
      <c r="Y82" s="57"/>
    </row>
    <row r="83" spans="1:25" x14ac:dyDescent="0.25">
      <c r="A83" s="57" t="s">
        <v>348</v>
      </c>
      <c r="B83" s="57" t="s">
        <v>237</v>
      </c>
      <c r="C83" s="57" t="s">
        <v>92</v>
      </c>
      <c r="D83" s="57" t="s">
        <v>242</v>
      </c>
      <c r="E83" s="57" t="s">
        <v>341</v>
      </c>
      <c r="F83" s="60">
        <v>250000</v>
      </c>
      <c r="G83" s="61">
        <v>0.82714545454545452</v>
      </c>
      <c r="H83" s="57" t="s">
        <v>354</v>
      </c>
      <c r="I83" s="61">
        <v>0.84615384615384615</v>
      </c>
      <c r="J83" s="57" t="s">
        <v>354</v>
      </c>
      <c r="K83" s="60">
        <v>150000</v>
      </c>
      <c r="L83" s="61">
        <v>0.42756666666666665</v>
      </c>
      <c r="M83" s="57" t="s">
        <v>355</v>
      </c>
      <c r="N83" s="60">
        <v>0</v>
      </c>
      <c r="O83" s="60">
        <v>50000</v>
      </c>
      <c r="P83" s="61">
        <v>0.95</v>
      </c>
      <c r="Q83" s="57" t="s">
        <v>354</v>
      </c>
      <c r="R83" s="60">
        <v>47500</v>
      </c>
      <c r="S83" s="60">
        <v>50000</v>
      </c>
      <c r="T83" s="61">
        <v>1</v>
      </c>
      <c r="U83" s="57" t="s">
        <v>354</v>
      </c>
      <c r="V83" s="60">
        <v>50000</v>
      </c>
      <c r="W83" s="57" t="s">
        <v>246</v>
      </c>
      <c r="X83" s="60">
        <v>97500</v>
      </c>
      <c r="Y83" s="57"/>
    </row>
    <row r="84" spans="1:25" x14ac:dyDescent="0.25">
      <c r="A84" s="57" t="s">
        <v>348</v>
      </c>
      <c r="B84" s="57" t="s">
        <v>237</v>
      </c>
      <c r="C84" s="57" t="s">
        <v>93</v>
      </c>
      <c r="D84" s="57" t="s">
        <v>242</v>
      </c>
      <c r="E84" s="57" t="s">
        <v>341</v>
      </c>
      <c r="F84" s="60">
        <v>250000</v>
      </c>
      <c r="G84" s="61">
        <v>0.86898181818181797</v>
      </c>
      <c r="H84" s="57" t="s">
        <v>354</v>
      </c>
      <c r="I84" s="61">
        <v>1</v>
      </c>
      <c r="J84" s="57" t="s">
        <v>354</v>
      </c>
      <c r="K84" s="60">
        <v>150000</v>
      </c>
      <c r="L84" s="61">
        <v>0.85293333333333321</v>
      </c>
      <c r="M84" s="57" t="s">
        <v>354</v>
      </c>
      <c r="N84" s="60">
        <v>120000</v>
      </c>
      <c r="O84" s="60">
        <v>50000</v>
      </c>
      <c r="P84" s="61">
        <v>0.95</v>
      </c>
      <c r="Q84" s="57" t="s">
        <v>354</v>
      </c>
      <c r="R84" s="60">
        <v>47500</v>
      </c>
      <c r="S84" s="60">
        <v>50000</v>
      </c>
      <c r="T84" s="61">
        <v>1</v>
      </c>
      <c r="U84" s="57" t="s">
        <v>354</v>
      </c>
      <c r="V84" s="60">
        <v>50000</v>
      </c>
      <c r="W84" s="57" t="s">
        <v>246</v>
      </c>
      <c r="X84" s="60">
        <v>217500</v>
      </c>
      <c r="Y84" s="57"/>
    </row>
    <row r="85" spans="1:25" x14ac:dyDescent="0.25">
      <c r="A85" s="57" t="s">
        <v>348</v>
      </c>
      <c r="B85" s="57" t="s">
        <v>237</v>
      </c>
      <c r="C85" s="57" t="s">
        <v>94</v>
      </c>
      <c r="D85" s="57" t="s">
        <v>242</v>
      </c>
      <c r="E85" s="57" t="s">
        <v>341</v>
      </c>
      <c r="F85" s="60">
        <v>250000</v>
      </c>
      <c r="G85" s="61">
        <v>0.74595454545454554</v>
      </c>
      <c r="H85" s="57" t="s">
        <v>354</v>
      </c>
      <c r="I85" s="61">
        <v>1</v>
      </c>
      <c r="J85" s="57" t="s">
        <v>354</v>
      </c>
      <c r="K85" s="60">
        <v>150000</v>
      </c>
      <c r="L85" s="61">
        <v>0.37683333333333335</v>
      </c>
      <c r="M85" s="57" t="s">
        <v>355</v>
      </c>
      <c r="N85" s="60">
        <v>0</v>
      </c>
      <c r="O85" s="60">
        <v>50000</v>
      </c>
      <c r="P85" s="61">
        <v>0.95</v>
      </c>
      <c r="Q85" s="57" t="s">
        <v>354</v>
      </c>
      <c r="R85" s="60">
        <v>47500</v>
      </c>
      <c r="S85" s="60">
        <v>50000</v>
      </c>
      <c r="T85" s="61">
        <v>1</v>
      </c>
      <c r="U85" s="57" t="s">
        <v>354</v>
      </c>
      <c r="V85" s="60">
        <v>50000</v>
      </c>
      <c r="W85" s="57" t="s">
        <v>246</v>
      </c>
      <c r="X85" s="60">
        <v>97500</v>
      </c>
      <c r="Y85" s="57"/>
    </row>
    <row r="86" spans="1:25" x14ac:dyDescent="0.25">
      <c r="A86" s="57" t="s">
        <v>348</v>
      </c>
      <c r="B86" s="57" t="s">
        <v>237</v>
      </c>
      <c r="C86" s="57" t="s">
        <v>95</v>
      </c>
      <c r="D86" s="57" t="s">
        <v>242</v>
      </c>
      <c r="E86" s="57" t="s">
        <v>341</v>
      </c>
      <c r="F86" s="60">
        <v>250000</v>
      </c>
      <c r="G86" s="61">
        <v>0.67727272727272714</v>
      </c>
      <c r="H86" s="57" t="s">
        <v>355</v>
      </c>
      <c r="I86" s="61">
        <v>1</v>
      </c>
      <c r="J86" s="57" t="s">
        <v>354</v>
      </c>
      <c r="K86" s="60">
        <v>150000</v>
      </c>
      <c r="L86" s="61">
        <v>0.31109999999999999</v>
      </c>
      <c r="M86" s="57" t="s">
        <v>355</v>
      </c>
      <c r="N86" s="60">
        <v>0</v>
      </c>
      <c r="O86" s="60">
        <v>50000</v>
      </c>
      <c r="P86" s="61">
        <v>0.95</v>
      </c>
      <c r="Q86" s="57" t="s">
        <v>354</v>
      </c>
      <c r="R86" s="60">
        <v>47500</v>
      </c>
      <c r="S86" s="60">
        <v>50000</v>
      </c>
      <c r="T86" s="61">
        <v>0.97499999999999998</v>
      </c>
      <c r="U86" s="57" t="s">
        <v>355</v>
      </c>
      <c r="V86" s="60">
        <v>0</v>
      </c>
      <c r="W86" s="57" t="s">
        <v>246</v>
      </c>
      <c r="X86" s="60">
        <v>47500</v>
      </c>
      <c r="Y86" s="57"/>
    </row>
    <row r="87" spans="1:25" x14ac:dyDescent="0.25">
      <c r="A87" s="57" t="s">
        <v>348</v>
      </c>
      <c r="B87" s="57" t="s">
        <v>237</v>
      </c>
      <c r="C87" s="57" t="s">
        <v>96</v>
      </c>
      <c r="D87" s="57" t="s">
        <v>242</v>
      </c>
      <c r="E87" s="57" t="s">
        <v>341</v>
      </c>
      <c r="F87" s="60">
        <v>250000</v>
      </c>
      <c r="G87" s="61">
        <v>0.38425454545454546</v>
      </c>
      <c r="H87" s="57" t="s">
        <v>355</v>
      </c>
      <c r="I87" s="61">
        <v>0.88235294117647056</v>
      </c>
      <c r="J87" s="57" t="s">
        <v>354</v>
      </c>
      <c r="K87" s="60">
        <v>150000</v>
      </c>
      <c r="L87" s="61">
        <v>0.17169999999999999</v>
      </c>
      <c r="M87" s="57" t="s">
        <v>355</v>
      </c>
      <c r="N87" s="60">
        <v>0</v>
      </c>
      <c r="O87" s="60">
        <v>50000</v>
      </c>
      <c r="P87" s="61">
        <v>0.95</v>
      </c>
      <c r="Q87" s="57" t="s">
        <v>354</v>
      </c>
      <c r="R87" s="60">
        <v>47500</v>
      </c>
      <c r="S87" s="60">
        <v>50000</v>
      </c>
      <c r="T87" s="61">
        <v>0.94664999999999999</v>
      </c>
      <c r="U87" s="57" t="s">
        <v>355</v>
      </c>
      <c r="V87" s="60">
        <v>45000</v>
      </c>
      <c r="W87" s="57" t="s">
        <v>246</v>
      </c>
      <c r="X87" s="60">
        <v>92500</v>
      </c>
      <c r="Y87" s="57"/>
    </row>
    <row r="88" spans="1:25" x14ac:dyDescent="0.25">
      <c r="A88" s="57" t="s">
        <v>348</v>
      </c>
      <c r="B88" s="57" t="s">
        <v>237</v>
      </c>
      <c r="C88" s="57" t="s">
        <v>97</v>
      </c>
      <c r="D88" s="57" t="s">
        <v>242</v>
      </c>
      <c r="E88" s="57" t="s">
        <v>341</v>
      </c>
      <c r="F88" s="60">
        <v>250000</v>
      </c>
      <c r="G88" s="61">
        <v>0.82099999999999984</v>
      </c>
      <c r="H88" s="57" t="s">
        <v>354</v>
      </c>
      <c r="I88" s="61">
        <v>1</v>
      </c>
      <c r="J88" s="57" t="s">
        <v>354</v>
      </c>
      <c r="K88" s="60">
        <v>150000</v>
      </c>
      <c r="L88" s="61">
        <v>0.68066666666666664</v>
      </c>
      <c r="M88" s="57" t="s">
        <v>355</v>
      </c>
      <c r="N88" s="60">
        <v>102100</v>
      </c>
      <c r="O88" s="60">
        <v>50000</v>
      </c>
      <c r="P88" s="61">
        <v>0.95</v>
      </c>
      <c r="Q88" s="57" t="s">
        <v>354</v>
      </c>
      <c r="R88" s="60">
        <v>47500</v>
      </c>
      <c r="S88" s="60">
        <v>50000</v>
      </c>
      <c r="T88" s="61">
        <v>1</v>
      </c>
      <c r="U88" s="57" t="s">
        <v>354</v>
      </c>
      <c r="V88" s="60">
        <v>50000</v>
      </c>
      <c r="W88" s="57" t="s">
        <v>246</v>
      </c>
      <c r="X88" s="60">
        <v>199600</v>
      </c>
      <c r="Y88" s="57"/>
    </row>
    <row r="89" spans="1:25" x14ac:dyDescent="0.25">
      <c r="A89" s="57" t="s">
        <v>348</v>
      </c>
      <c r="B89" s="57" t="s">
        <v>237</v>
      </c>
      <c r="C89" s="57" t="s">
        <v>98</v>
      </c>
      <c r="D89" s="57" t="s">
        <v>242</v>
      </c>
      <c r="E89" s="57" t="s">
        <v>341</v>
      </c>
      <c r="F89" s="60">
        <v>250000</v>
      </c>
      <c r="G89" s="61">
        <v>0.76918181818181819</v>
      </c>
      <c r="H89" s="57" t="s">
        <v>354</v>
      </c>
      <c r="I89" s="61">
        <v>1</v>
      </c>
      <c r="J89" s="57" t="s">
        <v>354</v>
      </c>
      <c r="K89" s="60">
        <v>150000</v>
      </c>
      <c r="L89" s="61">
        <v>0.59393333333333331</v>
      </c>
      <c r="M89" s="57" t="s">
        <v>355</v>
      </c>
      <c r="N89" s="60">
        <v>89090</v>
      </c>
      <c r="O89" s="60">
        <v>50000</v>
      </c>
      <c r="P89" s="61">
        <v>0.95</v>
      </c>
      <c r="Q89" s="57" t="s">
        <v>354</v>
      </c>
      <c r="R89" s="60">
        <v>47500</v>
      </c>
      <c r="S89" s="60">
        <v>50000</v>
      </c>
      <c r="T89" s="61">
        <v>1</v>
      </c>
      <c r="U89" s="57" t="s">
        <v>354</v>
      </c>
      <c r="V89" s="60">
        <v>50000</v>
      </c>
      <c r="W89" s="57" t="s">
        <v>246</v>
      </c>
      <c r="X89" s="60">
        <v>186590</v>
      </c>
      <c r="Y89" s="57"/>
    </row>
    <row r="90" spans="1:25" x14ac:dyDescent="0.25">
      <c r="A90" s="57" t="s">
        <v>348</v>
      </c>
      <c r="B90" s="57" t="s">
        <v>237</v>
      </c>
      <c r="C90" s="57" t="s">
        <v>99</v>
      </c>
      <c r="D90" s="57" t="s">
        <v>242</v>
      </c>
      <c r="E90" s="57" t="s">
        <v>341</v>
      </c>
      <c r="F90" s="60">
        <v>250000</v>
      </c>
      <c r="G90" s="61">
        <v>0.79091818181818185</v>
      </c>
      <c r="H90" s="57" t="s">
        <v>354</v>
      </c>
      <c r="I90" s="61">
        <v>0.9</v>
      </c>
      <c r="J90" s="57" t="s">
        <v>354</v>
      </c>
      <c r="K90" s="60">
        <v>150000</v>
      </c>
      <c r="L90" s="61">
        <v>0.33333333333333331</v>
      </c>
      <c r="M90" s="57" t="s">
        <v>355</v>
      </c>
      <c r="N90" s="60">
        <v>0</v>
      </c>
      <c r="O90" s="60">
        <v>50000</v>
      </c>
      <c r="P90" s="61">
        <v>0.95</v>
      </c>
      <c r="Q90" s="57" t="s">
        <v>354</v>
      </c>
      <c r="R90" s="60">
        <v>47500</v>
      </c>
      <c r="S90" s="60">
        <v>50000</v>
      </c>
      <c r="T90" s="61">
        <v>1</v>
      </c>
      <c r="U90" s="57" t="s">
        <v>354</v>
      </c>
      <c r="V90" s="60">
        <v>50000</v>
      </c>
      <c r="W90" s="57" t="s">
        <v>246</v>
      </c>
      <c r="X90" s="60">
        <v>97500</v>
      </c>
      <c r="Y90" s="57"/>
    </row>
    <row r="91" spans="1:25" x14ac:dyDescent="0.25">
      <c r="A91" s="57" t="s">
        <v>348</v>
      </c>
      <c r="B91" s="57" t="s">
        <v>237</v>
      </c>
      <c r="C91" s="57" t="s">
        <v>100</v>
      </c>
      <c r="D91" s="57" t="s">
        <v>242</v>
      </c>
      <c r="E91" s="57" t="s">
        <v>341</v>
      </c>
      <c r="F91" s="60">
        <v>250000</v>
      </c>
      <c r="G91" s="61">
        <v>0.54912727272727269</v>
      </c>
      <c r="H91" s="57" t="s">
        <v>355</v>
      </c>
      <c r="I91" s="61">
        <v>1</v>
      </c>
      <c r="J91" s="57" t="s">
        <v>354</v>
      </c>
      <c r="K91" s="60">
        <v>150000</v>
      </c>
      <c r="L91" s="61">
        <v>0.32163333333333333</v>
      </c>
      <c r="M91" s="57" t="s">
        <v>355</v>
      </c>
      <c r="N91" s="60">
        <v>0</v>
      </c>
      <c r="O91" s="60">
        <v>50000</v>
      </c>
      <c r="P91" s="61">
        <v>0.95</v>
      </c>
      <c r="Q91" s="57" t="s">
        <v>354</v>
      </c>
      <c r="R91" s="60">
        <v>47500</v>
      </c>
      <c r="S91" s="60">
        <v>50000</v>
      </c>
      <c r="T91" s="61">
        <v>0.80200000000000005</v>
      </c>
      <c r="U91" s="57" t="s">
        <v>355</v>
      </c>
      <c r="V91" s="60">
        <v>0</v>
      </c>
      <c r="W91" s="57" t="s">
        <v>246</v>
      </c>
      <c r="X91" s="60">
        <v>47500</v>
      </c>
      <c r="Y91" s="57"/>
    </row>
    <row r="92" spans="1:25" x14ac:dyDescent="0.25">
      <c r="A92" s="57" t="s">
        <v>348</v>
      </c>
      <c r="B92" s="57" t="s">
        <v>238</v>
      </c>
      <c r="C92" s="57" t="s">
        <v>101</v>
      </c>
      <c r="D92" s="57" t="s">
        <v>243</v>
      </c>
      <c r="E92" s="57" t="s">
        <v>342</v>
      </c>
      <c r="F92" s="60">
        <v>250000</v>
      </c>
      <c r="G92" s="61">
        <v>0.79049090909090902</v>
      </c>
      <c r="H92" s="57" t="s">
        <v>354</v>
      </c>
      <c r="I92" s="61">
        <v>0.9</v>
      </c>
      <c r="J92" s="57" t="s">
        <v>354</v>
      </c>
      <c r="K92" s="60">
        <v>150000</v>
      </c>
      <c r="L92" s="61">
        <v>0.71229999999999993</v>
      </c>
      <c r="M92" s="57" t="s">
        <v>355</v>
      </c>
      <c r="N92" s="60">
        <v>106844.99999999999</v>
      </c>
      <c r="O92" s="60">
        <v>50000</v>
      </c>
      <c r="P92" s="61">
        <v>0.95</v>
      </c>
      <c r="Q92" s="57" t="s">
        <v>354</v>
      </c>
      <c r="R92" s="60">
        <v>47500</v>
      </c>
      <c r="S92" s="60">
        <v>50000</v>
      </c>
      <c r="T92" s="61">
        <v>0.5</v>
      </c>
      <c r="U92" s="57" t="s">
        <v>355</v>
      </c>
      <c r="V92" s="60">
        <v>0</v>
      </c>
      <c r="W92" s="57" t="s">
        <v>246</v>
      </c>
      <c r="X92" s="60">
        <v>154345</v>
      </c>
      <c r="Y92" s="57"/>
    </row>
    <row r="93" spans="1:25" x14ac:dyDescent="0.25">
      <c r="A93" s="57" t="s">
        <v>348</v>
      </c>
      <c r="B93" s="57" t="s">
        <v>238</v>
      </c>
      <c r="C93" s="57" t="s">
        <v>102</v>
      </c>
      <c r="D93" s="57" t="s">
        <v>243</v>
      </c>
      <c r="E93" s="57" t="s">
        <v>342</v>
      </c>
      <c r="F93" s="60">
        <v>250000</v>
      </c>
      <c r="G93" s="61">
        <v>0.80227272727272725</v>
      </c>
      <c r="H93" s="57" t="s">
        <v>354</v>
      </c>
      <c r="I93" s="61">
        <v>0.9</v>
      </c>
      <c r="J93" s="57" t="s">
        <v>354</v>
      </c>
      <c r="K93" s="60">
        <v>150000</v>
      </c>
      <c r="L93" s="61">
        <v>0.71583333333333332</v>
      </c>
      <c r="M93" s="57" t="s">
        <v>355</v>
      </c>
      <c r="N93" s="60">
        <v>107375</v>
      </c>
      <c r="O93" s="60">
        <v>50000</v>
      </c>
      <c r="P93" s="61">
        <v>0.95</v>
      </c>
      <c r="Q93" s="57" t="s">
        <v>354</v>
      </c>
      <c r="R93" s="60">
        <v>47500</v>
      </c>
      <c r="S93" s="60">
        <v>50000</v>
      </c>
      <c r="T93" s="61">
        <v>0.5</v>
      </c>
      <c r="U93" s="57" t="s">
        <v>355</v>
      </c>
      <c r="V93" s="60">
        <v>0</v>
      </c>
      <c r="W93" s="57" t="s">
        <v>246</v>
      </c>
      <c r="X93" s="60">
        <v>154875</v>
      </c>
      <c r="Y93" s="57"/>
    </row>
    <row r="94" spans="1:25" x14ac:dyDescent="0.25">
      <c r="A94" s="57" t="s">
        <v>348</v>
      </c>
      <c r="B94" s="57" t="s">
        <v>238</v>
      </c>
      <c r="C94" s="57" t="s">
        <v>103</v>
      </c>
      <c r="D94" s="57" t="s">
        <v>243</v>
      </c>
      <c r="E94" s="57" t="s">
        <v>342</v>
      </c>
      <c r="F94" s="60">
        <v>250000</v>
      </c>
      <c r="G94" s="61">
        <v>0.77805454545454533</v>
      </c>
      <c r="H94" s="57" t="s">
        <v>354</v>
      </c>
      <c r="I94" s="61">
        <v>0.94736842105263153</v>
      </c>
      <c r="J94" s="57" t="s">
        <v>354</v>
      </c>
      <c r="K94" s="60">
        <v>150000</v>
      </c>
      <c r="L94" s="61">
        <v>0.70289999999999997</v>
      </c>
      <c r="M94" s="57" t="s">
        <v>355</v>
      </c>
      <c r="N94" s="60">
        <v>105435</v>
      </c>
      <c r="O94" s="60">
        <v>50000</v>
      </c>
      <c r="P94" s="61">
        <v>0.95</v>
      </c>
      <c r="Q94" s="57" t="s">
        <v>354</v>
      </c>
      <c r="R94" s="60">
        <v>47500</v>
      </c>
      <c r="S94" s="60">
        <v>50000</v>
      </c>
      <c r="T94" s="61">
        <v>0.5</v>
      </c>
      <c r="U94" s="57" t="s">
        <v>355</v>
      </c>
      <c r="V94" s="60">
        <v>0</v>
      </c>
      <c r="W94" s="57" t="s">
        <v>246</v>
      </c>
      <c r="X94" s="60">
        <v>152935</v>
      </c>
      <c r="Y94" s="57"/>
    </row>
    <row r="95" spans="1:25" x14ac:dyDescent="0.25">
      <c r="A95" s="57" t="s">
        <v>348</v>
      </c>
      <c r="B95" s="57" t="s">
        <v>238</v>
      </c>
      <c r="C95" s="57" t="s">
        <v>104</v>
      </c>
      <c r="D95" s="57" t="s">
        <v>243</v>
      </c>
      <c r="E95" s="57" t="s">
        <v>342</v>
      </c>
      <c r="F95" s="60">
        <v>250000</v>
      </c>
      <c r="G95" s="61">
        <v>0.53720909090909086</v>
      </c>
      <c r="H95" s="57" t="s">
        <v>355</v>
      </c>
      <c r="I95" s="61">
        <v>1</v>
      </c>
      <c r="J95" s="57" t="s">
        <v>354</v>
      </c>
      <c r="K95" s="60">
        <v>150000</v>
      </c>
      <c r="L95" s="61">
        <v>0.57576666666666665</v>
      </c>
      <c r="M95" s="57" t="s">
        <v>355</v>
      </c>
      <c r="N95" s="60">
        <v>86365</v>
      </c>
      <c r="O95" s="60">
        <v>50000</v>
      </c>
      <c r="P95" s="61">
        <v>0.95</v>
      </c>
      <c r="Q95" s="57" t="s">
        <v>354</v>
      </c>
      <c r="R95" s="60">
        <v>47500</v>
      </c>
      <c r="S95" s="60">
        <v>50000</v>
      </c>
      <c r="T95" s="61">
        <v>0.72729999999999995</v>
      </c>
      <c r="U95" s="57" t="s">
        <v>355</v>
      </c>
      <c r="V95" s="60">
        <v>0</v>
      </c>
      <c r="W95" s="57" t="s">
        <v>246</v>
      </c>
      <c r="X95" s="60">
        <v>133865</v>
      </c>
      <c r="Y95" s="57"/>
    </row>
    <row r="96" spans="1:25" x14ac:dyDescent="0.25">
      <c r="A96" s="57" t="s">
        <v>348</v>
      </c>
      <c r="B96" s="57" t="s">
        <v>238</v>
      </c>
      <c r="C96" s="57" t="s">
        <v>105</v>
      </c>
      <c r="D96" s="57" t="s">
        <v>243</v>
      </c>
      <c r="E96" s="57" t="s">
        <v>342</v>
      </c>
      <c r="F96" s="60">
        <v>250000</v>
      </c>
      <c r="G96" s="61">
        <v>0.78260909090909081</v>
      </c>
      <c r="H96" s="57" t="s">
        <v>354</v>
      </c>
      <c r="I96" s="61">
        <v>0.88235294117647056</v>
      </c>
      <c r="J96" s="57" t="s">
        <v>354</v>
      </c>
      <c r="K96" s="60">
        <v>150000</v>
      </c>
      <c r="L96" s="61">
        <v>0.51633333333333331</v>
      </c>
      <c r="M96" s="57" t="s">
        <v>355</v>
      </c>
      <c r="N96" s="60">
        <v>77450</v>
      </c>
      <c r="O96" s="60">
        <v>50000</v>
      </c>
      <c r="P96" s="61">
        <v>0.95</v>
      </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v>
      </c>
      <c r="V96" s="60">
        <v>0</v>
      </c>
      <c r="W96" s="57" t="s">
        <v>246</v>
      </c>
      <c r="X96" s="60">
        <v>124950</v>
      </c>
      <c r="Y96" s="57"/>
    </row>
    <row r="97" spans="1:25" x14ac:dyDescent="0.25">
      <c r="A97" s="57" t="s">
        <v>348</v>
      </c>
      <c r="B97" s="57" t="s">
        <v>238</v>
      </c>
      <c r="C97" s="57" t="s">
        <v>106</v>
      </c>
      <c r="D97" s="57" t="s">
        <v>243</v>
      </c>
      <c r="E97" s="57" t="s">
        <v>342</v>
      </c>
      <c r="F97" s="60">
        <v>250000</v>
      </c>
      <c r="G97" s="61">
        <v>0.8538</v>
      </c>
      <c r="H97" s="57" t="s">
        <v>354</v>
      </c>
      <c r="I97" s="61">
        <v>0.94736842105263153</v>
      </c>
      <c r="J97" s="57" t="s">
        <v>354</v>
      </c>
      <c r="K97" s="60">
        <v>150000</v>
      </c>
      <c r="L97" s="61">
        <v>0.84723333333333339</v>
      </c>
      <c r="M97" s="57" t="s">
        <v>354</v>
      </c>
      <c r="N97" s="60">
        <v>120000</v>
      </c>
      <c r="O97" s="60">
        <v>50000</v>
      </c>
      <c r="P97" s="61">
        <v>0.95</v>
      </c>
      <c r="Q97" s="57" t="s">
        <v>354</v>
      </c>
      <c r="R97" s="60">
        <v>47500</v>
      </c>
      <c r="S97" s="60">
        <v>50000</v>
      </c>
      <c r="T97" s="61">
        <v>0.5</v>
      </c>
      <c r="U97" s="57" t="s">
        <v>355</v>
      </c>
      <c r="V97" s="60">
        <v>0</v>
      </c>
      <c r="W97" s="57" t="s">
        <v>246</v>
      </c>
      <c r="X97" s="60">
        <v>167500</v>
      </c>
      <c r="Y97" s="57"/>
    </row>
    <row r="98" spans="1:25" x14ac:dyDescent="0.25">
      <c r="A98" s="57" t="s">
        <v>348</v>
      </c>
      <c r="B98" s="57" t="s">
        <v>238</v>
      </c>
      <c r="C98" s="57" t="s">
        <v>107</v>
      </c>
      <c r="D98" s="57" t="s">
        <v>243</v>
      </c>
      <c r="E98" s="57" t="s">
        <v>342</v>
      </c>
      <c r="F98" s="60">
        <v>250000</v>
      </c>
      <c r="G98" s="61">
        <v>0.7662363636363636</v>
      </c>
      <c r="H98" s="57" t="s">
        <v>354</v>
      </c>
      <c r="I98" s="61">
        <v>0.94444444444444442</v>
      </c>
      <c r="J98" s="57" t="s">
        <v>354</v>
      </c>
      <c r="K98" s="60">
        <v>150000</v>
      </c>
      <c r="L98" s="61">
        <v>0.60383333333333333</v>
      </c>
      <c r="M98" s="57" t="s">
        <v>355</v>
      </c>
      <c r="N98" s="60">
        <v>90575</v>
      </c>
      <c r="O98" s="60">
        <v>50000</v>
      </c>
      <c r="P98" s="61">
        <v>0.95</v>
      </c>
      <c r="Q98" s="57" t="s">
        <v>354</v>
      </c>
      <c r="R98" s="60">
        <v>47500</v>
      </c>
      <c r="S98" s="60">
        <v>50000</v>
      </c>
      <c r="T98" s="61">
        <v>0.5</v>
      </c>
      <c r="U98" s="57" t="s">
        <v>355</v>
      </c>
      <c r="V98" s="60">
        <v>0</v>
      </c>
      <c r="W98" s="57" t="s">
        <v>246</v>
      </c>
      <c r="X98" s="60">
        <v>138075</v>
      </c>
      <c r="Y98" s="57"/>
    </row>
    <row r="99" spans="1:25" x14ac:dyDescent="0.25">
      <c r="A99" s="57" t="s">
        <v>348</v>
      </c>
      <c r="B99" s="57" t="s">
        <v>238</v>
      </c>
      <c r="C99" s="57" t="s">
        <v>108</v>
      </c>
      <c r="D99" s="57" t="s">
        <v>243</v>
      </c>
      <c r="E99" s="57" t="s">
        <v>342</v>
      </c>
      <c r="F99" s="60">
        <v>250000</v>
      </c>
      <c r="G99" s="61">
        <v>0.79444545454545434</v>
      </c>
      <c r="H99" s="57" t="s">
        <v>354</v>
      </c>
      <c r="I99" s="61">
        <v>0.88235294117647056</v>
      </c>
      <c r="J99" s="57" t="s">
        <v>354</v>
      </c>
      <c r="K99" s="60">
        <v>150000</v>
      </c>
      <c r="L99" s="61">
        <v>0.61863333333333337</v>
      </c>
      <c r="M99" s="57" t="s">
        <v>355</v>
      </c>
      <c r="N99" s="60">
        <v>92795</v>
      </c>
      <c r="O99" s="60">
        <v>50000</v>
      </c>
      <c r="P99" s="61">
        <v>0.95</v>
      </c>
      <c r="Q99" s="57" t="s">
        <v>354</v>
      </c>
      <c r="R99" s="60">
        <v>47500</v>
      </c>
      <c r="S99" s="60">
        <v>50000</v>
      </c>
      <c r="T99" s="61">
        <v>0.99099999999999999</v>
      </c>
      <c r="U99" s="57" t="s">
        <v>355</v>
      </c>
      <c r="V99" s="60">
        <v>0</v>
      </c>
      <c r="W99" s="57" t="s">
        <v>246</v>
      </c>
      <c r="X99" s="60">
        <v>140295</v>
      </c>
      <c r="Y99" s="57"/>
    </row>
    <row r="100" spans="1:25" x14ac:dyDescent="0.25">
      <c r="A100" s="57" t="s">
        <v>348</v>
      </c>
      <c r="B100" s="57" t="s">
        <v>238</v>
      </c>
      <c r="C100" s="57" t="s">
        <v>109</v>
      </c>
      <c r="D100" s="57" t="s">
        <v>243</v>
      </c>
      <c r="E100" s="57" t="s">
        <v>342</v>
      </c>
      <c r="F100" s="60">
        <v>250000</v>
      </c>
      <c r="G100" s="61">
        <v>0.75879090909090907</v>
      </c>
      <c r="H100" s="57" t="s">
        <v>354</v>
      </c>
      <c r="I100" s="61">
        <v>1</v>
      </c>
      <c r="J100" s="57" t="s">
        <v>354</v>
      </c>
      <c r="K100" s="60">
        <v>150000</v>
      </c>
      <c r="L100" s="61">
        <v>0.62816666666666665</v>
      </c>
      <c r="M100" s="57" t="s">
        <v>355</v>
      </c>
      <c r="N100" s="60">
        <v>94225</v>
      </c>
      <c r="O100" s="60">
        <v>50000</v>
      </c>
      <c r="P100" s="61">
        <v>0.95</v>
      </c>
      <c r="Q100" s="57" t="s">
        <v>354</v>
      </c>
      <c r="R100" s="60">
        <v>47500</v>
      </c>
      <c r="S100" s="60">
        <v>50000</v>
      </c>
      <c r="T100" s="61">
        <v>0.5</v>
      </c>
      <c r="U100" s="57" t="s">
        <v>355</v>
      </c>
      <c r="V100" s="60">
        <v>0</v>
      </c>
      <c r="W100" s="57" t="s">
        <v>246</v>
      </c>
      <c r="X100" s="60">
        <v>141725</v>
      </c>
      <c r="Y100" s="57"/>
    </row>
    <row r="101" spans="1:25" x14ac:dyDescent="0.25">
      <c r="A101" s="57" t="s">
        <v>348</v>
      </c>
      <c r="B101" s="57" t="s">
        <v>238</v>
      </c>
      <c r="C101" s="57" t="s">
        <v>110</v>
      </c>
      <c r="D101" s="57" t="s">
        <v>243</v>
      </c>
      <c r="E101" s="57" t="s">
        <v>342</v>
      </c>
      <c r="F101" s="60">
        <v>250000</v>
      </c>
      <c r="G101" s="61">
        <v>0.76104545454545469</v>
      </c>
      <c r="H101" s="57" t="s">
        <v>354</v>
      </c>
      <c r="I101" s="61">
        <v>1</v>
      </c>
      <c r="J101" s="57" t="s">
        <v>354</v>
      </c>
      <c r="K101" s="60">
        <v>150000</v>
      </c>
      <c r="L101" s="61">
        <v>0.59576666666666667</v>
      </c>
      <c r="M101" s="57" t="s">
        <v>355</v>
      </c>
      <c r="N101" s="60">
        <v>89365</v>
      </c>
      <c r="O101" s="60">
        <v>50000</v>
      </c>
      <c r="P101" s="61">
        <v>0.95</v>
      </c>
      <c r="Q101" s="57" t="s">
        <v>354</v>
      </c>
      <c r="R101" s="60">
        <v>47500</v>
      </c>
      <c r="S101" s="60">
        <v>50000</v>
      </c>
      <c r="T101" s="61">
        <v>0.5</v>
      </c>
      <c r="U101" s="57" t="s">
        <v>355</v>
      </c>
      <c r="V101" s="60">
        <v>0</v>
      </c>
      <c r="W101" s="57" t="s">
        <v>246</v>
      </c>
      <c r="X101" s="60">
        <v>136865</v>
      </c>
      <c r="Y101" s="57"/>
    </row>
    <row r="102" spans="1:25" x14ac:dyDescent="0.25">
      <c r="A102" s="57" t="s">
        <v>348</v>
      </c>
      <c r="B102" s="57" t="s">
        <v>239</v>
      </c>
      <c r="C102" s="57" t="s">
        <v>111</v>
      </c>
      <c r="D102" s="57" t="s">
        <v>243</v>
      </c>
      <c r="E102" s="57" t="s">
        <v>343</v>
      </c>
      <c r="F102" s="60">
        <v>250000</v>
      </c>
      <c r="G102" s="61">
        <v>0.78153636363636358</v>
      </c>
      <c r="H102" s="57" t="s">
        <v>354</v>
      </c>
      <c r="I102" s="61">
        <v>0.92307692307692313</v>
      </c>
      <c r="J102" s="57" t="s">
        <v>354</v>
      </c>
      <c r="K102" s="60">
        <v>150000</v>
      </c>
      <c r="L102" s="61">
        <v>0.38013333333333338</v>
      </c>
      <c r="M102" s="57" t="s">
        <v>355</v>
      </c>
      <c r="N102" s="60">
        <v>0</v>
      </c>
      <c r="O102" s="60">
        <v>50000</v>
      </c>
      <c r="P102" s="61">
        <v>0.95</v>
      </c>
      <c r="Q102" s="57" t="s">
        <v>354</v>
      </c>
      <c r="R102" s="60">
        <v>47500</v>
      </c>
      <c r="S102" s="60">
        <v>50000</v>
      </c>
      <c r="T102" s="61">
        <v>0.98250000000000004</v>
      </c>
      <c r="U102" s="57" t="s">
        <v>355</v>
      </c>
      <c r="V102" s="60">
        <v>0</v>
      </c>
      <c r="W102" s="57" t="s">
        <v>246</v>
      </c>
      <c r="X102" s="60">
        <v>47500</v>
      </c>
      <c r="Y102" s="57"/>
    </row>
    <row r="103" spans="1:25" x14ac:dyDescent="0.25">
      <c r="A103" s="57" t="s">
        <v>348</v>
      </c>
      <c r="B103" s="57" t="s">
        <v>239</v>
      </c>
      <c r="C103" s="57" t="s">
        <v>112</v>
      </c>
      <c r="D103" s="57" t="s">
        <v>243</v>
      </c>
      <c r="E103" s="57" t="s">
        <v>343</v>
      </c>
      <c r="F103" s="60">
        <v>250000</v>
      </c>
      <c r="G103" s="61">
        <v>0.73636363636363633</v>
      </c>
      <c r="H103" s="57" t="s">
        <v>354</v>
      </c>
      <c r="I103" s="61">
        <v>0.66666666666666663</v>
      </c>
      <c r="J103" s="57" t="s">
        <v>355</v>
      </c>
      <c r="K103" s="60">
        <v>150000</v>
      </c>
      <c r="L103" s="61">
        <v>0.36109999999999998</v>
      </c>
      <c r="M103" s="57" t="s">
        <v>355</v>
      </c>
      <c r="N103" s="60">
        <v>0</v>
      </c>
      <c r="O103" s="60">
        <v>50000</v>
      </c>
      <c r="P103" s="61">
        <v>0.95</v>
      </c>
      <c r="Q103" s="57" t="s">
        <v>354</v>
      </c>
      <c r="R103" s="60">
        <v>47500</v>
      </c>
      <c r="S103" s="60">
        <v>50000</v>
      </c>
      <c r="T103" s="61">
        <v>1</v>
      </c>
      <c r="U103" s="57" t="s">
        <v>354</v>
      </c>
      <c r="V103" s="60">
        <v>50000</v>
      </c>
      <c r="W103" s="57" t="s">
        <v>349</v>
      </c>
      <c r="X103" s="60">
        <v>0</v>
      </c>
      <c r="Y103" s="57"/>
    </row>
    <row r="104" spans="1:25" x14ac:dyDescent="0.25">
      <c r="A104" s="57" t="s">
        <v>348</v>
      </c>
      <c r="B104" s="57" t="s">
        <v>239</v>
      </c>
      <c r="C104" s="57" t="s">
        <v>113</v>
      </c>
      <c r="D104" s="57" t="s">
        <v>243</v>
      </c>
      <c r="E104" s="57" t="s">
        <v>343</v>
      </c>
      <c r="F104" s="60">
        <v>250000</v>
      </c>
      <c r="G104" s="61">
        <v>0.8077545454545455</v>
      </c>
      <c r="H104" s="57" t="s">
        <v>354</v>
      </c>
      <c r="I104" s="61">
        <v>1</v>
      </c>
      <c r="J104" s="57" t="s">
        <v>354</v>
      </c>
      <c r="K104" s="60">
        <v>150000</v>
      </c>
      <c r="L104" s="61">
        <v>0.35520000000000002</v>
      </c>
      <c r="M104" s="57" t="s">
        <v>355</v>
      </c>
      <c r="N104" s="60">
        <v>0</v>
      </c>
      <c r="O104" s="60">
        <v>50000</v>
      </c>
      <c r="P104" s="61">
        <v>0.95</v>
      </c>
      <c r="Q104" s="57" t="s">
        <v>354</v>
      </c>
      <c r="R104" s="60">
        <v>47500</v>
      </c>
      <c r="S104" s="60">
        <v>50000</v>
      </c>
      <c r="T104" s="61">
        <v>0.5</v>
      </c>
      <c r="U104" s="57" t="s">
        <v>355</v>
      </c>
      <c r="V104" s="60">
        <v>0</v>
      </c>
      <c r="W104" s="57" t="s">
        <v>246</v>
      </c>
      <c r="X104" s="60">
        <v>47500</v>
      </c>
      <c r="Y104" s="57"/>
    </row>
    <row r="105" spans="1:25" x14ac:dyDescent="0.25">
      <c r="A105" s="57" t="s">
        <v>348</v>
      </c>
      <c r="B105" s="57" t="s">
        <v>239</v>
      </c>
      <c r="C105" s="57" t="s">
        <v>114</v>
      </c>
      <c r="D105" s="57" t="s">
        <v>243</v>
      </c>
      <c r="E105" s="57" t="s">
        <v>343</v>
      </c>
      <c r="F105" s="60">
        <v>250000</v>
      </c>
      <c r="G105" s="61">
        <v>0.77181818181818196</v>
      </c>
      <c r="H105" s="57" t="s">
        <v>354</v>
      </c>
      <c r="I105" s="61">
        <v>1</v>
      </c>
      <c r="J105" s="57" t="s">
        <v>354</v>
      </c>
      <c r="K105" s="60">
        <v>150000</v>
      </c>
      <c r="L105" s="61">
        <v>0.4129666666666667</v>
      </c>
      <c r="M105" s="57" t="s">
        <v>355</v>
      </c>
      <c r="N105" s="60">
        <v>0</v>
      </c>
      <c r="O105" s="60">
        <v>50000</v>
      </c>
      <c r="P105" s="61">
        <v>0.95</v>
      </c>
      <c r="Q105" s="57" t="s">
        <v>354</v>
      </c>
      <c r="R105" s="60">
        <v>47500</v>
      </c>
      <c r="S105" s="60">
        <v>50000</v>
      </c>
      <c r="T105" s="61">
        <v>1</v>
      </c>
      <c r="U105" s="57" t="s">
        <v>354</v>
      </c>
      <c r="V105" s="60">
        <v>50000</v>
      </c>
      <c r="W105" s="57" t="s">
        <v>246</v>
      </c>
      <c r="X105" s="60">
        <v>97500</v>
      </c>
      <c r="Y105" s="57"/>
    </row>
    <row r="106" spans="1:25" x14ac:dyDescent="0.25">
      <c r="A106" s="57" t="s">
        <v>348</v>
      </c>
      <c r="B106" s="57" t="s">
        <v>239</v>
      </c>
      <c r="C106" s="57" t="s">
        <v>115</v>
      </c>
      <c r="D106" s="57" t="s">
        <v>243</v>
      </c>
      <c r="E106" s="57" t="s">
        <v>343</v>
      </c>
      <c r="F106" s="60">
        <v>250000</v>
      </c>
      <c r="G106" s="61">
        <v>0.75952727272727261</v>
      </c>
      <c r="H106" s="57" t="s">
        <v>354</v>
      </c>
      <c r="I106" s="61">
        <v>1</v>
      </c>
      <c r="J106" s="57" t="s">
        <v>354</v>
      </c>
      <c r="K106" s="60">
        <v>150000</v>
      </c>
      <c r="L106" s="61">
        <v>0.36210000000000003</v>
      </c>
      <c r="M106" s="57" t="s">
        <v>355</v>
      </c>
      <c r="N106" s="60">
        <v>0</v>
      </c>
      <c r="O106" s="60">
        <v>50000</v>
      </c>
      <c r="P106" s="61">
        <v>0.95</v>
      </c>
      <c r="Q106" s="57" t="s">
        <v>354</v>
      </c>
      <c r="R106" s="60">
        <v>47500</v>
      </c>
      <c r="S106" s="60">
        <v>50000</v>
      </c>
      <c r="T106" s="61">
        <v>0.5</v>
      </c>
      <c r="U106" s="57" t="s">
        <v>355</v>
      </c>
      <c r="V106" s="60">
        <v>0</v>
      </c>
      <c r="W106" s="57" t="s">
        <v>246</v>
      </c>
      <c r="X106" s="60">
        <v>47500</v>
      </c>
      <c r="Y106" s="57"/>
    </row>
    <row r="107" spans="1:25" x14ac:dyDescent="0.25">
      <c r="A107" s="57" t="s">
        <v>348</v>
      </c>
      <c r="B107" s="57" t="s">
        <v>239</v>
      </c>
      <c r="C107" s="57" t="s">
        <v>116</v>
      </c>
      <c r="D107" s="57" t="s">
        <v>243</v>
      </c>
      <c r="E107" s="57" t="s">
        <v>343</v>
      </c>
      <c r="F107" s="60">
        <v>250000</v>
      </c>
      <c r="G107" s="61">
        <v>0.74268181818181811</v>
      </c>
      <c r="H107" s="57" t="s">
        <v>354</v>
      </c>
      <c r="I107" s="61">
        <v>1</v>
      </c>
      <c r="J107" s="57" t="s">
        <v>354</v>
      </c>
      <c r="K107" s="60">
        <v>150000</v>
      </c>
      <c r="L107" s="61">
        <v>0.48333333333333334</v>
      </c>
      <c r="M107" s="57" t="s">
        <v>355</v>
      </c>
      <c r="N107" s="60">
        <v>0</v>
      </c>
      <c r="O107" s="60">
        <v>50000</v>
      </c>
      <c r="P107" s="61">
        <v>0.95</v>
      </c>
      <c r="Q107" s="57" t="s">
        <v>354</v>
      </c>
      <c r="R107" s="60">
        <v>47500</v>
      </c>
      <c r="S107" s="60">
        <v>50000</v>
      </c>
      <c r="T107" s="61">
        <v>0.48304999999999998</v>
      </c>
      <c r="U107" s="57" t="s">
        <v>355</v>
      </c>
      <c r="V107" s="60">
        <v>0</v>
      </c>
      <c r="W107" s="57" t="s">
        <v>246</v>
      </c>
      <c r="X107" s="60">
        <v>47500</v>
      </c>
      <c r="Y107" s="57"/>
    </row>
    <row r="108" spans="1:25" x14ac:dyDescent="0.25">
      <c r="A108" s="57" t="s">
        <v>348</v>
      </c>
      <c r="B108" s="57" t="s">
        <v>239</v>
      </c>
      <c r="C108" s="57" t="s">
        <v>117</v>
      </c>
      <c r="D108" s="57" t="s">
        <v>243</v>
      </c>
      <c r="E108" s="57" t="s">
        <v>343</v>
      </c>
      <c r="F108" s="60">
        <v>250000</v>
      </c>
      <c r="G108" s="61">
        <v>0.76329999999999998</v>
      </c>
      <c r="H108" s="57" t="s">
        <v>354</v>
      </c>
      <c r="I108" s="61">
        <v>0.8</v>
      </c>
      <c r="J108" s="57" t="s">
        <v>354</v>
      </c>
      <c r="K108" s="60">
        <v>150000</v>
      </c>
      <c r="L108" s="61">
        <v>0.33333333333333331</v>
      </c>
      <c r="M108" s="57" t="s">
        <v>355</v>
      </c>
      <c r="N108" s="60">
        <v>0</v>
      </c>
      <c r="O108" s="60">
        <v>50000</v>
      </c>
      <c r="P108" s="61">
        <v>0.95</v>
      </c>
      <c r="Q108" s="57" t="s">
        <v>354</v>
      </c>
      <c r="R108" s="60">
        <v>47500</v>
      </c>
      <c r="S108" s="60">
        <v>50000</v>
      </c>
      <c r="T108" s="61">
        <v>1</v>
      </c>
      <c r="U108" s="57" t="s">
        <v>354</v>
      </c>
      <c r="V108" s="60">
        <v>50000</v>
      </c>
      <c r="W108" s="57" t="s">
        <v>246</v>
      </c>
      <c r="X108" s="60">
        <v>97500</v>
      </c>
      <c r="Y108" s="57"/>
    </row>
    <row r="109" spans="1:25" x14ac:dyDescent="0.25">
      <c r="A109" s="57" t="s">
        <v>348</v>
      </c>
      <c r="B109" s="57" t="s">
        <v>239</v>
      </c>
      <c r="C109" s="57" t="s">
        <v>118</v>
      </c>
      <c r="D109" s="57" t="s">
        <v>243</v>
      </c>
      <c r="E109" s="57" t="s">
        <v>343</v>
      </c>
      <c r="F109" s="60">
        <v>250000</v>
      </c>
      <c r="G109" s="61">
        <v>0.48588181818181814</v>
      </c>
      <c r="H109" s="57" t="s">
        <v>355</v>
      </c>
      <c r="I109" s="61">
        <v>0.6</v>
      </c>
      <c r="J109" s="57" t="s">
        <v>355</v>
      </c>
      <c r="K109" s="60">
        <v>150000</v>
      </c>
      <c r="L109" s="61">
        <v>0.47746666666666665</v>
      </c>
      <c r="M109" s="57" t="s">
        <v>355</v>
      </c>
      <c r="N109" s="60">
        <v>0</v>
      </c>
      <c r="O109" s="60">
        <v>50000</v>
      </c>
      <c r="P109" s="61">
        <v>0.95</v>
      </c>
      <c r="Q109" s="57" t="s">
        <v>354</v>
      </c>
      <c r="R109" s="60">
        <v>47500</v>
      </c>
      <c r="S109" s="60">
        <v>50000</v>
      </c>
      <c r="T109" s="61">
        <v>0.58620000000000005</v>
      </c>
      <c r="U109" s="57" t="s">
        <v>355</v>
      </c>
      <c r="V109" s="60">
        <v>0</v>
      </c>
      <c r="W109" s="57" t="s">
        <v>349</v>
      </c>
      <c r="X109" s="60">
        <v>0</v>
      </c>
      <c r="Y109" s="57"/>
    </row>
    <row r="110" spans="1:25" x14ac:dyDescent="0.25">
      <c r="A110" s="57" t="s">
        <v>348</v>
      </c>
      <c r="B110" s="57" t="s">
        <v>239</v>
      </c>
      <c r="C110" s="57" t="s">
        <v>119</v>
      </c>
      <c r="D110" s="57" t="s">
        <v>243</v>
      </c>
      <c r="E110" s="57" t="s">
        <v>343</v>
      </c>
      <c r="F110" s="60">
        <v>250000</v>
      </c>
      <c r="G110" s="61">
        <v>0.73012727272727274</v>
      </c>
      <c r="H110" s="57" t="s">
        <v>354</v>
      </c>
      <c r="I110" s="61">
        <v>1</v>
      </c>
      <c r="J110" s="57" t="s">
        <v>354</v>
      </c>
      <c r="K110" s="60">
        <v>150000</v>
      </c>
      <c r="L110" s="61">
        <v>0.3404666666666667</v>
      </c>
      <c r="M110" s="57" t="s">
        <v>355</v>
      </c>
      <c r="N110" s="60">
        <v>0</v>
      </c>
      <c r="O110" s="60">
        <v>50000</v>
      </c>
      <c r="P110" s="61">
        <v>0.95</v>
      </c>
      <c r="Q110" s="57" t="s">
        <v>354</v>
      </c>
      <c r="R110" s="60">
        <v>47500</v>
      </c>
      <c r="S110" s="60">
        <v>50000</v>
      </c>
      <c r="T110" s="61">
        <v>0.98440000000000005</v>
      </c>
      <c r="U110" s="57" t="s">
        <v>355</v>
      </c>
      <c r="V110" s="60">
        <v>0</v>
      </c>
      <c r="W110" s="57" t="s">
        <v>246</v>
      </c>
      <c r="X110" s="60">
        <v>47500</v>
      </c>
      <c r="Y110" s="57"/>
    </row>
    <row r="111" spans="1:25" x14ac:dyDescent="0.25">
      <c r="A111" s="57" t="s">
        <v>348</v>
      </c>
      <c r="B111" s="57" t="s">
        <v>239</v>
      </c>
      <c r="C111" s="57" t="s">
        <v>120</v>
      </c>
      <c r="D111" s="57" t="s">
        <v>243</v>
      </c>
      <c r="E111" s="57" t="s">
        <v>343</v>
      </c>
      <c r="F111" s="60">
        <v>250000</v>
      </c>
      <c r="G111" s="61">
        <v>0.76107272727272735</v>
      </c>
      <c r="H111" s="57" t="s">
        <v>354</v>
      </c>
      <c r="I111" s="61">
        <v>0.88888888888888884</v>
      </c>
      <c r="J111" s="57" t="s">
        <v>354</v>
      </c>
      <c r="K111" s="60">
        <v>150000</v>
      </c>
      <c r="L111" s="61">
        <v>0.52253333333333341</v>
      </c>
      <c r="M111" s="57" t="s">
        <v>355</v>
      </c>
      <c r="N111" s="60">
        <v>78380.000000000015</v>
      </c>
      <c r="O111" s="60">
        <v>50000</v>
      </c>
      <c r="P111" s="61">
        <v>0.95</v>
      </c>
      <c r="Q111" s="57" t="s">
        <v>354</v>
      </c>
      <c r="R111" s="60">
        <v>47500</v>
      </c>
      <c r="S111" s="60">
        <v>50000</v>
      </c>
      <c r="T111" s="61">
        <v>0.97670000000000001</v>
      </c>
      <c r="U111" s="57" t="s">
        <v>355</v>
      </c>
      <c r="V111" s="60">
        <v>0</v>
      </c>
      <c r="W111" s="57" t="s">
        <v>246</v>
      </c>
      <c r="X111" s="60">
        <v>125880.00000000001</v>
      </c>
      <c r="Y111" s="57"/>
    </row>
    <row r="112" spans="1:25" x14ac:dyDescent="0.25">
      <c r="A112" s="57" t="s">
        <v>348</v>
      </c>
      <c r="B112" s="57" t="s">
        <v>239</v>
      </c>
      <c r="C112" s="57" t="s">
        <v>121</v>
      </c>
      <c r="D112" s="57" t="s">
        <v>243</v>
      </c>
      <c r="E112" s="57" t="s">
        <v>343</v>
      </c>
      <c r="F112" s="60">
        <v>250000</v>
      </c>
      <c r="G112" s="61">
        <v>0.81439090909090905</v>
      </c>
      <c r="H112" s="57" t="s">
        <v>354</v>
      </c>
      <c r="I112" s="61">
        <v>0.83333333333333337</v>
      </c>
      <c r="J112" s="57" t="s">
        <v>354</v>
      </c>
      <c r="K112" s="60">
        <v>150000</v>
      </c>
      <c r="L112" s="61">
        <v>0.41310000000000002</v>
      </c>
      <c r="M112" s="57" t="s">
        <v>355</v>
      </c>
      <c r="N112" s="60">
        <v>0</v>
      </c>
      <c r="O112" s="60">
        <v>50000</v>
      </c>
      <c r="P112" s="61">
        <v>0.95</v>
      </c>
      <c r="Q112" s="57" t="s">
        <v>354</v>
      </c>
      <c r="R112" s="60">
        <v>47500</v>
      </c>
      <c r="S112" s="60">
        <v>50000</v>
      </c>
      <c r="T112" s="61">
        <v>0.5</v>
      </c>
      <c r="U112" s="57" t="s">
        <v>355</v>
      </c>
      <c r="V112" s="60">
        <v>0</v>
      </c>
      <c r="W112" s="57" t="s">
        <v>246</v>
      </c>
      <c r="X112" s="60">
        <v>47500</v>
      </c>
      <c r="Y112" s="57"/>
    </row>
    <row r="113" spans="1:25" x14ac:dyDescent="0.25">
      <c r="A113" s="57" t="s">
        <v>348</v>
      </c>
      <c r="B113" s="57" t="s">
        <v>239</v>
      </c>
      <c r="C113" s="57" t="s">
        <v>122</v>
      </c>
      <c r="D113" s="57" t="s">
        <v>243</v>
      </c>
      <c r="E113" s="57" t="s">
        <v>343</v>
      </c>
      <c r="F113" s="60">
        <v>250000</v>
      </c>
      <c r="G113" s="61">
        <v>0.81191818181818176</v>
      </c>
      <c r="H113" s="57" t="s">
        <v>354</v>
      </c>
      <c r="I113" s="61">
        <v>1</v>
      </c>
      <c r="J113" s="57" t="s">
        <v>354</v>
      </c>
      <c r="K113" s="60">
        <v>150000</v>
      </c>
      <c r="L113" s="61">
        <v>0.46429999999999999</v>
      </c>
      <c r="M113" s="57" t="s">
        <v>355</v>
      </c>
      <c r="N113" s="60">
        <v>0</v>
      </c>
      <c r="O113" s="60">
        <v>50000</v>
      </c>
      <c r="P113" s="61">
        <v>0.95</v>
      </c>
      <c r="Q113" s="57" t="s">
        <v>354</v>
      </c>
      <c r="R113" s="60">
        <v>47500</v>
      </c>
      <c r="S113" s="60">
        <v>50000</v>
      </c>
      <c r="T113" s="61">
        <v>1</v>
      </c>
      <c r="U113" s="57" t="s">
        <v>354</v>
      </c>
      <c r="V113" s="60">
        <v>50000</v>
      </c>
      <c r="W113" s="57" t="s">
        <v>246</v>
      </c>
      <c r="X113" s="60">
        <v>97500</v>
      </c>
      <c r="Y113" s="57"/>
    </row>
    <row r="114" spans="1:25" x14ac:dyDescent="0.25">
      <c r="A114" s="57" t="s">
        <v>348</v>
      </c>
      <c r="B114" s="57" t="s">
        <v>239</v>
      </c>
      <c r="C114" s="57" t="s">
        <v>123</v>
      </c>
      <c r="D114" s="57" t="s">
        <v>243</v>
      </c>
      <c r="E114" s="57" t="s">
        <v>343</v>
      </c>
      <c r="F114" s="60">
        <v>250000</v>
      </c>
      <c r="G114" s="61">
        <v>0.75828181818181806</v>
      </c>
      <c r="H114" s="57" t="s">
        <v>354</v>
      </c>
      <c r="I114" s="61">
        <v>1</v>
      </c>
      <c r="J114" s="57" t="s">
        <v>354</v>
      </c>
      <c r="K114" s="60">
        <v>150000</v>
      </c>
      <c r="L114" s="61">
        <v>0.3358666666666667</v>
      </c>
      <c r="M114" s="57" t="s">
        <v>355</v>
      </c>
      <c r="N114" s="60">
        <v>0</v>
      </c>
      <c r="O114" s="60">
        <v>50000</v>
      </c>
      <c r="P114" s="61">
        <v>0.95</v>
      </c>
      <c r="Q114" s="57" t="s">
        <v>354</v>
      </c>
      <c r="R114" s="60">
        <v>47500</v>
      </c>
      <c r="S114" s="60">
        <v>50000</v>
      </c>
      <c r="T114" s="61">
        <v>0.97729999999999995</v>
      </c>
      <c r="U114" s="57" t="s">
        <v>355</v>
      </c>
      <c r="V114" s="60">
        <v>0</v>
      </c>
      <c r="W114" s="57" t="s">
        <v>246</v>
      </c>
      <c r="X114" s="60">
        <v>47500</v>
      </c>
      <c r="Y114" s="57"/>
    </row>
    <row r="115" spans="1:25" x14ac:dyDescent="0.25">
      <c r="A115" s="57" t="s">
        <v>348</v>
      </c>
      <c r="B115" s="57" t="s">
        <v>233</v>
      </c>
      <c r="C115" s="57" t="s">
        <v>124</v>
      </c>
      <c r="D115" s="57" t="s">
        <v>241</v>
      </c>
      <c r="E115" s="57" t="s">
        <v>338</v>
      </c>
      <c r="F115" s="60">
        <v>250000</v>
      </c>
      <c r="G115" s="61">
        <v>0.77711818181818171</v>
      </c>
      <c r="H115" s="57" t="s">
        <v>354</v>
      </c>
      <c r="I115" s="61">
        <v>1</v>
      </c>
      <c r="J115" s="57" t="s">
        <v>354</v>
      </c>
      <c r="K115" s="60">
        <v>150000</v>
      </c>
      <c r="L115" s="61">
        <v>0.59856666666666669</v>
      </c>
      <c r="M115" s="57" t="s">
        <v>355</v>
      </c>
      <c r="N115" s="60">
        <v>89785</v>
      </c>
      <c r="O115" s="60">
        <v>50000</v>
      </c>
      <c r="P115" s="61">
        <v>0.95</v>
      </c>
      <c r="Q115" s="57" t="s">
        <v>354</v>
      </c>
      <c r="R115" s="60">
        <v>47500</v>
      </c>
      <c r="S115" s="60">
        <v>50000</v>
      </c>
      <c r="T115" s="61">
        <v>0.5</v>
      </c>
      <c r="U115" s="57" t="s">
        <v>355</v>
      </c>
      <c r="V115" s="60">
        <v>0</v>
      </c>
      <c r="W115" s="57" t="s">
        <v>246</v>
      </c>
      <c r="X115" s="60">
        <v>137285</v>
      </c>
      <c r="Y115" s="57"/>
    </row>
    <row r="116" spans="1:25" x14ac:dyDescent="0.25">
      <c r="A116" s="57" t="s">
        <v>348</v>
      </c>
      <c r="B116" s="57" t="s">
        <v>233</v>
      </c>
      <c r="C116" s="57" t="s">
        <v>125</v>
      </c>
      <c r="D116" s="57" t="s">
        <v>241</v>
      </c>
      <c r="E116" s="57" t="s">
        <v>338</v>
      </c>
      <c r="F116" s="60">
        <v>250000</v>
      </c>
      <c r="G116" s="61">
        <v>0.82110909090909101</v>
      </c>
      <c r="H116" s="57" t="s">
        <v>354</v>
      </c>
      <c r="I116" s="61">
        <v>1</v>
      </c>
      <c r="J116" s="57" t="s">
        <v>354</v>
      </c>
      <c r="K116" s="60">
        <v>150000</v>
      </c>
      <c r="L116" s="61">
        <v>0.7161333333333334</v>
      </c>
      <c r="M116" s="57" t="s">
        <v>355</v>
      </c>
      <c r="N116" s="60">
        <v>107420.00000000001</v>
      </c>
      <c r="O116" s="60">
        <v>50000</v>
      </c>
      <c r="P116" s="61">
        <v>0.95</v>
      </c>
      <c r="Q116" s="57" t="s">
        <v>354</v>
      </c>
      <c r="R116" s="60">
        <v>47500</v>
      </c>
      <c r="S116" s="60">
        <v>50000</v>
      </c>
      <c r="T116" s="61">
        <v>0.5</v>
      </c>
      <c r="U116" s="57" t="s">
        <v>355</v>
      </c>
      <c r="V116" s="60">
        <v>0</v>
      </c>
      <c r="W116" s="57" t="s">
        <v>246</v>
      </c>
      <c r="X116" s="60">
        <v>154920</v>
      </c>
      <c r="Y116" s="57"/>
    </row>
    <row r="117" spans="1:25" x14ac:dyDescent="0.25">
      <c r="A117" s="57" t="s">
        <v>348</v>
      </c>
      <c r="B117" s="57" t="s">
        <v>233</v>
      </c>
      <c r="C117" s="57" t="s">
        <v>126</v>
      </c>
      <c r="D117" s="57" t="s">
        <v>241</v>
      </c>
      <c r="E117" s="57" t="s">
        <v>338</v>
      </c>
      <c r="F117" s="60">
        <v>250000</v>
      </c>
      <c r="G117" s="61">
        <v>0.7461363636363636</v>
      </c>
      <c r="H117" s="57" t="s">
        <v>354</v>
      </c>
      <c r="I117" s="61">
        <v>1</v>
      </c>
      <c r="J117" s="57" t="s">
        <v>354</v>
      </c>
      <c r="K117" s="60">
        <v>150000</v>
      </c>
      <c r="L117" s="61">
        <v>0.68493333333333328</v>
      </c>
      <c r="M117" s="57" t="s">
        <v>355</v>
      </c>
      <c r="N117" s="60">
        <v>102739.99999999999</v>
      </c>
      <c r="O117" s="60">
        <v>50000</v>
      </c>
      <c r="P117" s="61">
        <v>0.95</v>
      </c>
      <c r="Q117" s="57" t="s">
        <v>354</v>
      </c>
      <c r="R117" s="60">
        <v>47500</v>
      </c>
      <c r="S117" s="60">
        <v>50000</v>
      </c>
      <c r="T117" s="61">
        <v>0.93504999999999994</v>
      </c>
      <c r="U117" s="57" t="s">
        <v>355</v>
      </c>
      <c r="V117" s="60">
        <v>45000</v>
      </c>
      <c r="W117" s="57" t="s">
        <v>246</v>
      </c>
      <c r="X117" s="60">
        <v>195240</v>
      </c>
      <c r="Y117" s="57"/>
    </row>
    <row r="118" spans="1:25" x14ac:dyDescent="0.25">
      <c r="A118" s="57" t="s">
        <v>348</v>
      </c>
      <c r="B118" s="57" t="s">
        <v>233</v>
      </c>
      <c r="C118" s="57" t="s">
        <v>127</v>
      </c>
      <c r="D118" s="57" t="s">
        <v>241</v>
      </c>
      <c r="E118" s="57" t="s">
        <v>338</v>
      </c>
      <c r="F118" s="60">
        <v>250000</v>
      </c>
      <c r="G118" s="61">
        <v>0.80471818181818189</v>
      </c>
      <c r="H118" s="57" t="s">
        <v>354</v>
      </c>
      <c r="I118" s="61">
        <v>1</v>
      </c>
      <c r="J118" s="57" t="s">
        <v>354</v>
      </c>
      <c r="K118" s="60">
        <v>150000</v>
      </c>
      <c r="L118" s="61">
        <v>0.35803333333333337</v>
      </c>
      <c r="M118" s="57" t="s">
        <v>355</v>
      </c>
      <c r="N118" s="60">
        <v>0</v>
      </c>
      <c r="O118" s="60">
        <v>50000</v>
      </c>
      <c r="P118" s="61">
        <v>0.95</v>
      </c>
      <c r="Q118" s="57" t="s">
        <v>354</v>
      </c>
      <c r="R118" s="60">
        <v>47500</v>
      </c>
      <c r="S118" s="60">
        <v>50000</v>
      </c>
      <c r="T118" s="61">
        <v>1</v>
      </c>
      <c r="U118" s="57" t="s">
        <v>354</v>
      </c>
      <c r="V118" s="60">
        <v>50000</v>
      </c>
      <c r="W118" s="57" t="s">
        <v>246</v>
      </c>
      <c r="X118" s="60">
        <v>97500</v>
      </c>
      <c r="Y118" s="57"/>
    </row>
    <row r="119" spans="1:25" x14ac:dyDescent="0.25">
      <c r="A119" s="57" t="s">
        <v>348</v>
      </c>
      <c r="B119" s="57" t="s">
        <v>233</v>
      </c>
      <c r="C119" s="57" t="s">
        <v>128</v>
      </c>
      <c r="D119" s="57" t="s">
        <v>241</v>
      </c>
      <c r="E119" s="57" t="s">
        <v>338</v>
      </c>
      <c r="F119" s="60">
        <v>250000</v>
      </c>
      <c r="G119" s="61">
        <v>0.8561727272727272</v>
      </c>
      <c r="H119" s="57" t="s">
        <v>354</v>
      </c>
      <c r="I119" s="61">
        <v>1</v>
      </c>
      <c r="J119" s="57" t="s">
        <v>354</v>
      </c>
      <c r="K119" s="60">
        <v>150000</v>
      </c>
      <c r="L119" s="61">
        <v>0.65063333333333329</v>
      </c>
      <c r="M119" s="57" t="s">
        <v>355</v>
      </c>
      <c r="N119" s="60">
        <v>97595</v>
      </c>
      <c r="O119" s="60">
        <v>50000</v>
      </c>
      <c r="P119" s="61">
        <v>0.95</v>
      </c>
      <c r="Q119" s="57" t="s">
        <v>354</v>
      </c>
      <c r="R119" s="60">
        <v>47500</v>
      </c>
      <c r="S119" s="60">
        <v>50000</v>
      </c>
      <c r="T119" s="61">
        <v>1</v>
      </c>
      <c r="U119" s="57" t="s">
        <v>354</v>
      </c>
      <c r="V119" s="60">
        <v>50000</v>
      </c>
      <c r="W119" s="57" t="s">
        <v>246</v>
      </c>
      <c r="X119" s="60">
        <v>195095</v>
      </c>
      <c r="Y119" s="57"/>
    </row>
    <row r="120" spans="1:25" x14ac:dyDescent="0.25">
      <c r="A120" s="57" t="s">
        <v>348</v>
      </c>
      <c r="B120" s="57" t="s">
        <v>233</v>
      </c>
      <c r="C120" s="57" t="s">
        <v>129</v>
      </c>
      <c r="D120" s="57" t="s">
        <v>241</v>
      </c>
      <c r="E120" s="57" t="s">
        <v>338</v>
      </c>
      <c r="F120" s="60">
        <v>250000</v>
      </c>
      <c r="G120" s="61">
        <v>0.75589090909090906</v>
      </c>
      <c r="H120" s="57" t="s">
        <v>354</v>
      </c>
      <c r="I120" s="61">
        <v>1</v>
      </c>
      <c r="J120" s="57" t="s">
        <v>354</v>
      </c>
      <c r="K120" s="60">
        <v>150000</v>
      </c>
      <c r="L120" s="61">
        <v>0.49806666666666666</v>
      </c>
      <c r="M120" s="57" t="s">
        <v>355</v>
      </c>
      <c r="N120" s="60">
        <v>74710</v>
      </c>
      <c r="O120" s="60">
        <v>50000</v>
      </c>
      <c r="P120" s="61">
        <v>0.95</v>
      </c>
      <c r="Q120" s="57" t="s">
        <v>354</v>
      </c>
      <c r="R120" s="60">
        <v>47500</v>
      </c>
      <c r="S120" s="60">
        <v>50000</v>
      </c>
      <c r="T120" s="61">
        <v>0.98609999999999998</v>
      </c>
      <c r="U120" s="57" t="s">
        <v>355</v>
      </c>
      <c r="V120" s="60">
        <v>0</v>
      </c>
      <c r="W120" s="57" t="s">
        <v>246</v>
      </c>
      <c r="X120" s="60">
        <v>122210</v>
      </c>
      <c r="Y120" s="57"/>
    </row>
    <row r="121" spans="1:25" x14ac:dyDescent="0.25">
      <c r="A121" s="57" t="s">
        <v>348</v>
      </c>
      <c r="B121" s="57" t="s">
        <v>233</v>
      </c>
      <c r="C121" s="57" t="s">
        <v>130</v>
      </c>
      <c r="D121" s="57" t="s">
        <v>241</v>
      </c>
      <c r="E121" s="57" t="s">
        <v>338</v>
      </c>
      <c r="F121" s="60">
        <v>250000</v>
      </c>
      <c r="G121" s="61">
        <v>0.75394545454545459</v>
      </c>
      <c r="H121" s="57" t="s">
        <v>354</v>
      </c>
      <c r="I121" s="61">
        <v>1</v>
      </c>
      <c r="J121" s="57" t="s">
        <v>354</v>
      </c>
      <c r="K121" s="60">
        <v>150000</v>
      </c>
      <c r="L121" s="61">
        <v>0.63406666666666667</v>
      </c>
      <c r="M121" s="57" t="s">
        <v>355</v>
      </c>
      <c r="N121" s="60">
        <v>95110</v>
      </c>
      <c r="O121" s="60">
        <v>50000</v>
      </c>
      <c r="P121" s="61">
        <v>0.95</v>
      </c>
      <c r="Q121" s="57" t="s">
        <v>354</v>
      </c>
      <c r="R121" s="60">
        <v>47500</v>
      </c>
      <c r="S121" s="60">
        <v>50000</v>
      </c>
      <c r="T121" s="61">
        <v>0.99334999999999996</v>
      </c>
      <c r="U121" s="57" t="s">
        <v>355</v>
      </c>
      <c r="V121" s="60">
        <v>0</v>
      </c>
      <c r="W121" s="57" t="s">
        <v>246</v>
      </c>
      <c r="X121" s="60">
        <v>142610</v>
      </c>
      <c r="Y121" s="57"/>
    </row>
    <row r="122" spans="1:25" x14ac:dyDescent="0.25">
      <c r="A122" s="57" t="s">
        <v>348</v>
      </c>
      <c r="B122" s="57" t="s">
        <v>233</v>
      </c>
      <c r="C122" s="57" t="s">
        <v>131</v>
      </c>
      <c r="D122" s="57" t="s">
        <v>241</v>
      </c>
      <c r="E122" s="57" t="s">
        <v>338</v>
      </c>
      <c r="F122" s="60">
        <v>250000</v>
      </c>
      <c r="G122" s="61">
        <v>0.77742727272727274</v>
      </c>
      <c r="H122" s="57" t="s">
        <v>354</v>
      </c>
      <c r="I122" s="61">
        <v>1</v>
      </c>
      <c r="J122" s="57" t="s">
        <v>354</v>
      </c>
      <c r="K122" s="60">
        <v>150000</v>
      </c>
      <c r="L122" s="61">
        <v>0.46743333333333331</v>
      </c>
      <c r="M122" s="57" t="s">
        <v>355</v>
      </c>
      <c r="N122" s="60">
        <v>0</v>
      </c>
      <c r="O122" s="60">
        <v>50000</v>
      </c>
      <c r="P122" s="61">
        <v>0.95</v>
      </c>
      <c r="Q122" s="57" t="s">
        <v>354</v>
      </c>
      <c r="R122" s="60">
        <v>47500</v>
      </c>
      <c r="S122" s="60">
        <v>50000</v>
      </c>
      <c r="T122" s="61">
        <v>1</v>
      </c>
      <c r="U122" s="57" t="s">
        <v>354</v>
      </c>
      <c r="V122" s="60">
        <v>50000</v>
      </c>
      <c r="W122" s="57" t="s">
        <v>246</v>
      </c>
      <c r="X122" s="60">
        <v>97500</v>
      </c>
      <c r="Y122" s="57"/>
    </row>
    <row r="123" spans="1:25" x14ac:dyDescent="0.25">
      <c r="A123" s="57" t="s">
        <v>348</v>
      </c>
      <c r="B123" s="57" t="s">
        <v>233</v>
      </c>
      <c r="C123" s="57" t="s">
        <v>132</v>
      </c>
      <c r="D123" s="57" t="s">
        <v>241</v>
      </c>
      <c r="E123" s="57" t="s">
        <v>338</v>
      </c>
      <c r="F123" s="60">
        <v>250000</v>
      </c>
      <c r="G123" s="61">
        <v>0.77994545454545472</v>
      </c>
      <c r="H123" s="57" t="s">
        <v>354</v>
      </c>
      <c r="I123" s="61">
        <v>1</v>
      </c>
      <c r="J123" s="57" t="s">
        <v>354</v>
      </c>
      <c r="K123" s="60">
        <v>150000</v>
      </c>
      <c r="L123" s="61">
        <v>0.57589999999999997</v>
      </c>
      <c r="M123" s="57" t="s">
        <v>355</v>
      </c>
      <c r="N123" s="60">
        <v>86385</v>
      </c>
      <c r="O123" s="60">
        <v>50000</v>
      </c>
      <c r="P123" s="61">
        <v>0.95</v>
      </c>
      <c r="Q123" s="57" t="s">
        <v>354</v>
      </c>
      <c r="R123" s="60">
        <v>47500</v>
      </c>
      <c r="S123" s="60">
        <v>50000</v>
      </c>
      <c r="T123" s="61">
        <v>1</v>
      </c>
      <c r="U123" s="57" t="s">
        <v>354</v>
      </c>
      <c r="V123" s="60">
        <v>50000</v>
      </c>
      <c r="W123" s="57" t="s">
        <v>246</v>
      </c>
      <c r="X123" s="60">
        <v>183885</v>
      </c>
      <c r="Y123" s="57"/>
    </row>
    <row r="124" spans="1:25" x14ac:dyDescent="0.25">
      <c r="A124" s="57" t="s">
        <v>348</v>
      </c>
      <c r="B124" s="57" t="s">
        <v>233</v>
      </c>
      <c r="C124" s="57" t="s">
        <v>133</v>
      </c>
      <c r="D124" s="57" t="s">
        <v>241</v>
      </c>
      <c r="E124" s="57" t="s">
        <v>338</v>
      </c>
      <c r="F124" s="60">
        <v>250000</v>
      </c>
      <c r="G124" s="61">
        <v>0.80043636363636361</v>
      </c>
      <c r="H124" s="57" t="s">
        <v>354</v>
      </c>
      <c r="I124" s="61">
        <v>1</v>
      </c>
      <c r="J124" s="57" t="s">
        <v>354</v>
      </c>
      <c r="K124" s="60">
        <v>150000</v>
      </c>
      <c r="L124" s="61">
        <v>0.53599999999999992</v>
      </c>
      <c r="M124" s="57" t="s">
        <v>355</v>
      </c>
      <c r="N124" s="60">
        <v>80399.999999999985</v>
      </c>
      <c r="O124" s="60">
        <v>50000</v>
      </c>
      <c r="P124" s="61">
        <v>0.95</v>
      </c>
      <c r="Q124" s="57" t="s">
        <v>354</v>
      </c>
      <c r="R124" s="60">
        <v>47500</v>
      </c>
      <c r="S124" s="60">
        <v>50000</v>
      </c>
      <c r="T124" s="61">
        <v>1</v>
      </c>
      <c r="U124" s="57" t="s">
        <v>354</v>
      </c>
      <c r="V124" s="60">
        <v>50000</v>
      </c>
      <c r="W124" s="57" t="s">
        <v>246</v>
      </c>
      <c r="X124" s="60">
        <v>177900</v>
      </c>
      <c r="Y124" s="57"/>
    </row>
    <row r="125" spans="1:25" x14ac:dyDescent="0.25">
      <c r="A125" s="57" t="s">
        <v>348</v>
      </c>
      <c r="B125" s="57" t="s">
        <v>233</v>
      </c>
      <c r="C125" s="57" t="s">
        <v>134</v>
      </c>
      <c r="D125" s="57" t="s">
        <v>241</v>
      </c>
      <c r="E125" s="57" t="s">
        <v>338</v>
      </c>
      <c r="F125" s="60">
        <v>250000</v>
      </c>
      <c r="G125" s="61">
        <v>0.762709090909091</v>
      </c>
      <c r="H125" s="57" t="s">
        <v>354</v>
      </c>
      <c r="I125" s="61">
        <v>1</v>
      </c>
      <c r="J125" s="57" t="s">
        <v>354</v>
      </c>
      <c r="K125" s="60">
        <v>150000</v>
      </c>
      <c r="L125" s="61">
        <v>0.51129999999999998</v>
      </c>
      <c r="M125" s="57" t="s">
        <v>355</v>
      </c>
      <c r="N125" s="60">
        <v>76695</v>
      </c>
      <c r="O125" s="60">
        <v>50000</v>
      </c>
      <c r="P125" s="61">
        <v>0.95</v>
      </c>
      <c r="Q125" s="57" t="s">
        <v>354</v>
      </c>
      <c r="R125" s="60">
        <v>47500</v>
      </c>
      <c r="S125" s="60">
        <v>50000</v>
      </c>
      <c r="T125" s="61">
        <v>1</v>
      </c>
      <c r="U125" s="57" t="s">
        <v>354</v>
      </c>
      <c r="V125" s="60">
        <v>50000</v>
      </c>
      <c r="W125" s="57" t="s">
        <v>246</v>
      </c>
      <c r="X125" s="60">
        <v>174195</v>
      </c>
      <c r="Y125" s="57"/>
    </row>
    <row r="126" spans="1:25" x14ac:dyDescent="0.25">
      <c r="A126" s="57" t="s">
        <v>348</v>
      </c>
      <c r="B126" s="57" t="s">
        <v>233</v>
      </c>
      <c r="C126" s="57" t="s">
        <v>135</v>
      </c>
      <c r="D126" s="57" t="s">
        <v>241</v>
      </c>
      <c r="E126" s="57" t="s">
        <v>338</v>
      </c>
      <c r="F126" s="60">
        <v>250000</v>
      </c>
      <c r="G126" s="61">
        <v>0.76290909090909098</v>
      </c>
      <c r="H126" s="57" t="s">
        <v>354</v>
      </c>
      <c r="I126" s="61">
        <v>0.77777777777777779</v>
      </c>
      <c r="J126" s="57" t="s">
        <v>354</v>
      </c>
      <c r="K126" s="60">
        <v>150000</v>
      </c>
      <c r="L126" s="61">
        <v>0.42280000000000006</v>
      </c>
      <c r="M126" s="57" t="s">
        <v>355</v>
      </c>
      <c r="N126" s="60">
        <v>0</v>
      </c>
      <c r="O126" s="60">
        <v>50000</v>
      </c>
      <c r="P126" s="61">
        <v>0.95</v>
      </c>
      <c r="Q126" s="57" t="s">
        <v>354</v>
      </c>
      <c r="R126" s="60">
        <v>47500</v>
      </c>
      <c r="S126" s="60">
        <v>50000</v>
      </c>
      <c r="T126" s="61">
        <v>0.99</v>
      </c>
      <c r="U126" s="57" t="s">
        <v>355</v>
      </c>
      <c r="V126" s="60">
        <v>49500</v>
      </c>
      <c r="W126" s="57" t="s">
        <v>246</v>
      </c>
      <c r="X126" s="60">
        <v>97000</v>
      </c>
      <c r="Y126" s="57"/>
    </row>
    <row r="127" spans="1:25" x14ac:dyDescent="0.25">
      <c r="A127" s="57" t="s">
        <v>348</v>
      </c>
      <c r="B127" s="57" t="s">
        <v>233</v>
      </c>
      <c r="C127" s="57" t="s">
        <v>136</v>
      </c>
      <c r="D127" s="57" t="s">
        <v>241</v>
      </c>
      <c r="E127" s="57" t="s">
        <v>338</v>
      </c>
      <c r="F127" s="60">
        <v>250000</v>
      </c>
      <c r="G127" s="61">
        <v>0.85074545454545458</v>
      </c>
      <c r="H127" s="57" t="s">
        <v>354</v>
      </c>
      <c r="I127" s="61">
        <v>1</v>
      </c>
      <c r="J127" s="57" t="s">
        <v>354</v>
      </c>
      <c r="K127" s="60">
        <v>150000</v>
      </c>
      <c r="L127" s="61">
        <v>0.74256666666666671</v>
      </c>
      <c r="M127" s="57" t="s">
        <v>355</v>
      </c>
      <c r="N127" s="60">
        <v>111385</v>
      </c>
      <c r="O127" s="60">
        <v>50000</v>
      </c>
      <c r="P127" s="61">
        <v>0.95</v>
      </c>
      <c r="Q127" s="57" t="s">
        <v>354</v>
      </c>
      <c r="R127" s="60">
        <v>47500</v>
      </c>
      <c r="S127" s="60">
        <v>50000</v>
      </c>
      <c r="T127" s="61">
        <v>1</v>
      </c>
      <c r="U127" s="57" t="s">
        <v>354</v>
      </c>
      <c r="V127" s="60">
        <v>50000</v>
      </c>
      <c r="W127" s="57" t="s">
        <v>246</v>
      </c>
      <c r="X127" s="60">
        <v>208885</v>
      </c>
      <c r="Y127" s="57"/>
    </row>
    <row r="128" spans="1:25" x14ac:dyDescent="0.25">
      <c r="A128" s="57" t="s">
        <v>348</v>
      </c>
      <c r="B128" s="57" t="s">
        <v>233</v>
      </c>
      <c r="C128" s="57" t="s">
        <v>137</v>
      </c>
      <c r="D128" s="57" t="s">
        <v>241</v>
      </c>
      <c r="E128" s="57" t="s">
        <v>338</v>
      </c>
      <c r="F128" s="60">
        <v>250000</v>
      </c>
      <c r="G128" s="61">
        <v>0.80537272727272724</v>
      </c>
      <c r="H128" s="57" t="s">
        <v>354</v>
      </c>
      <c r="I128" s="61">
        <v>1</v>
      </c>
      <c r="J128" s="57" t="s">
        <v>354</v>
      </c>
      <c r="K128" s="60">
        <v>150000</v>
      </c>
      <c r="L128" s="61">
        <v>0.58450000000000002</v>
      </c>
      <c r="M128" s="57" t="s">
        <v>355</v>
      </c>
      <c r="N128" s="60">
        <v>87675</v>
      </c>
      <c r="O128" s="60">
        <v>50000</v>
      </c>
      <c r="P128" s="61">
        <v>0.95</v>
      </c>
      <c r="Q128" s="57" t="s">
        <v>354</v>
      </c>
      <c r="R128" s="60">
        <v>47500</v>
      </c>
      <c r="S128" s="60">
        <v>50000</v>
      </c>
      <c r="T128" s="61">
        <v>1</v>
      </c>
      <c r="U128" s="57" t="s">
        <v>354</v>
      </c>
      <c r="V128" s="60">
        <v>50000</v>
      </c>
      <c r="W128" s="57" t="s">
        <v>246</v>
      </c>
      <c r="X128" s="60">
        <v>185175</v>
      </c>
      <c r="Y128" s="57"/>
    </row>
    <row r="129" spans="1:25" x14ac:dyDescent="0.25">
      <c r="A129" s="57" t="s">
        <v>348</v>
      </c>
      <c r="B129" s="57" t="s">
        <v>233</v>
      </c>
      <c r="C129" s="57" t="s">
        <v>138</v>
      </c>
      <c r="D129" s="57" t="s">
        <v>241</v>
      </c>
      <c r="E129" s="57" t="s">
        <v>338</v>
      </c>
      <c r="F129" s="60">
        <v>250000</v>
      </c>
      <c r="G129" s="61">
        <v>0.91861818181818178</v>
      </c>
      <c r="H129" s="57" t="s">
        <v>354</v>
      </c>
      <c r="I129" s="61">
        <v>0.95</v>
      </c>
      <c r="J129" s="57" t="s">
        <v>354</v>
      </c>
      <c r="K129" s="60">
        <v>150000</v>
      </c>
      <c r="L129" s="61">
        <v>0.9345</v>
      </c>
      <c r="M129" s="57" t="s">
        <v>354</v>
      </c>
      <c r="N129" s="60">
        <v>135000</v>
      </c>
      <c r="O129" s="60">
        <v>50000</v>
      </c>
      <c r="P129" s="61">
        <v>0.95</v>
      </c>
      <c r="Q129" s="57" t="s">
        <v>354</v>
      </c>
      <c r="R129" s="60">
        <v>47500</v>
      </c>
      <c r="S129" s="60">
        <v>50000</v>
      </c>
      <c r="T129" s="61">
        <v>1</v>
      </c>
      <c r="U129" s="57" t="s">
        <v>354</v>
      </c>
      <c r="V129" s="60">
        <v>50000</v>
      </c>
      <c r="W129" s="57" t="s">
        <v>246</v>
      </c>
      <c r="X129" s="60">
        <v>232500</v>
      </c>
      <c r="Y129" s="57"/>
    </row>
    <row r="130" spans="1:25" x14ac:dyDescent="0.25">
      <c r="A130" s="57" t="s">
        <v>348</v>
      </c>
      <c r="B130" s="57" t="s">
        <v>233</v>
      </c>
      <c r="C130" s="57" t="s">
        <v>139</v>
      </c>
      <c r="D130" s="57" t="s">
        <v>241</v>
      </c>
      <c r="E130" s="57" t="s">
        <v>338</v>
      </c>
      <c r="F130" s="60">
        <v>250000</v>
      </c>
      <c r="G130" s="61">
        <v>0.79864545454545455</v>
      </c>
      <c r="H130" s="57" t="s">
        <v>354</v>
      </c>
      <c r="I130" s="61">
        <v>0.95652173913043481</v>
      </c>
      <c r="J130" s="57" t="s">
        <v>354</v>
      </c>
      <c r="K130" s="60">
        <v>150000</v>
      </c>
      <c r="L130" s="61">
        <v>0.53230000000000011</v>
      </c>
      <c r="M130" s="57" t="s">
        <v>355</v>
      </c>
      <c r="N130" s="60">
        <v>79845.000000000015</v>
      </c>
      <c r="O130" s="60">
        <v>50000</v>
      </c>
      <c r="P130" s="61">
        <v>0.95</v>
      </c>
      <c r="Q130" s="57" t="s">
        <v>354</v>
      </c>
      <c r="R130" s="60">
        <v>47500</v>
      </c>
      <c r="S130" s="60">
        <v>50000</v>
      </c>
      <c r="T130" s="61">
        <v>1</v>
      </c>
      <c r="U130" s="57" t="s">
        <v>354</v>
      </c>
      <c r="V130" s="60">
        <v>50000</v>
      </c>
      <c r="W130" s="57" t="s">
        <v>246</v>
      </c>
      <c r="X130" s="60">
        <v>177345</v>
      </c>
      <c r="Y130" s="57"/>
    </row>
    <row r="131" spans="1:25" x14ac:dyDescent="0.25">
      <c r="A131" s="57" t="s">
        <v>348</v>
      </c>
      <c r="B131" s="57" t="s">
        <v>233</v>
      </c>
      <c r="C131" s="57" t="s">
        <v>140</v>
      </c>
      <c r="D131" s="57" t="s">
        <v>241</v>
      </c>
      <c r="E131" s="57" t="s">
        <v>338</v>
      </c>
      <c r="F131" s="60">
        <v>250000</v>
      </c>
      <c r="G131" s="61">
        <v>0.7474727272727274</v>
      </c>
      <c r="H131" s="57" t="s">
        <v>354</v>
      </c>
      <c r="I131" s="61">
        <v>0.9375</v>
      </c>
      <c r="J131" s="57" t="s">
        <v>354</v>
      </c>
      <c r="K131" s="60">
        <v>150000</v>
      </c>
      <c r="L131" s="61">
        <v>0.50306666666666666</v>
      </c>
      <c r="M131" s="57" t="s">
        <v>355</v>
      </c>
      <c r="N131" s="60">
        <v>75460</v>
      </c>
      <c r="O131" s="60">
        <v>50000</v>
      </c>
      <c r="P131" s="61">
        <v>0.95</v>
      </c>
      <c r="Q131" s="57" t="s">
        <v>354</v>
      </c>
      <c r="R131" s="60">
        <v>47500</v>
      </c>
      <c r="S131" s="60">
        <v>50000</v>
      </c>
      <c r="T131" s="61">
        <v>0.9899</v>
      </c>
      <c r="U131" s="57" t="s">
        <v>355</v>
      </c>
      <c r="V131" s="60">
        <v>0</v>
      </c>
      <c r="W131" s="57" t="s">
        <v>246</v>
      </c>
      <c r="X131" s="60">
        <v>122960</v>
      </c>
      <c r="Y131" s="57"/>
    </row>
    <row r="132" spans="1:25" x14ac:dyDescent="0.25">
      <c r="A132" s="57" t="s">
        <v>348</v>
      </c>
      <c r="B132" s="57" t="s">
        <v>233</v>
      </c>
      <c r="C132" s="57" t="s">
        <v>141</v>
      </c>
      <c r="D132" s="57" t="s">
        <v>241</v>
      </c>
      <c r="E132" s="57" t="s">
        <v>338</v>
      </c>
      <c r="F132" s="60">
        <v>250000</v>
      </c>
      <c r="G132" s="61">
        <v>0.87151818181818186</v>
      </c>
      <c r="H132" s="57" t="s">
        <v>354</v>
      </c>
      <c r="I132" s="61">
        <v>1</v>
      </c>
      <c r="J132" s="57" t="s">
        <v>354</v>
      </c>
      <c r="K132" s="60">
        <v>150000</v>
      </c>
      <c r="L132" s="61">
        <v>0.95853333333333335</v>
      </c>
      <c r="M132" s="57" t="s">
        <v>354</v>
      </c>
      <c r="N132" s="60">
        <v>0</v>
      </c>
      <c r="O132" s="60">
        <v>50000</v>
      </c>
      <c r="P132" s="61">
        <v>0.95</v>
      </c>
      <c r="Q132" s="57" t="s">
        <v>354</v>
      </c>
      <c r="R132" s="60">
        <v>47500</v>
      </c>
      <c r="S132" s="60">
        <v>50000</v>
      </c>
      <c r="T132" s="61">
        <v>1</v>
      </c>
      <c r="U132" s="57" t="s">
        <v>354</v>
      </c>
      <c r="V132" s="60">
        <v>50000</v>
      </c>
      <c r="W132" s="57" t="s">
        <v>246</v>
      </c>
      <c r="X132" s="60">
        <v>97500</v>
      </c>
      <c r="Y132" s="57"/>
    </row>
    <row r="133" spans="1:25" x14ac:dyDescent="0.25">
      <c r="A133" s="57" t="s">
        <v>348</v>
      </c>
      <c r="B133" s="57" t="s">
        <v>240</v>
      </c>
      <c r="C133" s="57" t="s">
        <v>142</v>
      </c>
      <c r="D133" s="57" t="s">
        <v>243</v>
      </c>
      <c r="E133" s="57" t="s">
        <v>344</v>
      </c>
      <c r="F133" s="60">
        <v>250000</v>
      </c>
      <c r="G133" s="61">
        <v>0.81480909090909104</v>
      </c>
      <c r="H133" s="57" t="s">
        <v>354</v>
      </c>
      <c r="I133" s="61">
        <v>1</v>
      </c>
      <c r="J133" s="57" t="s">
        <v>354</v>
      </c>
      <c r="K133" s="60">
        <v>150000</v>
      </c>
      <c r="L133" s="61">
        <v>0.53613333333333335</v>
      </c>
      <c r="M133" s="57" t="s">
        <v>355</v>
      </c>
      <c r="N133" s="60">
        <v>80420</v>
      </c>
      <c r="O133" s="60">
        <v>50000</v>
      </c>
      <c r="P133" s="61">
        <v>0.95</v>
      </c>
      <c r="Q133" s="57" t="s">
        <v>354</v>
      </c>
      <c r="R133" s="60">
        <v>47500</v>
      </c>
      <c r="S133" s="60">
        <v>50000</v>
      </c>
      <c r="T133" s="61">
        <v>0.5</v>
      </c>
      <c r="U133" s="57" t="s">
        <v>355</v>
      </c>
      <c r="V133" s="60">
        <v>0</v>
      </c>
      <c r="W133" s="57" t="s">
        <v>246</v>
      </c>
      <c r="X133" s="60">
        <v>127920</v>
      </c>
      <c r="Y133" s="57"/>
    </row>
    <row r="134" spans="1:25" x14ac:dyDescent="0.25">
      <c r="A134" s="57" t="s">
        <v>348</v>
      </c>
      <c r="B134" s="57" t="s">
        <v>240</v>
      </c>
      <c r="C134" s="57" t="s">
        <v>143</v>
      </c>
      <c r="D134" s="57" t="s">
        <v>243</v>
      </c>
      <c r="E134" s="57" t="s">
        <v>344</v>
      </c>
      <c r="F134" s="60">
        <v>250000</v>
      </c>
      <c r="G134" s="61">
        <v>0.75973636363636354</v>
      </c>
      <c r="H134" s="57" t="s">
        <v>354</v>
      </c>
      <c r="I134" s="61">
        <v>1</v>
      </c>
      <c r="J134" s="57" t="s">
        <v>354</v>
      </c>
      <c r="K134" s="60">
        <v>150000</v>
      </c>
      <c r="L134" s="61">
        <v>0.70236666666666669</v>
      </c>
      <c r="M134" s="57" t="s">
        <v>355</v>
      </c>
      <c r="N134" s="60">
        <v>105355</v>
      </c>
      <c r="O134" s="60">
        <v>50000</v>
      </c>
      <c r="P134" s="61">
        <v>0.95</v>
      </c>
      <c r="Q134" s="57" t="s">
        <v>354</v>
      </c>
      <c r="R134" s="60">
        <v>47500</v>
      </c>
      <c r="S134" s="60">
        <v>50000</v>
      </c>
      <c r="T134" s="61">
        <v>1</v>
      </c>
      <c r="U134" s="57" t="s">
        <v>354</v>
      </c>
      <c r="V134" s="60">
        <v>50000</v>
      </c>
      <c r="W134" s="57" t="s">
        <v>246</v>
      </c>
      <c r="X134" s="60">
        <v>202855</v>
      </c>
      <c r="Y134" s="57"/>
    </row>
    <row r="135" spans="1:25" x14ac:dyDescent="0.25">
      <c r="A135" s="57" t="s">
        <v>348</v>
      </c>
      <c r="B135" s="57" t="s">
        <v>240</v>
      </c>
      <c r="C135" s="57" t="s">
        <v>144</v>
      </c>
      <c r="D135" s="57" t="s">
        <v>243</v>
      </c>
      <c r="E135" s="57" t="s">
        <v>344</v>
      </c>
      <c r="F135" s="60">
        <v>250000</v>
      </c>
      <c r="G135" s="61">
        <v>0.76018181818181818</v>
      </c>
      <c r="H135" s="57" t="s">
        <v>354</v>
      </c>
      <c r="I135" s="61">
        <v>1</v>
      </c>
      <c r="J135" s="57" t="s">
        <v>354</v>
      </c>
      <c r="K135" s="60">
        <v>150000</v>
      </c>
      <c r="L135" s="61">
        <v>0.58906666666666674</v>
      </c>
      <c r="M135" s="57" t="s">
        <v>355</v>
      </c>
      <c r="N135" s="60">
        <v>88360.000000000015</v>
      </c>
      <c r="O135" s="60">
        <v>50000</v>
      </c>
      <c r="P135" s="61">
        <v>0.95</v>
      </c>
      <c r="Q135" s="57" t="s">
        <v>354</v>
      </c>
      <c r="R135" s="60">
        <v>47500</v>
      </c>
      <c r="S135" s="60">
        <v>50000</v>
      </c>
      <c r="T135" s="61">
        <v>1</v>
      </c>
      <c r="U135" s="57" t="s">
        <v>354</v>
      </c>
      <c r="V135" s="60">
        <v>50000</v>
      </c>
      <c r="W135" s="57" t="s">
        <v>246</v>
      </c>
      <c r="X135" s="60">
        <v>185860</v>
      </c>
      <c r="Y135" s="57"/>
    </row>
    <row r="136" spans="1:25" x14ac:dyDescent="0.25">
      <c r="A136" s="57" t="s">
        <v>348</v>
      </c>
      <c r="B136" s="57" t="s">
        <v>240</v>
      </c>
      <c r="C136" s="57" t="s">
        <v>145</v>
      </c>
      <c r="D136" s="57" t="s">
        <v>243</v>
      </c>
      <c r="E136" s="57" t="s">
        <v>344</v>
      </c>
      <c r="F136" s="60">
        <v>250000</v>
      </c>
      <c r="G136" s="61">
        <v>0.78149999999999986</v>
      </c>
      <c r="H136" s="57" t="s">
        <v>354</v>
      </c>
      <c r="I136" s="61">
        <v>1</v>
      </c>
      <c r="J136" s="57" t="s">
        <v>354</v>
      </c>
      <c r="K136" s="60">
        <v>150000</v>
      </c>
      <c r="L136" s="61">
        <v>0.71519999999999995</v>
      </c>
      <c r="M136" s="57" t="s">
        <v>355</v>
      </c>
      <c r="N136" s="60">
        <v>107279.99999999999</v>
      </c>
      <c r="O136" s="60">
        <v>50000</v>
      </c>
      <c r="P136" s="61">
        <v>0.95</v>
      </c>
      <c r="Q136" s="57" t="s">
        <v>354</v>
      </c>
      <c r="R136" s="60">
        <v>47500</v>
      </c>
      <c r="S136" s="60">
        <v>50000</v>
      </c>
      <c r="T136" s="61">
        <v>0.5</v>
      </c>
      <c r="U136" s="57" t="s">
        <v>355</v>
      </c>
      <c r="V136" s="60">
        <v>0</v>
      </c>
      <c r="W136" s="57" t="s">
        <v>246</v>
      </c>
      <c r="X136" s="60">
        <v>154780</v>
      </c>
      <c r="Y136" s="57"/>
    </row>
    <row r="137" spans="1:25" x14ac:dyDescent="0.25">
      <c r="A137" s="57" t="s">
        <v>348</v>
      </c>
      <c r="B137" s="57" t="s">
        <v>240</v>
      </c>
      <c r="C137" s="57" t="s">
        <v>146</v>
      </c>
      <c r="D137" s="57" t="s">
        <v>243</v>
      </c>
      <c r="E137" s="57" t="s">
        <v>344</v>
      </c>
      <c r="F137" s="60">
        <v>250000</v>
      </c>
      <c r="G137" s="61">
        <v>0.76564545454545463</v>
      </c>
      <c r="H137" s="57" t="s">
        <v>354</v>
      </c>
      <c r="I137" s="61">
        <v>1</v>
      </c>
      <c r="J137" s="57" t="s">
        <v>354</v>
      </c>
      <c r="K137" s="60">
        <v>150000</v>
      </c>
      <c r="L137" s="61">
        <v>0.40506666666666669</v>
      </c>
      <c r="M137" s="57" t="s">
        <v>355</v>
      </c>
      <c r="N137" s="60">
        <v>0</v>
      </c>
      <c r="O137" s="60">
        <v>50000</v>
      </c>
      <c r="P137" s="61">
        <v>0.95</v>
      </c>
      <c r="Q137" s="57" t="s">
        <v>354</v>
      </c>
      <c r="R137" s="60">
        <v>47500</v>
      </c>
      <c r="S137" s="60">
        <v>50000</v>
      </c>
      <c r="T137" s="61">
        <v>0.98440000000000005</v>
      </c>
      <c r="U137" s="57" t="s">
        <v>355</v>
      </c>
      <c r="V137" s="60">
        <v>0</v>
      </c>
      <c r="W137" s="57" t="s">
        <v>246</v>
      </c>
      <c r="X137" s="60">
        <v>47500</v>
      </c>
      <c r="Y137" s="57"/>
    </row>
    <row r="138" spans="1:25" x14ac:dyDescent="0.25">
      <c r="A138" s="57" t="s">
        <v>348</v>
      </c>
      <c r="B138" s="57" t="s">
        <v>240</v>
      </c>
      <c r="C138" s="57" t="s">
        <v>147</v>
      </c>
      <c r="D138" s="57" t="s">
        <v>243</v>
      </c>
      <c r="E138" s="57" t="s">
        <v>344</v>
      </c>
      <c r="F138" s="60">
        <v>250000</v>
      </c>
      <c r="G138" s="61">
        <v>0.7487818181818181</v>
      </c>
      <c r="H138" s="57" t="s">
        <v>354</v>
      </c>
      <c r="I138" s="61">
        <v>1</v>
      </c>
      <c r="J138" s="57" t="s">
        <v>354</v>
      </c>
      <c r="K138" s="60">
        <v>150000</v>
      </c>
      <c r="L138" s="61">
        <v>0.39303333333333335</v>
      </c>
      <c r="M138" s="57" t="s">
        <v>355</v>
      </c>
      <c r="N138" s="60">
        <v>0</v>
      </c>
      <c r="O138" s="60">
        <v>50000</v>
      </c>
      <c r="P138" s="61">
        <v>0.95</v>
      </c>
      <c r="Q138" s="57" t="s">
        <v>354</v>
      </c>
      <c r="R138" s="60">
        <v>47500</v>
      </c>
      <c r="S138" s="60">
        <v>50000</v>
      </c>
      <c r="T138" s="61">
        <v>0.98680000000000001</v>
      </c>
      <c r="U138" s="57" t="s">
        <v>355</v>
      </c>
      <c r="V138" s="60">
        <v>0</v>
      </c>
      <c r="W138" s="57" t="s">
        <v>246</v>
      </c>
      <c r="X138" s="60">
        <v>47500</v>
      </c>
      <c r="Y138" s="57"/>
    </row>
    <row r="139" spans="1:25" x14ac:dyDescent="0.25">
      <c r="A139" s="57" t="s">
        <v>348</v>
      </c>
      <c r="B139" s="57" t="s">
        <v>240</v>
      </c>
      <c r="C139" s="57" t="s">
        <v>148</v>
      </c>
      <c r="D139" s="57" t="s">
        <v>243</v>
      </c>
      <c r="E139" s="57" t="s">
        <v>344</v>
      </c>
      <c r="F139" s="60">
        <v>250000</v>
      </c>
      <c r="G139" s="61">
        <v>0.76468181818181824</v>
      </c>
      <c r="H139" s="57" t="s">
        <v>354</v>
      </c>
      <c r="I139" s="61">
        <v>0.93333333333333335</v>
      </c>
      <c r="J139" s="57" t="s">
        <v>354</v>
      </c>
      <c r="K139" s="60">
        <v>150000</v>
      </c>
      <c r="L139" s="61">
        <v>0.69589999999999996</v>
      </c>
      <c r="M139" s="57" t="s">
        <v>355</v>
      </c>
      <c r="N139" s="60">
        <v>104385</v>
      </c>
      <c r="O139" s="60">
        <v>50000</v>
      </c>
      <c r="P139" s="61">
        <v>0.95</v>
      </c>
      <c r="Q139" s="57" t="s">
        <v>354</v>
      </c>
      <c r="R139" s="60">
        <v>47500</v>
      </c>
      <c r="S139" s="60">
        <v>50000</v>
      </c>
      <c r="T139" s="61">
        <v>0.49409999999999998</v>
      </c>
      <c r="U139" s="57" t="s">
        <v>355</v>
      </c>
      <c r="V139" s="60">
        <v>0</v>
      </c>
      <c r="W139" s="57" t="s">
        <v>246</v>
      </c>
      <c r="X139" s="60">
        <v>151885</v>
      </c>
      <c r="Y139" s="57"/>
    </row>
    <row r="140" spans="1:25" x14ac:dyDescent="0.25">
      <c r="A140" s="57" t="s">
        <v>348</v>
      </c>
      <c r="B140" s="57" t="s">
        <v>240</v>
      </c>
      <c r="C140" s="57" t="s">
        <v>149</v>
      </c>
      <c r="D140" s="57" t="s">
        <v>243</v>
      </c>
      <c r="E140" s="57" t="s">
        <v>344</v>
      </c>
      <c r="F140" s="60">
        <v>250000</v>
      </c>
      <c r="G140" s="61">
        <v>0.77224545454545457</v>
      </c>
      <c r="H140" s="57" t="s">
        <v>354</v>
      </c>
      <c r="I140" s="61">
        <v>1</v>
      </c>
      <c r="J140" s="57" t="s">
        <v>354</v>
      </c>
      <c r="K140" s="60">
        <v>150000</v>
      </c>
      <c r="L140" s="61">
        <v>0.66220000000000001</v>
      </c>
      <c r="M140" s="57" t="s">
        <v>355</v>
      </c>
      <c r="N140" s="60">
        <v>99330</v>
      </c>
      <c r="O140" s="60">
        <v>50000</v>
      </c>
      <c r="P140" s="61">
        <v>0.95</v>
      </c>
      <c r="Q140" s="57" t="s">
        <v>354</v>
      </c>
      <c r="R140" s="60">
        <v>47500</v>
      </c>
      <c r="S140" s="60">
        <v>50000</v>
      </c>
      <c r="T140" s="61">
        <v>0.5</v>
      </c>
      <c r="U140" s="57" t="s">
        <v>355</v>
      </c>
      <c r="V140" s="60">
        <v>0</v>
      </c>
      <c r="W140" s="57" t="s">
        <v>246</v>
      </c>
      <c r="X140" s="60">
        <v>146830</v>
      </c>
      <c r="Y140" s="57"/>
    </row>
    <row r="141" spans="1:25" x14ac:dyDescent="0.25">
      <c r="A141" s="57" t="s">
        <v>348</v>
      </c>
      <c r="B141" s="57" t="s">
        <v>240</v>
      </c>
      <c r="C141" s="57" t="s">
        <v>150</v>
      </c>
      <c r="D141" s="57" t="s">
        <v>243</v>
      </c>
      <c r="E141" s="57" t="s">
        <v>344</v>
      </c>
      <c r="F141" s="60">
        <v>250000</v>
      </c>
      <c r="G141" s="61">
        <v>0.77765454545454549</v>
      </c>
      <c r="H141" s="57" t="s">
        <v>354</v>
      </c>
      <c r="I141" s="61">
        <v>0.90909090909090906</v>
      </c>
      <c r="J141" s="57" t="s">
        <v>354</v>
      </c>
      <c r="K141" s="60">
        <v>150000</v>
      </c>
      <c r="L141" s="61">
        <v>0.58106666666666673</v>
      </c>
      <c r="M141" s="57" t="s">
        <v>355</v>
      </c>
      <c r="N141" s="60">
        <v>87160.000000000015</v>
      </c>
      <c r="O141" s="60">
        <v>50000</v>
      </c>
      <c r="P141" s="61">
        <v>0.95</v>
      </c>
      <c r="Q141" s="57" t="s">
        <v>354</v>
      </c>
      <c r="R141" s="60">
        <v>47500</v>
      </c>
      <c r="S141" s="60">
        <v>50000</v>
      </c>
      <c r="T141" s="61">
        <v>1</v>
      </c>
      <c r="U141" s="57" t="s">
        <v>354</v>
      </c>
      <c r="V141" s="60">
        <v>50000</v>
      </c>
      <c r="W141" s="57" t="s">
        <v>246</v>
      </c>
      <c r="X141" s="60">
        <v>184660</v>
      </c>
      <c r="Y141" s="57"/>
    </row>
    <row r="142" spans="1:25" x14ac:dyDescent="0.25">
      <c r="A142" s="57" t="s">
        <v>348</v>
      </c>
      <c r="B142" s="57" t="s">
        <v>240</v>
      </c>
      <c r="C142" s="57" t="s">
        <v>151</v>
      </c>
      <c r="D142" s="57" t="s">
        <v>243</v>
      </c>
      <c r="E142" s="57" t="s">
        <v>344</v>
      </c>
      <c r="F142" s="60">
        <v>250000</v>
      </c>
      <c r="G142" s="61">
        <v>0.80039999999999989</v>
      </c>
      <c r="H142" s="57" t="s">
        <v>354</v>
      </c>
      <c r="I142" s="61">
        <v>1</v>
      </c>
      <c r="J142" s="57" t="s">
        <v>354</v>
      </c>
      <c r="K142" s="60">
        <v>150000</v>
      </c>
      <c r="L142" s="61">
        <v>0.71376666666666677</v>
      </c>
      <c r="M142" s="57" t="s">
        <v>355</v>
      </c>
      <c r="N142" s="60">
        <v>107065.00000000001</v>
      </c>
      <c r="O142" s="60">
        <v>50000</v>
      </c>
      <c r="P142" s="61">
        <v>0.95</v>
      </c>
      <c r="Q142" s="57" t="s">
        <v>354</v>
      </c>
      <c r="R142" s="60">
        <v>47500</v>
      </c>
      <c r="S142" s="60">
        <v>50000</v>
      </c>
      <c r="T142" s="61">
        <v>0.5</v>
      </c>
      <c r="U142" s="57" t="s">
        <v>355</v>
      </c>
      <c r="V142" s="60">
        <v>0</v>
      </c>
      <c r="W142" s="57" t="s">
        <v>246</v>
      </c>
      <c r="X142" s="60">
        <v>154565</v>
      </c>
      <c r="Y142" s="57"/>
    </row>
    <row r="143" spans="1:25" x14ac:dyDescent="0.25">
      <c r="A143" s="57" t="s">
        <v>348</v>
      </c>
      <c r="B143" s="57" t="s">
        <v>240</v>
      </c>
      <c r="C143" s="57" t="s">
        <v>152</v>
      </c>
      <c r="D143" s="57" t="s">
        <v>243</v>
      </c>
      <c r="E143" s="57" t="s">
        <v>344</v>
      </c>
      <c r="F143" s="60">
        <v>250000</v>
      </c>
      <c r="G143" s="61">
        <v>0.85429999999999995</v>
      </c>
      <c r="H143" s="57" t="s">
        <v>354</v>
      </c>
      <c r="I143" s="61">
        <v>1</v>
      </c>
      <c r="J143" s="57" t="s">
        <v>354</v>
      </c>
      <c r="K143" s="60">
        <v>150000</v>
      </c>
      <c r="L143" s="61">
        <v>0.76056666666666661</v>
      </c>
      <c r="M143" s="57" t="s">
        <v>355</v>
      </c>
      <c r="N143" s="60">
        <v>114084.99999999999</v>
      </c>
      <c r="O143" s="60">
        <v>50000</v>
      </c>
      <c r="P143" s="61">
        <v>0.95</v>
      </c>
      <c r="Q143" s="57" t="s">
        <v>354</v>
      </c>
      <c r="R143" s="60">
        <v>47500</v>
      </c>
      <c r="S143" s="60">
        <v>50000</v>
      </c>
      <c r="T143" s="61">
        <v>0.5</v>
      </c>
      <c r="U143" s="57" t="s">
        <v>355</v>
      </c>
      <c r="V143" s="60">
        <v>0</v>
      </c>
      <c r="W143" s="57" t="s">
        <v>246</v>
      </c>
      <c r="X143" s="60">
        <v>161585</v>
      </c>
      <c r="Y143" s="57"/>
    </row>
    <row r="144" spans="1:25" x14ac:dyDescent="0.25">
      <c r="A144" s="57" t="s">
        <v>348</v>
      </c>
      <c r="B144" s="57" t="s">
        <v>240</v>
      </c>
      <c r="C144" s="57" t="s">
        <v>153</v>
      </c>
      <c r="D144" s="57" t="s">
        <v>243</v>
      </c>
      <c r="E144" s="57" t="s">
        <v>344</v>
      </c>
      <c r="F144" s="60">
        <v>250000</v>
      </c>
      <c r="G144" s="61">
        <v>0.77709090909090905</v>
      </c>
      <c r="H144" s="57" t="s">
        <v>354</v>
      </c>
      <c r="I144" s="61">
        <v>0.9375</v>
      </c>
      <c r="J144" s="57" t="s">
        <v>354</v>
      </c>
      <c r="K144" s="60">
        <v>150000</v>
      </c>
      <c r="L144" s="61">
        <v>0.73396666666666677</v>
      </c>
      <c r="M144" s="57" t="s">
        <v>355</v>
      </c>
      <c r="N144" s="60">
        <v>110095.00000000001</v>
      </c>
      <c r="O144" s="60">
        <v>50000</v>
      </c>
      <c r="P144" s="61">
        <v>0.95</v>
      </c>
      <c r="Q144" s="57" t="s">
        <v>354</v>
      </c>
      <c r="R144" s="60">
        <v>47500</v>
      </c>
      <c r="S144" s="60">
        <v>50000</v>
      </c>
      <c r="T144" s="61">
        <v>0.5</v>
      </c>
      <c r="U144" s="57" t="s">
        <v>355</v>
      </c>
      <c r="V144" s="60">
        <v>0</v>
      </c>
      <c r="W144" s="57" t="s">
        <v>246</v>
      </c>
      <c r="X144" s="60">
        <v>157595</v>
      </c>
      <c r="Y144" s="57"/>
    </row>
    <row r="145" spans="1:25" x14ac:dyDescent="0.25">
      <c r="A145" s="57" t="s">
        <v>348</v>
      </c>
      <c r="B145" s="57" t="s">
        <v>240</v>
      </c>
      <c r="C145" s="57" t="s">
        <v>154</v>
      </c>
      <c r="D145" s="57" t="s">
        <v>243</v>
      </c>
      <c r="E145" s="57" t="s">
        <v>344</v>
      </c>
      <c r="F145" s="60">
        <v>250000</v>
      </c>
      <c r="G145" s="61">
        <v>0.81150000000000011</v>
      </c>
      <c r="H145" s="57" t="s">
        <v>354</v>
      </c>
      <c r="I145" s="61">
        <v>1</v>
      </c>
      <c r="J145" s="57" t="s">
        <v>354</v>
      </c>
      <c r="K145" s="60">
        <v>150000</v>
      </c>
      <c r="L145" s="61">
        <v>0.75490000000000002</v>
      </c>
      <c r="M145" s="57" t="s">
        <v>355</v>
      </c>
      <c r="N145" s="60">
        <v>113235</v>
      </c>
      <c r="O145" s="60">
        <v>50000</v>
      </c>
      <c r="P145" s="61">
        <v>0.95</v>
      </c>
      <c r="Q145" s="57" t="s">
        <v>354</v>
      </c>
      <c r="R145" s="60">
        <v>47500</v>
      </c>
      <c r="S145" s="60">
        <v>50000</v>
      </c>
      <c r="T145" s="61">
        <v>0.5</v>
      </c>
      <c r="U145" s="57" t="s">
        <v>355</v>
      </c>
      <c r="V145" s="60">
        <v>0</v>
      </c>
      <c r="W145" s="57" t="s">
        <v>246</v>
      </c>
      <c r="X145" s="60">
        <v>160735</v>
      </c>
      <c r="Y145" s="57"/>
    </row>
    <row r="146" spans="1:25" x14ac:dyDescent="0.25">
      <c r="A146" s="57" t="s">
        <v>348</v>
      </c>
      <c r="B146" s="57" t="s">
        <v>240</v>
      </c>
      <c r="C146" s="57" t="s">
        <v>155</v>
      </c>
      <c r="D146" s="57" t="s">
        <v>243</v>
      </c>
      <c r="E146" s="57" t="s">
        <v>344</v>
      </c>
      <c r="F146" s="60">
        <v>250000</v>
      </c>
      <c r="G146" s="61">
        <v>0.81819090909090919</v>
      </c>
      <c r="H146" s="57" t="s">
        <v>354</v>
      </c>
      <c r="I146" s="61">
        <v>0.89473684210526316</v>
      </c>
      <c r="J146" s="57" t="s">
        <v>354</v>
      </c>
      <c r="K146" s="60">
        <v>150000</v>
      </c>
      <c r="L146" s="61">
        <v>0.72226666666666661</v>
      </c>
      <c r="M146" s="57" t="s">
        <v>355</v>
      </c>
      <c r="N146" s="60">
        <v>108339.99999999999</v>
      </c>
      <c r="O146" s="60">
        <v>50000</v>
      </c>
      <c r="P146" s="61">
        <v>0.95</v>
      </c>
      <c r="Q146" s="57" t="s">
        <v>354</v>
      </c>
      <c r="R146" s="60">
        <v>47500</v>
      </c>
      <c r="S146" s="60">
        <v>50000</v>
      </c>
      <c r="T146" s="61">
        <v>1</v>
      </c>
      <c r="U146" s="57" t="s">
        <v>354</v>
      </c>
      <c r="V146" s="60">
        <v>50000</v>
      </c>
      <c r="W146" s="57" t="s">
        <v>246</v>
      </c>
      <c r="X146" s="60">
        <v>205840</v>
      </c>
      <c r="Y146" s="57"/>
    </row>
    <row r="147" spans="1:25" x14ac:dyDescent="0.25">
      <c r="A147" s="57" t="s">
        <v>348</v>
      </c>
      <c r="B147" s="57" t="s">
        <v>240</v>
      </c>
      <c r="C147" s="57" t="s">
        <v>156</v>
      </c>
      <c r="D147" s="57" t="s">
        <v>243</v>
      </c>
      <c r="E147" s="57" t="s">
        <v>344</v>
      </c>
      <c r="F147" s="60">
        <v>250000</v>
      </c>
      <c r="G147" s="61">
        <v>0.77070000000000005</v>
      </c>
      <c r="H147" s="57" t="s">
        <v>354</v>
      </c>
      <c r="I147" s="61">
        <v>0.83333333333333337</v>
      </c>
      <c r="J147" s="57" t="s">
        <v>354</v>
      </c>
      <c r="K147" s="60">
        <v>150000</v>
      </c>
      <c r="L147" s="61">
        <v>0.6303333333333333</v>
      </c>
      <c r="M147" s="57" t="s">
        <v>355</v>
      </c>
      <c r="N147" s="60">
        <v>94550</v>
      </c>
      <c r="O147" s="60">
        <v>50000</v>
      </c>
      <c r="P147" s="61">
        <v>0.95</v>
      </c>
      <c r="Q147" s="57" t="s">
        <v>354</v>
      </c>
      <c r="R147" s="60">
        <v>47500</v>
      </c>
      <c r="S147" s="60">
        <v>50000</v>
      </c>
      <c r="T147" s="61">
        <v>0.5</v>
      </c>
      <c r="U147" s="57" t="s">
        <v>355</v>
      </c>
      <c r="V147" s="60">
        <v>0</v>
      </c>
      <c r="W147" s="57" t="s">
        <v>246</v>
      </c>
      <c r="X147" s="60">
        <v>142050</v>
      </c>
      <c r="Y147" s="57"/>
    </row>
    <row r="148" spans="1:25" x14ac:dyDescent="0.25">
      <c r="A148" s="57" t="s">
        <v>348</v>
      </c>
      <c r="B148" s="57" t="s">
        <v>240</v>
      </c>
      <c r="C148" s="57" t="s">
        <v>157</v>
      </c>
      <c r="D148" s="57" t="s">
        <v>243</v>
      </c>
      <c r="E148" s="57" t="s">
        <v>344</v>
      </c>
      <c r="F148" s="60">
        <v>250000</v>
      </c>
      <c r="G148" s="61">
        <v>0.776590909090909</v>
      </c>
      <c r="H148" s="57" t="s">
        <v>354</v>
      </c>
      <c r="I148" s="61">
        <v>1</v>
      </c>
      <c r="J148" s="57" t="s">
        <v>354</v>
      </c>
      <c r="K148" s="60">
        <v>150000</v>
      </c>
      <c r="L148" s="61">
        <v>0.67166666666666652</v>
      </c>
      <c r="M148" s="57" t="s">
        <v>355</v>
      </c>
      <c r="N148" s="60">
        <v>100749.99999999999</v>
      </c>
      <c r="O148" s="60">
        <v>50000</v>
      </c>
      <c r="P148" s="61">
        <v>0.95</v>
      </c>
      <c r="Q148" s="57" t="s">
        <v>354</v>
      </c>
      <c r="R148" s="60">
        <v>47500</v>
      </c>
      <c r="S148" s="60">
        <v>50000</v>
      </c>
      <c r="T148" s="61">
        <v>0.99399999999999999</v>
      </c>
      <c r="U148" s="57" t="s">
        <v>355</v>
      </c>
      <c r="V148" s="60">
        <v>0</v>
      </c>
      <c r="W148" s="57" t="s">
        <v>246</v>
      </c>
      <c r="X148" s="60">
        <v>148250</v>
      </c>
      <c r="Y148" s="57"/>
    </row>
    <row r="149" spans="1:25" x14ac:dyDescent="0.25">
      <c r="A149" s="57" t="s">
        <v>348</v>
      </c>
      <c r="B149" s="57" t="s">
        <v>240</v>
      </c>
      <c r="C149" s="57" t="s">
        <v>158</v>
      </c>
      <c r="D149" s="57" t="s">
        <v>243</v>
      </c>
      <c r="E149" s="57" t="s">
        <v>344</v>
      </c>
      <c r="F149" s="60">
        <v>250000</v>
      </c>
      <c r="G149" s="61">
        <v>0.77338181818181806</v>
      </c>
      <c r="H149" s="57" t="s">
        <v>354</v>
      </c>
      <c r="I149" s="61">
        <v>1</v>
      </c>
      <c r="J149" s="57" t="s">
        <v>354</v>
      </c>
      <c r="K149" s="60">
        <v>150000</v>
      </c>
      <c r="L149" s="61">
        <v>0.60483333333333333</v>
      </c>
      <c r="M149" s="57" t="s">
        <v>355</v>
      </c>
      <c r="N149" s="60">
        <v>90725</v>
      </c>
      <c r="O149" s="60">
        <v>50000</v>
      </c>
      <c r="P149" s="61">
        <v>0.95</v>
      </c>
      <c r="Q149" s="57" t="s">
        <v>354</v>
      </c>
      <c r="R149" s="60">
        <v>47500</v>
      </c>
      <c r="S149" s="60">
        <v>50000</v>
      </c>
      <c r="T149" s="61">
        <v>1</v>
      </c>
      <c r="U149" s="57" t="s">
        <v>354</v>
      </c>
      <c r="V149" s="60">
        <v>50000</v>
      </c>
      <c r="W149" s="57" t="s">
        <v>246</v>
      </c>
      <c r="X149" s="60">
        <v>188225</v>
      </c>
      <c r="Y149" s="57"/>
    </row>
    <row r="150" spans="1:25" x14ac:dyDescent="0.25">
      <c r="A150" s="57" t="s">
        <v>348</v>
      </c>
      <c r="B150" s="57" t="s">
        <v>239</v>
      </c>
      <c r="C150" s="57" t="s">
        <v>159</v>
      </c>
      <c r="D150" s="57" t="s">
        <v>243</v>
      </c>
      <c r="E150" s="57" t="s">
        <v>345</v>
      </c>
      <c r="F150" s="60">
        <v>250000</v>
      </c>
      <c r="G150" s="61">
        <v>0.8475454545454546</v>
      </c>
      <c r="H150" s="57" t="s">
        <v>354</v>
      </c>
      <c r="I150" s="61">
        <v>1</v>
      </c>
      <c r="J150" s="57" t="s">
        <v>354</v>
      </c>
      <c r="K150" s="60">
        <v>150000</v>
      </c>
      <c r="L150" s="61">
        <v>0.82350000000000001</v>
      </c>
      <c r="M150" s="57" t="s">
        <v>354</v>
      </c>
      <c r="N150" s="60">
        <v>120000</v>
      </c>
      <c r="O150" s="60">
        <v>50000</v>
      </c>
      <c r="P150" s="61">
        <v>0.95</v>
      </c>
      <c r="Q150" s="57" t="s">
        <v>354</v>
      </c>
      <c r="R150" s="60">
        <v>47500</v>
      </c>
      <c r="S150" s="60">
        <v>50000</v>
      </c>
      <c r="T150" s="61">
        <v>0.5</v>
      </c>
      <c r="U150" s="57" t="s">
        <v>355</v>
      </c>
      <c r="V150" s="60">
        <v>0</v>
      </c>
      <c r="W150" s="57" t="s">
        <v>246</v>
      </c>
      <c r="X150" s="60">
        <v>167500</v>
      </c>
      <c r="Y150" s="57"/>
    </row>
    <row r="151" spans="1:25" x14ac:dyDescent="0.25">
      <c r="A151" s="57" t="s">
        <v>348</v>
      </c>
      <c r="B151" s="57" t="s">
        <v>239</v>
      </c>
      <c r="C151" s="57" t="s">
        <v>160</v>
      </c>
      <c r="D151" s="57" t="s">
        <v>243</v>
      </c>
      <c r="E151" s="57" t="s">
        <v>345</v>
      </c>
      <c r="F151" s="60">
        <v>250000</v>
      </c>
      <c r="G151" s="61">
        <v>0.83440909090909088</v>
      </c>
      <c r="H151" s="57" t="s">
        <v>354</v>
      </c>
      <c r="I151" s="61">
        <v>1</v>
      </c>
      <c r="J151" s="57" t="s">
        <v>354</v>
      </c>
      <c r="K151" s="60">
        <v>150000</v>
      </c>
      <c r="L151" s="61">
        <v>0.41899999999999998</v>
      </c>
      <c r="M151" s="57" t="s">
        <v>355</v>
      </c>
      <c r="N151" s="60">
        <v>0</v>
      </c>
      <c r="O151" s="60">
        <v>50000</v>
      </c>
      <c r="P151" s="61">
        <v>0.95</v>
      </c>
      <c r="Q151" s="57" t="s">
        <v>354</v>
      </c>
      <c r="R151" s="60">
        <v>47500</v>
      </c>
      <c r="S151" s="60">
        <v>50000</v>
      </c>
      <c r="T151" s="61">
        <v>0.5</v>
      </c>
      <c r="U151" s="57" t="s">
        <v>355</v>
      </c>
      <c r="V151" s="60">
        <v>0</v>
      </c>
      <c r="W151" s="57" t="s">
        <v>246</v>
      </c>
      <c r="X151" s="60">
        <v>47500</v>
      </c>
      <c r="Y151" s="57"/>
    </row>
    <row r="152" spans="1:25" x14ac:dyDescent="0.25">
      <c r="A152" s="57" t="s">
        <v>348</v>
      </c>
      <c r="B152" s="57" t="s">
        <v>239</v>
      </c>
      <c r="C152" s="57" t="s">
        <v>161</v>
      </c>
      <c r="D152" s="57" t="s">
        <v>243</v>
      </c>
      <c r="E152" s="57" t="s">
        <v>345</v>
      </c>
      <c r="F152" s="60">
        <v>250000</v>
      </c>
      <c r="G152" s="61">
        <v>0.70810909090909102</v>
      </c>
      <c r="H152" s="57" t="s">
        <v>354</v>
      </c>
      <c r="I152" s="61">
        <v>0.58333333333333337</v>
      </c>
      <c r="J152" s="57" t="s">
        <v>355</v>
      </c>
      <c r="K152" s="60">
        <v>150000</v>
      </c>
      <c r="L152" s="61">
        <v>0.29823333333333335</v>
      </c>
      <c r="M152" s="57" t="s">
        <v>355</v>
      </c>
      <c r="N152" s="60">
        <v>0</v>
      </c>
      <c r="O152" s="60">
        <v>50000</v>
      </c>
      <c r="P152" s="61">
        <v>0.95</v>
      </c>
      <c r="Q152" s="57" t="s">
        <v>354</v>
      </c>
      <c r="R152" s="60">
        <v>47500</v>
      </c>
      <c r="S152" s="60">
        <v>50000</v>
      </c>
      <c r="T152" s="61">
        <v>0.89470000000000005</v>
      </c>
      <c r="U152" s="57" t="s">
        <v>355</v>
      </c>
      <c r="V152" s="60">
        <v>40000</v>
      </c>
      <c r="W152" s="57" t="s">
        <v>349</v>
      </c>
      <c r="X152" s="60">
        <v>0</v>
      </c>
      <c r="Y152" s="57"/>
    </row>
    <row r="153" spans="1:25" x14ac:dyDescent="0.25">
      <c r="A153" s="57" t="s">
        <v>348</v>
      </c>
      <c r="B153" s="57" t="s">
        <v>239</v>
      </c>
      <c r="C153" s="57" t="s">
        <v>162</v>
      </c>
      <c r="D153" s="57" t="s">
        <v>243</v>
      </c>
      <c r="E153" s="57" t="s">
        <v>345</v>
      </c>
      <c r="F153" s="60">
        <v>250000</v>
      </c>
      <c r="G153" s="61">
        <v>0.82828181818181823</v>
      </c>
      <c r="H153" s="57" t="s">
        <v>354</v>
      </c>
      <c r="I153" s="61">
        <v>1</v>
      </c>
      <c r="J153" s="57" t="s">
        <v>354</v>
      </c>
      <c r="K153" s="60">
        <v>150000</v>
      </c>
      <c r="L153" s="61">
        <v>0.59523333333333328</v>
      </c>
      <c r="M153" s="57" t="s">
        <v>355</v>
      </c>
      <c r="N153" s="60">
        <v>89284.999999999985</v>
      </c>
      <c r="O153" s="60">
        <v>50000</v>
      </c>
      <c r="P153" s="61">
        <v>0.95</v>
      </c>
      <c r="Q153" s="57" t="s">
        <v>354</v>
      </c>
      <c r="R153" s="60">
        <v>47500</v>
      </c>
      <c r="S153" s="60">
        <v>50000</v>
      </c>
      <c r="T153" s="61">
        <v>1</v>
      </c>
      <c r="U153" s="57" t="s">
        <v>354</v>
      </c>
      <c r="V153" s="60">
        <v>50000</v>
      </c>
      <c r="W153" s="57" t="s">
        <v>246</v>
      </c>
      <c r="X153" s="60">
        <v>186785</v>
      </c>
      <c r="Y153" s="57"/>
    </row>
    <row r="154" spans="1:25" x14ac:dyDescent="0.25">
      <c r="A154" s="57" t="s">
        <v>348</v>
      </c>
      <c r="B154" s="57" t="s">
        <v>239</v>
      </c>
      <c r="C154" s="57" t="s">
        <v>163</v>
      </c>
      <c r="D154" s="57" t="s">
        <v>243</v>
      </c>
      <c r="E154" s="57" t="s">
        <v>345</v>
      </c>
      <c r="F154" s="60">
        <v>250000</v>
      </c>
      <c r="G154" s="61">
        <v>0.82155454545454554</v>
      </c>
      <c r="H154" s="57" t="s">
        <v>354</v>
      </c>
      <c r="I154" s="61">
        <v>0.8571428571428571</v>
      </c>
      <c r="J154" s="57" t="s">
        <v>354</v>
      </c>
      <c r="K154" s="60">
        <v>150000</v>
      </c>
      <c r="L154" s="61">
        <v>0.61730000000000007</v>
      </c>
      <c r="M154" s="57" t="s">
        <v>355</v>
      </c>
      <c r="N154" s="60">
        <v>92595.000000000015</v>
      </c>
      <c r="O154" s="60">
        <v>50000</v>
      </c>
      <c r="P154" s="61">
        <v>0.95</v>
      </c>
      <c r="Q154" s="57" t="s">
        <v>354</v>
      </c>
      <c r="R154" s="60">
        <v>47500</v>
      </c>
      <c r="S154" s="60">
        <v>50000</v>
      </c>
      <c r="T154" s="61">
        <v>0.5</v>
      </c>
      <c r="U154" s="57" t="s">
        <v>355</v>
      </c>
      <c r="V154" s="60">
        <v>0</v>
      </c>
      <c r="W154" s="57" t="s">
        <v>246</v>
      </c>
      <c r="X154" s="60">
        <v>140095</v>
      </c>
      <c r="Y154" s="57"/>
    </row>
    <row r="155" spans="1:25" x14ac:dyDescent="0.25">
      <c r="A155" s="57" t="s">
        <v>348</v>
      </c>
      <c r="B155" s="57" t="s">
        <v>239</v>
      </c>
      <c r="C155" s="57" t="s">
        <v>164</v>
      </c>
      <c r="D155" s="57" t="s">
        <v>243</v>
      </c>
      <c r="E155" s="57" t="s">
        <v>345</v>
      </c>
      <c r="F155" s="60">
        <v>250000</v>
      </c>
      <c r="G155" s="61">
        <v>0.76262727272727271</v>
      </c>
      <c r="H155" s="57" t="s">
        <v>354</v>
      </c>
      <c r="I155" s="61">
        <v>1</v>
      </c>
      <c r="J155" s="57" t="s">
        <v>354</v>
      </c>
      <c r="K155" s="60">
        <v>150000</v>
      </c>
      <c r="L155" s="61">
        <v>0.52083333333333337</v>
      </c>
      <c r="M155" s="57" t="s">
        <v>355</v>
      </c>
      <c r="N155" s="60">
        <v>78125</v>
      </c>
      <c r="O155" s="60">
        <v>50000</v>
      </c>
      <c r="P155" s="61">
        <v>0.95</v>
      </c>
      <c r="Q155" s="57" t="s">
        <v>354</v>
      </c>
      <c r="R155" s="60">
        <v>47500</v>
      </c>
      <c r="S155" s="60">
        <v>50000</v>
      </c>
      <c r="T155" s="61">
        <v>1</v>
      </c>
      <c r="U155" s="57" t="s">
        <v>354</v>
      </c>
      <c r="V155" s="60">
        <v>50000</v>
      </c>
      <c r="W155" s="57" t="s">
        <v>246</v>
      </c>
      <c r="X155" s="60">
        <v>175625</v>
      </c>
      <c r="Y155" s="57"/>
    </row>
    <row r="156" spans="1:25" x14ac:dyDescent="0.25">
      <c r="A156" s="57" t="s">
        <v>348</v>
      </c>
      <c r="B156" s="57" t="s">
        <v>239</v>
      </c>
      <c r="C156" s="57" t="s">
        <v>165</v>
      </c>
      <c r="D156" s="57" t="s">
        <v>243</v>
      </c>
      <c r="E156" s="57" t="s">
        <v>345</v>
      </c>
      <c r="F156" s="60">
        <v>250000</v>
      </c>
      <c r="G156" s="61">
        <v>0.75681818181818172</v>
      </c>
      <c r="H156" s="57" t="s">
        <v>354</v>
      </c>
      <c r="I156" s="61">
        <v>0.90909090909090906</v>
      </c>
      <c r="J156" s="57" t="s">
        <v>354</v>
      </c>
      <c r="K156" s="60">
        <v>150000</v>
      </c>
      <c r="L156" s="61">
        <v>0.40860000000000002</v>
      </c>
      <c r="M156" s="57" t="s">
        <v>355</v>
      </c>
      <c r="N156" s="60">
        <v>0</v>
      </c>
      <c r="O156" s="60">
        <v>50000</v>
      </c>
      <c r="P156" s="61">
        <v>0.95</v>
      </c>
      <c r="Q156" s="57" t="s">
        <v>354</v>
      </c>
      <c r="R156" s="60">
        <v>47500</v>
      </c>
      <c r="S156" s="60">
        <v>50000</v>
      </c>
      <c r="T156" s="61">
        <v>1</v>
      </c>
      <c r="U156" s="57" t="s">
        <v>354</v>
      </c>
      <c r="V156" s="60">
        <v>50000</v>
      </c>
      <c r="W156" s="57" t="s">
        <v>246</v>
      </c>
      <c r="X156" s="60">
        <v>97500</v>
      </c>
      <c r="Y156" s="57"/>
    </row>
    <row r="157" spans="1:25" x14ac:dyDescent="0.25">
      <c r="A157" s="57" t="s">
        <v>348</v>
      </c>
      <c r="B157" s="57" t="s">
        <v>239</v>
      </c>
      <c r="C157" s="57" t="s">
        <v>166</v>
      </c>
      <c r="D157" s="57" t="s">
        <v>243</v>
      </c>
      <c r="E157" s="57" t="s">
        <v>345</v>
      </c>
      <c r="F157" s="60">
        <v>250000</v>
      </c>
      <c r="G157" s="61">
        <v>0.800009090909091</v>
      </c>
      <c r="H157" s="57" t="s">
        <v>354</v>
      </c>
      <c r="I157" s="61">
        <v>1</v>
      </c>
      <c r="J157" s="57" t="s">
        <v>354</v>
      </c>
      <c r="K157" s="60">
        <v>150000</v>
      </c>
      <c r="L157" s="61">
        <v>0.42553333333333332</v>
      </c>
      <c r="M157" s="57" t="s">
        <v>355</v>
      </c>
      <c r="N157" s="60">
        <v>0</v>
      </c>
      <c r="O157" s="60">
        <v>50000</v>
      </c>
      <c r="P157" s="61">
        <v>0.95</v>
      </c>
      <c r="Q157" s="57" t="s">
        <v>354</v>
      </c>
      <c r="R157" s="60">
        <v>47500</v>
      </c>
      <c r="S157" s="60">
        <v>50000</v>
      </c>
      <c r="T157" s="61">
        <v>1</v>
      </c>
      <c r="U157" s="57" t="s">
        <v>354</v>
      </c>
      <c r="V157" s="60">
        <v>50000</v>
      </c>
      <c r="W157" s="57" t="s">
        <v>246</v>
      </c>
      <c r="X157" s="60">
        <v>97500</v>
      </c>
      <c r="Y157" s="57"/>
    </row>
    <row r="158" spans="1:25" x14ac:dyDescent="0.25">
      <c r="A158" s="57" t="s">
        <v>348</v>
      </c>
      <c r="B158" s="57" t="s">
        <v>239</v>
      </c>
      <c r="C158" s="57" t="s">
        <v>167</v>
      </c>
      <c r="D158" s="57" t="s">
        <v>243</v>
      </c>
      <c r="E158" s="57" t="s">
        <v>345</v>
      </c>
      <c r="F158" s="60">
        <v>250000</v>
      </c>
      <c r="G158" s="61">
        <v>0.92803636363636377</v>
      </c>
      <c r="H158" s="57" t="s">
        <v>354</v>
      </c>
      <c r="I158" s="61">
        <v>1</v>
      </c>
      <c r="J158" s="57" t="s">
        <v>354</v>
      </c>
      <c r="K158" s="60">
        <v>150000</v>
      </c>
      <c r="L158" s="61">
        <v>0.74670000000000003</v>
      </c>
      <c r="M158" s="57" t="s">
        <v>355</v>
      </c>
      <c r="N158" s="60">
        <v>112005</v>
      </c>
      <c r="O158" s="60">
        <v>50000</v>
      </c>
      <c r="P158" s="61">
        <v>0.95</v>
      </c>
      <c r="Q158" s="57" t="s">
        <v>354</v>
      </c>
      <c r="R158" s="60">
        <v>47500</v>
      </c>
      <c r="S158" s="60">
        <v>50000</v>
      </c>
      <c r="T158" s="61">
        <v>0.5</v>
      </c>
      <c r="U158" s="57" t="s">
        <v>355</v>
      </c>
      <c r="V158" s="60">
        <v>0</v>
      </c>
      <c r="W158" s="57" t="s">
        <v>246</v>
      </c>
      <c r="X158" s="60">
        <v>159505</v>
      </c>
      <c r="Y158" s="57"/>
    </row>
    <row r="159" spans="1:25" x14ac:dyDescent="0.25">
      <c r="A159" s="57" t="s">
        <v>348</v>
      </c>
      <c r="B159" s="57" t="s">
        <v>239</v>
      </c>
      <c r="C159" s="57" t="s">
        <v>168</v>
      </c>
      <c r="D159" s="57" t="s">
        <v>243</v>
      </c>
      <c r="E159" s="57" t="s">
        <v>345</v>
      </c>
      <c r="F159" s="60">
        <v>250000</v>
      </c>
      <c r="G159" s="61">
        <v>0.78182727272727282</v>
      </c>
      <c r="H159" s="57" t="s">
        <v>354</v>
      </c>
      <c r="I159" s="61">
        <v>1</v>
      </c>
      <c r="J159" s="57" t="s">
        <v>354</v>
      </c>
      <c r="K159" s="60">
        <v>150000</v>
      </c>
      <c r="L159" s="61">
        <v>0.71110000000000007</v>
      </c>
      <c r="M159" s="57" t="s">
        <v>355</v>
      </c>
      <c r="N159" s="60">
        <v>106665.00000000001</v>
      </c>
      <c r="O159" s="60">
        <v>50000</v>
      </c>
      <c r="P159" s="61">
        <v>0.95</v>
      </c>
      <c r="Q159" s="57" t="s">
        <v>354</v>
      </c>
      <c r="R159" s="60">
        <v>47500</v>
      </c>
      <c r="S159" s="60">
        <v>50000</v>
      </c>
      <c r="T159" s="61">
        <v>0.98334999999999995</v>
      </c>
      <c r="U159" s="57" t="s">
        <v>355</v>
      </c>
      <c r="V159" s="60">
        <v>0</v>
      </c>
      <c r="W159" s="57" t="s">
        <v>246</v>
      </c>
      <c r="X159" s="60">
        <v>154165</v>
      </c>
      <c r="Y159" s="57"/>
    </row>
    <row r="160" spans="1:25" x14ac:dyDescent="0.25">
      <c r="A160" s="57" t="s">
        <v>348</v>
      </c>
      <c r="B160" s="57" t="s">
        <v>239</v>
      </c>
      <c r="C160" s="57" t="s">
        <v>169</v>
      </c>
      <c r="D160" s="57" t="s">
        <v>243</v>
      </c>
      <c r="E160" s="57" t="s">
        <v>345</v>
      </c>
      <c r="F160" s="60">
        <v>250000</v>
      </c>
      <c r="G160" s="61">
        <v>0.73587272727272712</v>
      </c>
      <c r="H160" s="57" t="s">
        <v>354</v>
      </c>
      <c r="I160" s="61">
        <v>0.875</v>
      </c>
      <c r="J160" s="57" t="s">
        <v>354</v>
      </c>
      <c r="K160" s="60">
        <v>150000</v>
      </c>
      <c r="L160" s="61">
        <v>0.5067666666666667</v>
      </c>
      <c r="M160" s="57" t="s">
        <v>355</v>
      </c>
      <c r="N160" s="60">
        <v>76015</v>
      </c>
      <c r="O160" s="60">
        <v>50000</v>
      </c>
      <c r="P160" s="61">
        <v>0.95</v>
      </c>
      <c r="Q160" s="57" t="s">
        <v>354</v>
      </c>
      <c r="R160" s="60">
        <v>47500</v>
      </c>
      <c r="S160" s="60">
        <v>50000</v>
      </c>
      <c r="T160" s="61">
        <v>0.45284999999999997</v>
      </c>
      <c r="U160" s="57" t="s">
        <v>355</v>
      </c>
      <c r="V160" s="60">
        <v>0</v>
      </c>
      <c r="W160" s="57" t="s">
        <v>246</v>
      </c>
      <c r="X160" s="60">
        <v>123515</v>
      </c>
      <c r="Y160" s="57"/>
    </row>
    <row r="161" spans="1:25" x14ac:dyDescent="0.25">
      <c r="A161" s="57" t="s">
        <v>348</v>
      </c>
      <c r="B161" s="57" t="s">
        <v>239</v>
      </c>
      <c r="C161" s="57" t="s">
        <v>170</v>
      </c>
      <c r="D161" s="57" t="s">
        <v>243</v>
      </c>
      <c r="E161" s="57" t="s">
        <v>345</v>
      </c>
      <c r="F161" s="60">
        <v>250000</v>
      </c>
      <c r="G161" s="61">
        <v>0.8316636363636366</v>
      </c>
      <c r="H161" s="57" t="s">
        <v>354</v>
      </c>
      <c r="I161" s="61">
        <v>1</v>
      </c>
      <c r="J161" s="57" t="s">
        <v>354</v>
      </c>
      <c r="K161" s="60">
        <v>150000</v>
      </c>
      <c r="L161" s="61">
        <v>0.68396666666666661</v>
      </c>
      <c r="M161" s="57" t="s">
        <v>355</v>
      </c>
      <c r="N161" s="60">
        <v>102594.99999999999</v>
      </c>
      <c r="O161" s="60">
        <v>50000</v>
      </c>
      <c r="P161" s="61">
        <v>0.95</v>
      </c>
      <c r="Q161" s="57" t="s">
        <v>354</v>
      </c>
      <c r="R161" s="60">
        <v>47500</v>
      </c>
      <c r="S161" s="60">
        <v>50000</v>
      </c>
      <c r="T161" s="61">
        <v>0.49075000000000002</v>
      </c>
      <c r="U161" s="57" t="s">
        <v>355</v>
      </c>
      <c r="V161" s="60">
        <v>0</v>
      </c>
      <c r="W161" s="57" t="s">
        <v>246</v>
      </c>
      <c r="X161" s="60">
        <v>150095</v>
      </c>
      <c r="Y161" s="57"/>
    </row>
    <row r="162" spans="1:25" x14ac:dyDescent="0.25">
      <c r="A162" s="57" t="s">
        <v>348</v>
      </c>
      <c r="B162" s="57" t="s">
        <v>239</v>
      </c>
      <c r="C162" s="57" t="s">
        <v>171</v>
      </c>
      <c r="D162" s="57" t="s">
        <v>243</v>
      </c>
      <c r="E162" s="57" t="s">
        <v>345</v>
      </c>
      <c r="F162" s="60">
        <v>250000</v>
      </c>
      <c r="G162" s="61">
        <v>0.86429090909090922</v>
      </c>
      <c r="H162" s="57" t="s">
        <v>354</v>
      </c>
      <c r="I162" s="61">
        <v>1</v>
      </c>
      <c r="J162" s="57" t="s">
        <v>354</v>
      </c>
      <c r="K162" s="60">
        <v>150000</v>
      </c>
      <c r="L162" s="61">
        <v>0.82303333333333339</v>
      </c>
      <c r="M162" s="57" t="s">
        <v>354</v>
      </c>
      <c r="N162" s="60">
        <v>120000</v>
      </c>
      <c r="O162" s="60">
        <v>50000</v>
      </c>
      <c r="P162" s="61">
        <v>0.95</v>
      </c>
      <c r="Q162" s="57" t="s">
        <v>354</v>
      </c>
      <c r="R162" s="60">
        <v>47500</v>
      </c>
      <c r="S162" s="60">
        <v>50000</v>
      </c>
      <c r="T162" s="61">
        <v>0.5</v>
      </c>
      <c r="U162" s="57" t="s">
        <v>355</v>
      </c>
      <c r="V162" s="60">
        <v>0</v>
      </c>
      <c r="W162" s="57" t="s">
        <v>246</v>
      </c>
      <c r="X162" s="60">
        <v>167500</v>
      </c>
      <c r="Y162" s="57"/>
    </row>
    <row r="163" spans="1:25" x14ac:dyDescent="0.25">
      <c r="A163" s="57" t="s">
        <v>348</v>
      </c>
      <c r="B163" s="57" t="s">
        <v>234</v>
      </c>
      <c r="C163" s="57" t="s">
        <v>172</v>
      </c>
      <c r="D163" s="57" t="s">
        <v>243</v>
      </c>
      <c r="E163" s="57" t="s">
        <v>346</v>
      </c>
      <c r="F163" s="60">
        <v>250000</v>
      </c>
      <c r="G163" s="61">
        <v>0.81072727272727263</v>
      </c>
      <c r="H163" s="57" t="s">
        <v>354</v>
      </c>
      <c r="I163" s="61">
        <v>1</v>
      </c>
      <c r="J163" s="57" t="s">
        <v>354</v>
      </c>
      <c r="K163" s="60">
        <v>150000</v>
      </c>
      <c r="L163" s="61">
        <v>0.66489999999999994</v>
      </c>
      <c r="M163" s="57" t="s">
        <v>355</v>
      </c>
      <c r="N163" s="60">
        <v>99734.999999999985</v>
      </c>
      <c r="O163" s="60">
        <v>50000</v>
      </c>
      <c r="P163" s="61">
        <v>0.95</v>
      </c>
      <c r="Q163" s="57" t="s">
        <v>354</v>
      </c>
      <c r="R163" s="60">
        <v>47500</v>
      </c>
      <c r="S163" s="60">
        <v>50000</v>
      </c>
      <c r="T163" s="61">
        <v>0.5</v>
      </c>
      <c r="U163" s="57" t="s">
        <v>355</v>
      </c>
      <c r="V163" s="60">
        <v>0</v>
      </c>
      <c r="W163" s="57" t="s">
        <v>246</v>
      </c>
      <c r="X163" s="60">
        <v>147235</v>
      </c>
      <c r="Y163" s="57"/>
    </row>
    <row r="164" spans="1:25" x14ac:dyDescent="0.25">
      <c r="A164" s="57" t="s">
        <v>348</v>
      </c>
      <c r="B164" s="57" t="s">
        <v>234</v>
      </c>
      <c r="C164" s="57" t="s">
        <v>173</v>
      </c>
      <c r="D164" s="57" t="s">
        <v>243</v>
      </c>
      <c r="E164" s="57" t="s">
        <v>346</v>
      </c>
      <c r="F164" s="60">
        <v>250000</v>
      </c>
      <c r="G164" s="61">
        <v>0.76818181818181808</v>
      </c>
      <c r="H164" s="57" t="s">
        <v>354</v>
      </c>
      <c r="I164" s="61">
        <v>1</v>
      </c>
      <c r="J164" s="57" t="s">
        <v>354</v>
      </c>
      <c r="K164" s="60">
        <v>150000</v>
      </c>
      <c r="L164" s="61">
        <v>0.69446666666666668</v>
      </c>
      <c r="M164" s="57" t="s">
        <v>355</v>
      </c>
      <c r="N164" s="60">
        <v>104170</v>
      </c>
      <c r="O164" s="60">
        <v>50000</v>
      </c>
      <c r="P164" s="61">
        <v>0.95</v>
      </c>
      <c r="Q164" s="57" t="s">
        <v>354</v>
      </c>
      <c r="R164" s="60">
        <v>47500</v>
      </c>
      <c r="S164" s="60">
        <v>50000</v>
      </c>
      <c r="T164" s="61">
        <v>0.5</v>
      </c>
      <c r="U164" s="57" t="s">
        <v>355</v>
      </c>
      <c r="V164" s="60">
        <v>0</v>
      </c>
      <c r="W164" s="57" t="s">
        <v>246</v>
      </c>
      <c r="X164" s="60">
        <v>151670</v>
      </c>
      <c r="Y164" s="57"/>
    </row>
    <row r="165" spans="1:25" x14ac:dyDescent="0.25">
      <c r="A165" s="57" t="s">
        <v>348</v>
      </c>
      <c r="B165" s="57" t="s">
        <v>234</v>
      </c>
      <c r="C165" s="57" t="s">
        <v>174</v>
      </c>
      <c r="D165" s="57" t="s">
        <v>243</v>
      </c>
      <c r="E165" s="57" t="s">
        <v>346</v>
      </c>
      <c r="F165" s="60">
        <v>250000</v>
      </c>
      <c r="G165" s="61">
        <v>0.72473636363636362</v>
      </c>
      <c r="H165" s="57" t="s">
        <v>354</v>
      </c>
      <c r="I165" s="61">
        <v>1</v>
      </c>
      <c r="J165" s="57" t="s">
        <v>354</v>
      </c>
      <c r="K165" s="60">
        <v>150000</v>
      </c>
      <c r="L165" s="61">
        <v>0.46526666666666666</v>
      </c>
      <c r="M165" s="57" t="s">
        <v>355</v>
      </c>
      <c r="N165" s="60">
        <v>0</v>
      </c>
      <c r="O165" s="60">
        <v>50000</v>
      </c>
      <c r="P165" s="61">
        <v>0.95</v>
      </c>
      <c r="Q165" s="57" t="s">
        <v>354</v>
      </c>
      <c r="R165" s="60">
        <v>47500</v>
      </c>
      <c r="S165" s="60">
        <v>50000</v>
      </c>
      <c r="T165" s="61">
        <v>0.43459999999999999</v>
      </c>
      <c r="U165" s="57" t="s">
        <v>355</v>
      </c>
      <c r="V165" s="60">
        <v>0</v>
      </c>
      <c r="W165" s="57" t="s">
        <v>246</v>
      </c>
      <c r="X165" s="60">
        <v>47500</v>
      </c>
      <c r="Y165" s="57"/>
    </row>
    <row r="166" spans="1:25" x14ac:dyDescent="0.25">
      <c r="A166" s="57" t="s">
        <v>348</v>
      </c>
      <c r="B166" s="57" t="s">
        <v>234</v>
      </c>
      <c r="C166" s="57" t="s">
        <v>175</v>
      </c>
      <c r="D166" s="57" t="s">
        <v>243</v>
      </c>
      <c r="E166" s="57" t="s">
        <v>346</v>
      </c>
      <c r="F166" s="60">
        <v>250000</v>
      </c>
      <c r="G166" s="61">
        <v>0.80481818181818177</v>
      </c>
      <c r="H166" s="57" t="s">
        <v>354</v>
      </c>
      <c r="I166" s="61">
        <v>0.94117647058823528</v>
      </c>
      <c r="J166" s="57" t="s">
        <v>354</v>
      </c>
      <c r="K166" s="60">
        <v>150000</v>
      </c>
      <c r="L166" s="61">
        <v>0.6830666666666666</v>
      </c>
      <c r="M166" s="57" t="s">
        <v>355</v>
      </c>
      <c r="N166" s="60">
        <v>102459.99999999999</v>
      </c>
      <c r="O166" s="60">
        <v>50000</v>
      </c>
      <c r="P166" s="61">
        <v>0.95</v>
      </c>
      <c r="Q166" s="57" t="s">
        <v>354</v>
      </c>
      <c r="R166" s="60">
        <v>47500</v>
      </c>
      <c r="S166" s="60">
        <v>50000</v>
      </c>
      <c r="T166" s="61">
        <v>0.5</v>
      </c>
      <c r="U166" s="57" t="s">
        <v>355</v>
      </c>
      <c r="V166" s="60">
        <v>0</v>
      </c>
      <c r="W166" s="57" t="s">
        <v>246</v>
      </c>
      <c r="X166" s="60">
        <v>149960</v>
      </c>
      <c r="Y166" s="57"/>
    </row>
    <row r="167" spans="1:25" x14ac:dyDescent="0.25">
      <c r="A167" s="57" t="s">
        <v>348</v>
      </c>
      <c r="B167" s="57" t="s">
        <v>234</v>
      </c>
      <c r="C167" s="57" t="s">
        <v>176</v>
      </c>
      <c r="D167" s="57" t="s">
        <v>243</v>
      </c>
      <c r="E167" s="57" t="s">
        <v>346</v>
      </c>
      <c r="F167" s="60">
        <v>250000</v>
      </c>
      <c r="G167" s="61">
        <v>0.80733636363636374</v>
      </c>
      <c r="H167" s="57" t="s">
        <v>354</v>
      </c>
      <c r="I167" s="61">
        <v>0.95</v>
      </c>
      <c r="J167" s="57" t="s">
        <v>354</v>
      </c>
      <c r="K167" s="60">
        <v>150000</v>
      </c>
      <c r="L167" s="61">
        <v>0.46416666666666662</v>
      </c>
      <c r="M167" s="57" t="s">
        <v>355</v>
      </c>
      <c r="N167" s="60">
        <v>0</v>
      </c>
      <c r="O167" s="60">
        <v>50000</v>
      </c>
      <c r="P167" s="61">
        <v>0.95</v>
      </c>
      <c r="Q167" s="57" t="s">
        <v>354</v>
      </c>
      <c r="R167" s="60">
        <v>47500</v>
      </c>
      <c r="S167" s="60">
        <v>50000</v>
      </c>
      <c r="T167" s="61">
        <v>0.4965</v>
      </c>
      <c r="U167" s="57" t="s">
        <v>355</v>
      </c>
      <c r="V167" s="60">
        <v>0</v>
      </c>
      <c r="W167" s="57" t="s">
        <v>246</v>
      </c>
      <c r="X167" s="60">
        <v>47500</v>
      </c>
      <c r="Y167" s="57"/>
    </row>
    <row r="168" spans="1:25" x14ac:dyDescent="0.25">
      <c r="A168" s="57" t="s">
        <v>348</v>
      </c>
      <c r="B168" s="57" t="s">
        <v>234</v>
      </c>
      <c r="C168" s="57" t="s">
        <v>177</v>
      </c>
      <c r="D168" s="57" t="s">
        <v>243</v>
      </c>
      <c r="E168" s="57" t="s">
        <v>346</v>
      </c>
      <c r="F168" s="60">
        <v>250000</v>
      </c>
      <c r="G168" s="61">
        <v>0.78473636363636379</v>
      </c>
      <c r="H168" s="57" t="s">
        <v>354</v>
      </c>
      <c r="I168" s="61">
        <v>0.93333333333333335</v>
      </c>
      <c r="J168" s="57" t="s">
        <v>354</v>
      </c>
      <c r="K168" s="60">
        <v>150000</v>
      </c>
      <c r="L168" s="61">
        <v>0.69136666666666668</v>
      </c>
      <c r="M168" s="57" t="s">
        <v>355</v>
      </c>
      <c r="N168" s="60">
        <v>103705</v>
      </c>
      <c r="O168" s="60">
        <v>50000</v>
      </c>
      <c r="P168" s="61">
        <v>0.95</v>
      </c>
      <c r="Q168" s="57" t="s">
        <v>354</v>
      </c>
      <c r="R168" s="60">
        <v>47500</v>
      </c>
      <c r="S168" s="60">
        <v>50000</v>
      </c>
      <c r="T168" s="61">
        <v>0.5</v>
      </c>
      <c r="U168" s="57" t="s">
        <v>355</v>
      </c>
      <c r="V168" s="60">
        <v>0</v>
      </c>
      <c r="W168" s="57" t="s">
        <v>246</v>
      </c>
      <c r="X168" s="60">
        <v>151205</v>
      </c>
      <c r="Y168" s="57"/>
    </row>
    <row r="169" spans="1:25" x14ac:dyDescent="0.25">
      <c r="A169" s="57" t="s">
        <v>348</v>
      </c>
      <c r="B169" s="57" t="s">
        <v>234</v>
      </c>
      <c r="C169" s="57" t="s">
        <v>178</v>
      </c>
      <c r="D169" s="57" t="s">
        <v>243</v>
      </c>
      <c r="E169" s="57" t="s">
        <v>346</v>
      </c>
      <c r="F169" s="60">
        <v>250000</v>
      </c>
      <c r="G169" s="61">
        <v>0.7593545454545455</v>
      </c>
      <c r="H169" s="57" t="s">
        <v>354</v>
      </c>
      <c r="I169" s="61">
        <v>0.875</v>
      </c>
      <c r="J169" s="57" t="s">
        <v>354</v>
      </c>
      <c r="K169" s="60">
        <v>150000</v>
      </c>
      <c r="L169" s="61">
        <v>0.46690000000000004</v>
      </c>
      <c r="M169" s="57" t="s">
        <v>355</v>
      </c>
      <c r="N169" s="60">
        <v>0</v>
      </c>
      <c r="O169" s="60">
        <v>50000</v>
      </c>
      <c r="P169" s="61">
        <v>0.95</v>
      </c>
      <c r="Q169" s="57" t="s">
        <v>354</v>
      </c>
      <c r="R169" s="60">
        <v>47500</v>
      </c>
      <c r="S169" s="60">
        <v>50000</v>
      </c>
      <c r="T169" s="61">
        <v>0.49264999999999998</v>
      </c>
      <c r="U169" s="57" t="s">
        <v>355</v>
      </c>
      <c r="V169" s="60">
        <v>0</v>
      </c>
      <c r="W169" s="57" t="s">
        <v>246</v>
      </c>
      <c r="X169" s="60">
        <v>47500</v>
      </c>
      <c r="Y169" s="57"/>
    </row>
    <row r="170" spans="1:25" x14ac:dyDescent="0.25">
      <c r="A170" s="57" t="s">
        <v>348</v>
      </c>
      <c r="B170" s="57" t="s">
        <v>234</v>
      </c>
      <c r="C170" s="57" t="s">
        <v>179</v>
      </c>
      <c r="D170" s="57" t="s">
        <v>243</v>
      </c>
      <c r="E170" s="57" t="s">
        <v>346</v>
      </c>
      <c r="F170" s="60">
        <v>250000</v>
      </c>
      <c r="G170" s="61">
        <v>0.8062454545454546</v>
      </c>
      <c r="H170" s="57" t="s">
        <v>354</v>
      </c>
      <c r="I170" s="61">
        <v>0.8571428571428571</v>
      </c>
      <c r="J170" s="57" t="s">
        <v>354</v>
      </c>
      <c r="K170" s="60">
        <v>150000</v>
      </c>
      <c r="L170" s="61">
        <v>0.73043333333333338</v>
      </c>
      <c r="M170" s="57" t="s">
        <v>355</v>
      </c>
      <c r="N170" s="60">
        <v>109565</v>
      </c>
      <c r="O170" s="60">
        <v>50000</v>
      </c>
      <c r="P170" s="61">
        <v>0.95</v>
      </c>
      <c r="Q170" s="57" t="s">
        <v>354</v>
      </c>
      <c r="R170" s="60">
        <v>47500</v>
      </c>
      <c r="S170" s="60">
        <v>50000</v>
      </c>
      <c r="T170" s="61">
        <v>0.49180000000000001</v>
      </c>
      <c r="U170" s="57" t="s">
        <v>355</v>
      </c>
      <c r="V170" s="60">
        <v>0</v>
      </c>
      <c r="W170" s="57" t="s">
        <v>246</v>
      </c>
      <c r="X170" s="60">
        <v>157065</v>
      </c>
      <c r="Y170" s="57"/>
    </row>
    <row r="171" spans="1:25" x14ac:dyDescent="0.25">
      <c r="A171" s="57" t="s">
        <v>348</v>
      </c>
      <c r="B171" s="57" t="s">
        <v>234</v>
      </c>
      <c r="C171" s="57" t="s">
        <v>180</v>
      </c>
      <c r="D171" s="57" t="s">
        <v>243</v>
      </c>
      <c r="E171" s="57" t="s">
        <v>346</v>
      </c>
      <c r="F171" s="60">
        <v>250000</v>
      </c>
      <c r="G171" s="61">
        <v>0.71885454545454541</v>
      </c>
      <c r="H171" s="57" t="s">
        <v>354</v>
      </c>
      <c r="I171" s="61">
        <v>0.8571428571428571</v>
      </c>
      <c r="J171" s="57" t="s">
        <v>354</v>
      </c>
      <c r="K171" s="60">
        <v>150000</v>
      </c>
      <c r="L171" s="61">
        <v>0.74230000000000007</v>
      </c>
      <c r="M171" s="57" t="s">
        <v>355</v>
      </c>
      <c r="N171" s="60">
        <v>111345.00000000001</v>
      </c>
      <c r="O171" s="60">
        <v>50000</v>
      </c>
      <c r="P171" s="61">
        <v>0.95</v>
      </c>
      <c r="Q171" s="57" t="s">
        <v>354</v>
      </c>
      <c r="R171" s="60">
        <v>47500</v>
      </c>
      <c r="S171" s="60">
        <v>50000</v>
      </c>
      <c r="T171" s="61">
        <v>0.47220000000000001</v>
      </c>
      <c r="U171" s="57" t="s">
        <v>355</v>
      </c>
      <c r="V171" s="60">
        <v>0</v>
      </c>
      <c r="W171" s="57" t="s">
        <v>246</v>
      </c>
      <c r="X171" s="60">
        <v>158845</v>
      </c>
      <c r="Y171" s="57"/>
    </row>
    <row r="172" spans="1:25" x14ac:dyDescent="0.25">
      <c r="A172" s="57" t="s">
        <v>348</v>
      </c>
      <c r="B172" s="57" t="s">
        <v>234</v>
      </c>
      <c r="C172" s="57" t="s">
        <v>181</v>
      </c>
      <c r="D172" s="57" t="s">
        <v>243</v>
      </c>
      <c r="E172" s="57" t="s">
        <v>346</v>
      </c>
      <c r="F172" s="60">
        <v>250000</v>
      </c>
      <c r="G172" s="61">
        <v>0.76791818181818183</v>
      </c>
      <c r="H172" s="57" t="s">
        <v>354</v>
      </c>
      <c r="I172" s="61">
        <v>0.93333333333333335</v>
      </c>
      <c r="J172" s="57" t="s">
        <v>354</v>
      </c>
      <c r="K172" s="60">
        <v>150000</v>
      </c>
      <c r="L172" s="61">
        <v>0.65973333333333339</v>
      </c>
      <c r="M172" s="57" t="s">
        <v>355</v>
      </c>
      <c r="N172" s="60">
        <v>98960.000000000015</v>
      </c>
      <c r="O172" s="60">
        <v>50000</v>
      </c>
      <c r="P172" s="61">
        <v>0.95</v>
      </c>
      <c r="Q172" s="57" t="s">
        <v>354</v>
      </c>
      <c r="R172" s="60">
        <v>47500</v>
      </c>
      <c r="S172" s="60">
        <v>50000</v>
      </c>
      <c r="T172" s="61">
        <v>0.49469999999999997</v>
      </c>
      <c r="U172" s="57" t="s">
        <v>355</v>
      </c>
      <c r="V172" s="60">
        <v>0</v>
      </c>
      <c r="W172" s="57" t="s">
        <v>246</v>
      </c>
      <c r="X172" s="60">
        <v>146460</v>
      </c>
      <c r="Y172" s="57"/>
    </row>
    <row r="173" spans="1:25" x14ac:dyDescent="0.25">
      <c r="A173" s="57" t="s">
        <v>348</v>
      </c>
      <c r="B173" s="57" t="s">
        <v>234</v>
      </c>
      <c r="C173" s="57" t="s">
        <v>182</v>
      </c>
      <c r="D173" s="57" t="s">
        <v>243</v>
      </c>
      <c r="E173" s="57" t="s">
        <v>346</v>
      </c>
      <c r="F173" s="60">
        <v>250000</v>
      </c>
      <c r="G173" s="61">
        <v>0.80380909090909103</v>
      </c>
      <c r="H173" s="57" t="s">
        <v>354</v>
      </c>
      <c r="I173" s="61">
        <v>0.8571428571428571</v>
      </c>
      <c r="J173" s="57" t="s">
        <v>354</v>
      </c>
      <c r="K173" s="60">
        <v>150000</v>
      </c>
      <c r="L173" s="61">
        <v>0.54759999999999998</v>
      </c>
      <c r="M173" s="57" t="s">
        <v>355</v>
      </c>
      <c r="N173" s="60">
        <v>82140</v>
      </c>
      <c r="O173" s="60">
        <v>50000</v>
      </c>
      <c r="P173" s="61">
        <v>0.95</v>
      </c>
      <c r="Q173" s="57" t="s">
        <v>354</v>
      </c>
      <c r="R173" s="60">
        <v>47500</v>
      </c>
      <c r="S173" s="60">
        <v>50000</v>
      </c>
      <c r="T173" s="61">
        <v>0.49585000000000001</v>
      </c>
      <c r="U173" s="57" t="s">
        <v>355</v>
      </c>
      <c r="V173" s="60">
        <v>0</v>
      </c>
      <c r="W173" s="57" t="s">
        <v>246</v>
      </c>
      <c r="X173" s="60">
        <v>129640</v>
      </c>
      <c r="Y173" s="57"/>
    </row>
    <row r="174" spans="1:25" x14ac:dyDescent="0.25">
      <c r="A174" s="57" t="s">
        <v>348</v>
      </c>
      <c r="B174" s="57" t="s">
        <v>233</v>
      </c>
      <c r="C174" s="57" t="s">
        <v>183</v>
      </c>
      <c r="D174" s="57" t="s">
        <v>242</v>
      </c>
      <c r="E174" s="57" t="s">
        <v>302</v>
      </c>
      <c r="F174" s="60">
        <v>250000</v>
      </c>
      <c r="G174" s="61">
        <v>0.72020909090909091</v>
      </c>
      <c r="H174" s="57" t="s">
        <v>354</v>
      </c>
      <c r="I174" s="61">
        <v>1</v>
      </c>
      <c r="J174" s="57" t="s">
        <v>354</v>
      </c>
      <c r="K174" s="60">
        <v>150000</v>
      </c>
      <c r="L174" s="61">
        <v>0.32529999999999998</v>
      </c>
      <c r="M174" s="57" t="s">
        <v>355</v>
      </c>
      <c r="N174" s="60">
        <v>0</v>
      </c>
      <c r="O174" s="60">
        <v>50000</v>
      </c>
      <c r="P174" s="61">
        <v>0.95</v>
      </c>
      <c r="Q174" s="57" t="s">
        <v>354</v>
      </c>
      <c r="R174" s="60">
        <v>47500</v>
      </c>
      <c r="S174" s="60">
        <v>50000</v>
      </c>
      <c r="T174" s="61">
        <v>0.4889</v>
      </c>
      <c r="U174" s="57" t="s">
        <v>355</v>
      </c>
      <c r="V174" s="60">
        <v>0</v>
      </c>
      <c r="W174" s="57" t="s">
        <v>246</v>
      </c>
      <c r="X174" s="60">
        <v>47500</v>
      </c>
      <c r="Y174" s="57"/>
    </row>
    <row r="175" spans="1:25" x14ac:dyDescent="0.25">
      <c r="A175" s="57" t="s">
        <v>348</v>
      </c>
      <c r="B175" s="57" t="s">
        <v>233</v>
      </c>
      <c r="C175" s="57" t="s">
        <v>184</v>
      </c>
      <c r="D175" s="57" t="s">
        <v>242</v>
      </c>
      <c r="E175" s="57" t="s">
        <v>302</v>
      </c>
      <c r="F175" s="60">
        <v>250000</v>
      </c>
      <c r="G175" s="61">
        <v>0.75001818181818181</v>
      </c>
      <c r="H175" s="57" t="s">
        <v>354</v>
      </c>
      <c r="I175" s="61">
        <v>0.66666666666666663</v>
      </c>
      <c r="J175" s="57" t="s">
        <v>355</v>
      </c>
      <c r="K175" s="60">
        <v>150000</v>
      </c>
      <c r="L175" s="61">
        <v>0.3571333333333333</v>
      </c>
      <c r="M175" s="57" t="s">
        <v>355</v>
      </c>
      <c r="N175" s="60">
        <v>0</v>
      </c>
      <c r="O175" s="60">
        <v>50000</v>
      </c>
      <c r="P175" s="61">
        <v>0.95</v>
      </c>
      <c r="Q175" s="57" t="s">
        <v>354</v>
      </c>
      <c r="R175" s="60">
        <v>47500</v>
      </c>
      <c r="S175" s="60">
        <v>50000</v>
      </c>
      <c r="T175" s="61">
        <v>0.48959999999999998</v>
      </c>
      <c r="U175" s="57" t="s">
        <v>355</v>
      </c>
      <c r="V175" s="60">
        <v>0</v>
      </c>
      <c r="W175" s="57" t="s">
        <v>349</v>
      </c>
      <c r="X175" s="60">
        <v>0</v>
      </c>
      <c r="Y175" s="57"/>
    </row>
    <row r="176" spans="1:25" x14ac:dyDescent="0.25">
      <c r="A176" s="57" t="s">
        <v>348</v>
      </c>
      <c r="B176" s="57" t="s">
        <v>233</v>
      </c>
      <c r="C176" s="57" t="s">
        <v>185</v>
      </c>
      <c r="D176" s="57" t="s">
        <v>242</v>
      </c>
      <c r="E176" s="57" t="s">
        <v>302</v>
      </c>
      <c r="F176" s="60">
        <v>250000</v>
      </c>
      <c r="G176" s="61">
        <v>0.81818181818181823</v>
      </c>
      <c r="H176" s="57" t="s">
        <v>354</v>
      </c>
      <c r="I176" s="61">
        <v>0.5</v>
      </c>
      <c r="J176" s="57" t="s">
        <v>355</v>
      </c>
      <c r="K176" s="60">
        <v>150000</v>
      </c>
      <c r="L176" s="61">
        <v>0.33333333333333331</v>
      </c>
      <c r="M176" s="57" t="s">
        <v>355</v>
      </c>
      <c r="N176" s="60">
        <v>0</v>
      </c>
      <c r="O176" s="60">
        <v>50000</v>
      </c>
      <c r="P176" s="61">
        <v>0.95</v>
      </c>
      <c r="Q176" s="57" t="s">
        <v>354</v>
      </c>
      <c r="R176" s="60">
        <v>47500</v>
      </c>
      <c r="S176" s="60">
        <v>50000</v>
      </c>
      <c r="T176" s="61">
        <v>1</v>
      </c>
      <c r="U176" s="57" t="s">
        <v>354</v>
      </c>
      <c r="V176" s="60">
        <v>50000</v>
      </c>
      <c r="W176" s="57" t="s">
        <v>349</v>
      </c>
      <c r="X176" s="60">
        <v>0</v>
      </c>
      <c r="Y176" s="57"/>
    </row>
    <row r="177" spans="1:25" x14ac:dyDescent="0.25">
      <c r="A177" s="57" t="s">
        <v>348</v>
      </c>
      <c r="B177" s="57" t="s">
        <v>233</v>
      </c>
      <c r="C177" s="57" t="s">
        <v>186</v>
      </c>
      <c r="D177" s="57" t="s">
        <v>242</v>
      </c>
      <c r="E177" s="57" t="s">
        <v>302</v>
      </c>
      <c r="F177" s="60">
        <v>250000</v>
      </c>
      <c r="G177" s="61">
        <v>0.77272727272727271</v>
      </c>
      <c r="H177" s="57" t="s">
        <v>354</v>
      </c>
      <c r="I177" s="61">
        <v>0.88235294117647056</v>
      </c>
      <c r="J177" s="57" t="s">
        <v>354</v>
      </c>
      <c r="K177" s="60">
        <v>150000</v>
      </c>
      <c r="L177" s="61">
        <v>0.46376666666666666</v>
      </c>
      <c r="M177" s="57" t="s">
        <v>355</v>
      </c>
      <c r="N177" s="60">
        <v>0</v>
      </c>
      <c r="O177" s="60">
        <v>50000</v>
      </c>
      <c r="P177" s="61">
        <v>0.95</v>
      </c>
      <c r="Q177" s="57" t="s">
        <v>354</v>
      </c>
      <c r="R177" s="60">
        <v>47500</v>
      </c>
      <c r="S177" s="60">
        <v>50000</v>
      </c>
      <c r="T177" s="61">
        <v>0.5</v>
      </c>
      <c r="U177" s="57" t="s">
        <v>355</v>
      </c>
      <c r="V177" s="60">
        <v>0</v>
      </c>
      <c r="W177" s="57" t="s">
        <v>246</v>
      </c>
      <c r="X177" s="60">
        <v>47500</v>
      </c>
      <c r="Y177" s="57"/>
    </row>
    <row r="178" spans="1:25" x14ac:dyDescent="0.25">
      <c r="A178" s="57" t="s">
        <v>348</v>
      </c>
      <c r="B178" s="57" t="s">
        <v>233</v>
      </c>
      <c r="C178" s="57" t="s">
        <v>187</v>
      </c>
      <c r="D178" s="57" t="s">
        <v>242</v>
      </c>
      <c r="E178" s="57" t="s">
        <v>302</v>
      </c>
      <c r="F178" s="60">
        <v>250000</v>
      </c>
      <c r="G178" s="61">
        <v>0.78738181818181829</v>
      </c>
      <c r="H178" s="57" t="s">
        <v>354</v>
      </c>
      <c r="I178" s="61">
        <v>0.68181818181818177</v>
      </c>
      <c r="J178" s="57" t="s">
        <v>355</v>
      </c>
      <c r="K178" s="60">
        <v>150000</v>
      </c>
      <c r="L178" s="61">
        <v>0.41799999999999998</v>
      </c>
      <c r="M178" s="57" t="s">
        <v>355</v>
      </c>
      <c r="N178" s="60">
        <v>0</v>
      </c>
      <c r="O178" s="60">
        <v>50000</v>
      </c>
      <c r="P178" s="61">
        <v>0.95</v>
      </c>
      <c r="Q178" s="57" t="s">
        <v>354</v>
      </c>
      <c r="R178" s="60">
        <v>47500</v>
      </c>
      <c r="S178" s="60">
        <v>50000</v>
      </c>
      <c r="T178" s="61">
        <v>0.5</v>
      </c>
      <c r="U178" s="57" t="s">
        <v>355</v>
      </c>
      <c r="V178" s="60">
        <v>0</v>
      </c>
      <c r="W178" s="57" t="s">
        <v>349</v>
      </c>
      <c r="X178" s="60">
        <v>0</v>
      </c>
      <c r="Y178" s="57"/>
    </row>
    <row r="179" spans="1:25" x14ac:dyDescent="0.25">
      <c r="A179" s="57" t="s">
        <v>348</v>
      </c>
      <c r="B179" s="57" t="s">
        <v>233</v>
      </c>
      <c r="C179" s="57" t="s">
        <v>188</v>
      </c>
      <c r="D179" s="57" t="s">
        <v>242</v>
      </c>
      <c r="E179" s="57" t="s">
        <v>302</v>
      </c>
      <c r="F179" s="60">
        <v>250000</v>
      </c>
      <c r="G179" s="61">
        <v>0.77271818181818186</v>
      </c>
      <c r="H179" s="57" t="s">
        <v>354</v>
      </c>
      <c r="I179" s="61">
        <v>1</v>
      </c>
      <c r="J179" s="57" t="s">
        <v>354</v>
      </c>
      <c r="K179" s="60">
        <v>150000</v>
      </c>
      <c r="L179" s="61">
        <v>0.59046666666666658</v>
      </c>
      <c r="M179" s="57" t="s">
        <v>355</v>
      </c>
      <c r="N179" s="60">
        <v>88569.999999999985</v>
      </c>
      <c r="O179" s="60">
        <v>50000</v>
      </c>
      <c r="P179" s="61">
        <v>0.95</v>
      </c>
      <c r="Q179" s="57" t="s">
        <v>354</v>
      </c>
      <c r="R179" s="60">
        <v>47500</v>
      </c>
      <c r="S179" s="60">
        <v>50000</v>
      </c>
      <c r="T179" s="61">
        <v>0.5</v>
      </c>
      <c r="U179" s="57" t="s">
        <v>355</v>
      </c>
      <c r="V179" s="60">
        <v>0</v>
      </c>
      <c r="W179" s="57" t="s">
        <v>246</v>
      </c>
      <c r="X179" s="60">
        <v>136070</v>
      </c>
      <c r="Y179" s="57"/>
    </row>
    <row r="180" spans="1:25" x14ac:dyDescent="0.25">
      <c r="A180" s="57" t="s">
        <v>348</v>
      </c>
      <c r="B180" s="57" t="s">
        <v>233</v>
      </c>
      <c r="C180" s="57" t="s">
        <v>189</v>
      </c>
      <c r="D180" s="57" t="s">
        <v>242</v>
      </c>
      <c r="E180" s="57" t="s">
        <v>302</v>
      </c>
      <c r="F180" s="60">
        <v>250000</v>
      </c>
      <c r="G180" s="61">
        <v>0.75151818181818186</v>
      </c>
      <c r="H180" s="57" t="s">
        <v>354</v>
      </c>
      <c r="I180" s="61">
        <v>1</v>
      </c>
      <c r="J180" s="57" t="s">
        <v>354</v>
      </c>
      <c r="K180" s="60">
        <v>150000</v>
      </c>
      <c r="L180" s="61">
        <v>0.45833333333333331</v>
      </c>
      <c r="M180" s="57" t="s">
        <v>355</v>
      </c>
      <c r="N180" s="60">
        <v>0</v>
      </c>
      <c r="O180" s="60">
        <v>50000</v>
      </c>
      <c r="P180" s="61">
        <v>0.95</v>
      </c>
      <c r="Q180" s="57" t="s">
        <v>354</v>
      </c>
      <c r="R180" s="60">
        <v>47500</v>
      </c>
      <c r="S180" s="60">
        <v>50000</v>
      </c>
      <c r="T180" s="61">
        <v>1</v>
      </c>
      <c r="U180" s="57" t="s">
        <v>354</v>
      </c>
      <c r="V180" s="60">
        <v>50000</v>
      </c>
      <c r="W180" s="57" t="s">
        <v>246</v>
      </c>
      <c r="X180" s="60">
        <v>97500</v>
      </c>
      <c r="Y180" s="57"/>
    </row>
    <row r="181" spans="1:25" x14ac:dyDescent="0.25">
      <c r="A181" s="57" t="s">
        <v>348</v>
      </c>
      <c r="B181" s="57" t="s">
        <v>233</v>
      </c>
      <c r="C181" s="57" t="s">
        <v>190</v>
      </c>
      <c r="D181" s="57" t="s">
        <v>242</v>
      </c>
      <c r="E181" s="57" t="s">
        <v>302</v>
      </c>
      <c r="F181" s="60">
        <v>250000</v>
      </c>
      <c r="G181" s="61">
        <v>0.75196363636363628</v>
      </c>
      <c r="H181" s="57" t="s">
        <v>354</v>
      </c>
      <c r="I181" s="61">
        <v>0.84615384615384615</v>
      </c>
      <c r="J181" s="57" t="s">
        <v>354</v>
      </c>
      <c r="K181" s="60">
        <v>150000</v>
      </c>
      <c r="L181" s="61">
        <v>0.33743333333333331</v>
      </c>
      <c r="M181" s="57" t="s">
        <v>355</v>
      </c>
      <c r="N181" s="60">
        <v>0</v>
      </c>
      <c r="O181" s="60">
        <v>50000</v>
      </c>
      <c r="P181" s="61">
        <v>0.95</v>
      </c>
      <c r="Q181" s="57" t="s">
        <v>354</v>
      </c>
      <c r="R181" s="60">
        <v>47500</v>
      </c>
      <c r="S181" s="60">
        <v>50000</v>
      </c>
      <c r="T181" s="61">
        <v>0.5</v>
      </c>
      <c r="U181" s="57" t="s">
        <v>355</v>
      </c>
      <c r="V181" s="60">
        <v>0</v>
      </c>
      <c r="W181" s="57" t="s">
        <v>246</v>
      </c>
      <c r="X181" s="60">
        <v>47500</v>
      </c>
      <c r="Y181" s="57"/>
    </row>
    <row r="182" spans="1:25" x14ac:dyDescent="0.25">
      <c r="A182" s="57" t="s">
        <v>348</v>
      </c>
      <c r="B182" s="57" t="s">
        <v>233</v>
      </c>
      <c r="C182" s="57" t="s">
        <v>191</v>
      </c>
      <c r="D182" s="57" t="s">
        <v>242</v>
      </c>
      <c r="E182" s="57" t="s">
        <v>302</v>
      </c>
      <c r="F182" s="60">
        <v>250000</v>
      </c>
      <c r="G182" s="61">
        <v>0.65192727272727269</v>
      </c>
      <c r="H182" s="57" t="s">
        <v>355</v>
      </c>
      <c r="I182" s="61">
        <v>0.75</v>
      </c>
      <c r="J182" s="57" t="s">
        <v>354</v>
      </c>
      <c r="K182" s="60">
        <v>150000</v>
      </c>
      <c r="L182" s="61">
        <v>0.32329999999999998</v>
      </c>
      <c r="M182" s="57" t="s">
        <v>355</v>
      </c>
      <c r="N182" s="60">
        <v>0</v>
      </c>
      <c r="O182" s="60">
        <v>50000</v>
      </c>
      <c r="P182" s="61">
        <v>0.95</v>
      </c>
      <c r="Q182" s="57" t="s">
        <v>354</v>
      </c>
      <c r="R182" s="60">
        <v>47500</v>
      </c>
      <c r="S182" s="60">
        <v>50000</v>
      </c>
      <c r="T182" s="61">
        <v>0.88570000000000004</v>
      </c>
      <c r="U182" s="57" t="s">
        <v>355</v>
      </c>
      <c r="V182" s="60">
        <v>40000</v>
      </c>
      <c r="W182" s="57" t="s">
        <v>246</v>
      </c>
      <c r="X182" s="60">
        <v>87500</v>
      </c>
      <c r="Y182" s="57"/>
    </row>
    <row r="183" spans="1:25" x14ac:dyDescent="0.25">
      <c r="A183" s="57" t="s">
        <v>348</v>
      </c>
      <c r="B183" s="57" t="s">
        <v>233</v>
      </c>
      <c r="C183" s="57" t="s">
        <v>192</v>
      </c>
      <c r="D183" s="57" t="s">
        <v>242</v>
      </c>
      <c r="E183" s="57" t="s">
        <v>302</v>
      </c>
      <c r="F183" s="60">
        <v>250000</v>
      </c>
      <c r="G183" s="61">
        <v>0.89951818181818188</v>
      </c>
      <c r="H183" s="57" t="s">
        <v>354</v>
      </c>
      <c r="I183" s="61">
        <v>1</v>
      </c>
      <c r="J183" s="57" t="s">
        <v>354</v>
      </c>
      <c r="K183" s="60">
        <v>150000</v>
      </c>
      <c r="L183" s="61">
        <v>0.57893333333333341</v>
      </c>
      <c r="M183" s="57" t="s">
        <v>355</v>
      </c>
      <c r="N183" s="60">
        <v>86840.000000000015</v>
      </c>
      <c r="O183" s="60">
        <v>50000</v>
      </c>
      <c r="P183" s="61">
        <v>0.95</v>
      </c>
      <c r="Q183" s="57" t="s">
        <v>354</v>
      </c>
      <c r="R183" s="60">
        <v>47500</v>
      </c>
      <c r="S183" s="60">
        <v>50000</v>
      </c>
      <c r="T183" s="61">
        <v>0.5</v>
      </c>
      <c r="U183" s="57" t="s">
        <v>355</v>
      </c>
      <c r="V183" s="60">
        <v>0</v>
      </c>
      <c r="W183" s="57" t="s">
        <v>246</v>
      </c>
      <c r="X183" s="60">
        <v>134340</v>
      </c>
      <c r="Y183" s="57"/>
    </row>
    <row r="184" spans="1:25" x14ac:dyDescent="0.25">
      <c r="A184" s="57" t="s">
        <v>348</v>
      </c>
      <c r="B184" s="57" t="s">
        <v>233</v>
      </c>
      <c r="C184" s="57" t="s">
        <v>193</v>
      </c>
      <c r="D184" s="57" t="s">
        <v>242</v>
      </c>
      <c r="E184" s="57" t="s">
        <v>302</v>
      </c>
      <c r="F184" s="60">
        <v>250000</v>
      </c>
      <c r="G184" s="61">
        <v>0.79231818181818181</v>
      </c>
      <c r="H184" s="57" t="s">
        <v>354</v>
      </c>
      <c r="I184" s="61">
        <v>1</v>
      </c>
      <c r="J184" s="57" t="s">
        <v>354</v>
      </c>
      <c r="K184" s="60">
        <v>150000</v>
      </c>
      <c r="L184" s="61">
        <v>0.45870000000000005</v>
      </c>
      <c r="M184" s="57" t="s">
        <v>355</v>
      </c>
      <c r="N184" s="60">
        <v>0</v>
      </c>
      <c r="O184" s="60">
        <v>50000</v>
      </c>
      <c r="P184" s="61">
        <v>0.95</v>
      </c>
      <c r="Q184" s="57" t="s">
        <v>354</v>
      </c>
      <c r="R184" s="60">
        <v>47500</v>
      </c>
      <c r="S184" s="60">
        <v>50000</v>
      </c>
      <c r="T184" s="61">
        <v>0.5</v>
      </c>
      <c r="U184" s="57" t="s">
        <v>355</v>
      </c>
      <c r="V184" s="60">
        <v>0</v>
      </c>
      <c r="W184" s="57" t="s">
        <v>246</v>
      </c>
      <c r="X184" s="60">
        <v>47500</v>
      </c>
      <c r="Y184" s="57"/>
    </row>
    <row r="185" spans="1:25" x14ac:dyDescent="0.25">
      <c r="A185" s="57" t="s">
        <v>348</v>
      </c>
      <c r="B185" s="57" t="s">
        <v>233</v>
      </c>
      <c r="C185" s="57" t="s">
        <v>194</v>
      </c>
      <c r="D185" s="57" t="s">
        <v>242</v>
      </c>
      <c r="E185" s="57" t="s">
        <v>302</v>
      </c>
      <c r="F185" s="60">
        <v>250000</v>
      </c>
      <c r="G185" s="61">
        <v>0.74380000000000013</v>
      </c>
      <c r="H185" s="57" t="s">
        <v>354</v>
      </c>
      <c r="I185" s="61">
        <v>0.76923076923076927</v>
      </c>
      <c r="J185" s="57" t="s">
        <v>354</v>
      </c>
      <c r="K185" s="60">
        <v>150000</v>
      </c>
      <c r="L185" s="61">
        <v>0.33939999999999998</v>
      </c>
      <c r="M185" s="57" t="s">
        <v>355</v>
      </c>
      <c r="N185" s="60">
        <v>0</v>
      </c>
      <c r="O185" s="60">
        <v>50000</v>
      </c>
      <c r="P185" s="61">
        <v>0.95</v>
      </c>
      <c r="Q185" s="57" t="s">
        <v>354</v>
      </c>
      <c r="R185" s="60">
        <v>47500</v>
      </c>
      <c r="S185" s="60">
        <v>50000</v>
      </c>
      <c r="T185" s="61">
        <v>0.5</v>
      </c>
      <c r="U185" s="57" t="s">
        <v>355</v>
      </c>
      <c r="V185" s="60">
        <v>0</v>
      </c>
      <c r="W185" s="57" t="s">
        <v>246</v>
      </c>
      <c r="X185" s="60">
        <v>47500</v>
      </c>
      <c r="Y185" s="57"/>
    </row>
    <row r="186" spans="1:25" x14ac:dyDescent="0.25">
      <c r="A186" s="57" t="s">
        <v>348</v>
      </c>
      <c r="B186" s="57" t="s">
        <v>233</v>
      </c>
      <c r="C186" s="57" t="s">
        <v>195</v>
      </c>
      <c r="D186" s="57" t="s">
        <v>242</v>
      </c>
      <c r="E186" s="57" t="s">
        <v>302</v>
      </c>
      <c r="F186" s="60">
        <v>250000</v>
      </c>
      <c r="G186" s="61">
        <v>0.61128181818181815</v>
      </c>
      <c r="H186" s="57" t="s">
        <v>355</v>
      </c>
      <c r="I186" s="61">
        <v>0.66666666666666663</v>
      </c>
      <c r="J186" s="57" t="s">
        <v>355</v>
      </c>
      <c r="K186" s="60">
        <v>150000</v>
      </c>
      <c r="L186" s="61">
        <v>0.37586666666666663</v>
      </c>
      <c r="M186" s="57" t="s">
        <v>355</v>
      </c>
      <c r="N186" s="60">
        <v>0</v>
      </c>
      <c r="O186" s="60">
        <v>50000</v>
      </c>
      <c r="P186" s="61">
        <v>0.95</v>
      </c>
      <c r="Q186" s="57" t="s">
        <v>354</v>
      </c>
      <c r="R186" s="60">
        <v>47500</v>
      </c>
      <c r="S186" s="60">
        <v>50000</v>
      </c>
      <c r="T186" s="61">
        <v>0.91379999999999995</v>
      </c>
      <c r="U186" s="57" t="s">
        <v>355</v>
      </c>
      <c r="V186" s="60">
        <v>45000</v>
      </c>
      <c r="W186" s="57" t="s">
        <v>349</v>
      </c>
      <c r="X186" s="60">
        <v>0</v>
      </c>
      <c r="Y186" s="57"/>
    </row>
    <row r="187" spans="1:25" x14ac:dyDescent="0.25">
      <c r="A187" s="57" t="s">
        <v>348</v>
      </c>
      <c r="B187" s="57" t="s">
        <v>233</v>
      </c>
      <c r="C187" s="57" t="s">
        <v>196</v>
      </c>
      <c r="D187" s="57" t="s">
        <v>242</v>
      </c>
      <c r="E187" s="57" t="s">
        <v>302</v>
      </c>
      <c r="F187" s="60">
        <v>250000</v>
      </c>
      <c r="G187" s="61">
        <v>0.78591818181818196</v>
      </c>
      <c r="H187" s="57" t="s">
        <v>354</v>
      </c>
      <c r="I187" s="61">
        <v>0.8</v>
      </c>
      <c r="J187" s="57" t="s">
        <v>354</v>
      </c>
      <c r="K187" s="60">
        <v>150000</v>
      </c>
      <c r="L187" s="61">
        <v>0.58333333333333337</v>
      </c>
      <c r="M187" s="57" t="s">
        <v>355</v>
      </c>
      <c r="N187" s="60">
        <v>87500</v>
      </c>
      <c r="O187" s="60">
        <v>50000</v>
      </c>
      <c r="P187" s="61">
        <v>0.95</v>
      </c>
      <c r="Q187" s="57" t="s">
        <v>354</v>
      </c>
      <c r="R187" s="60">
        <v>47500</v>
      </c>
      <c r="S187" s="60">
        <v>50000</v>
      </c>
      <c r="T187" s="61">
        <v>1</v>
      </c>
      <c r="U187" s="57" t="s">
        <v>354</v>
      </c>
      <c r="V187" s="60">
        <v>50000</v>
      </c>
      <c r="W187" s="57" t="s">
        <v>246</v>
      </c>
      <c r="X187" s="60">
        <v>185000</v>
      </c>
      <c r="Y187" s="57"/>
    </row>
    <row r="188" spans="1:25" x14ac:dyDescent="0.25">
      <c r="A188" s="57" t="s">
        <v>348</v>
      </c>
      <c r="B188" s="57" t="s">
        <v>233</v>
      </c>
      <c r="C188" s="57" t="s">
        <v>197</v>
      </c>
      <c r="D188" s="57" t="s">
        <v>242</v>
      </c>
      <c r="E188" s="57" t="s">
        <v>302</v>
      </c>
      <c r="F188" s="60">
        <v>250000</v>
      </c>
      <c r="G188" s="61">
        <v>0.69778181818181817</v>
      </c>
      <c r="H188" s="57" t="s">
        <v>355</v>
      </c>
      <c r="I188" s="61">
        <v>0.72727272727272729</v>
      </c>
      <c r="J188" s="57" t="s">
        <v>354</v>
      </c>
      <c r="K188" s="60">
        <v>150000</v>
      </c>
      <c r="L188" s="61">
        <v>0.43009999999999998</v>
      </c>
      <c r="M188" s="57" t="s">
        <v>355</v>
      </c>
      <c r="N188" s="60">
        <v>0</v>
      </c>
      <c r="O188" s="60">
        <v>50000</v>
      </c>
      <c r="P188" s="61">
        <v>0.95</v>
      </c>
      <c r="Q188" s="57" t="s">
        <v>354</v>
      </c>
      <c r="R188" s="60">
        <v>47500</v>
      </c>
      <c r="S188" s="60">
        <v>50000</v>
      </c>
      <c r="T188" s="61">
        <v>0.45945000000000003</v>
      </c>
      <c r="U188" s="57" t="s">
        <v>355</v>
      </c>
      <c r="V188" s="60">
        <v>0</v>
      </c>
      <c r="W188" s="57" t="s">
        <v>246</v>
      </c>
      <c r="X188" s="60">
        <v>47500</v>
      </c>
      <c r="Y188" s="57"/>
    </row>
    <row r="189" spans="1:25" x14ac:dyDescent="0.25">
      <c r="A189" s="57" t="s">
        <v>348</v>
      </c>
      <c r="B189" s="57" t="s">
        <v>233</v>
      </c>
      <c r="C189" s="57" t="s">
        <v>198</v>
      </c>
      <c r="D189" s="57" t="s">
        <v>242</v>
      </c>
      <c r="E189" s="57" t="s">
        <v>302</v>
      </c>
      <c r="F189" s="60">
        <v>250000</v>
      </c>
      <c r="G189" s="61">
        <v>0.78000000000000014</v>
      </c>
      <c r="H189" s="57" t="s">
        <v>354</v>
      </c>
      <c r="I189" s="61">
        <v>1</v>
      </c>
      <c r="J189" s="57" t="s">
        <v>354</v>
      </c>
      <c r="K189" s="60">
        <v>150000</v>
      </c>
      <c r="L189" s="61">
        <v>0.48666666666666664</v>
      </c>
      <c r="M189" s="57" t="s">
        <v>355</v>
      </c>
      <c r="N189" s="60">
        <v>0</v>
      </c>
      <c r="O189" s="60">
        <v>50000</v>
      </c>
      <c r="P189" s="61">
        <v>0.95</v>
      </c>
      <c r="Q189" s="57" t="s">
        <v>354</v>
      </c>
      <c r="R189" s="60">
        <v>47500</v>
      </c>
      <c r="S189" s="60">
        <v>50000</v>
      </c>
      <c r="T189" s="61">
        <v>0.49</v>
      </c>
      <c r="U189" s="57" t="s">
        <v>355</v>
      </c>
      <c r="V189" s="60">
        <v>0</v>
      </c>
      <c r="W189" s="57" t="s">
        <v>246</v>
      </c>
      <c r="X189" s="60">
        <v>47500</v>
      </c>
      <c r="Y189" s="5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B916-1329-4623-8FE2-F445444B0A42}">
  <dimension ref="A1:W190"/>
  <sheetViews>
    <sheetView tabSelected="1" zoomScale="70" zoomScaleNormal="70" workbookViewId="0">
      <selection activeCell="B8" sqref="B8"/>
    </sheetView>
  </sheetViews>
  <sheetFormatPr baseColWidth="10" defaultRowHeight="15" x14ac:dyDescent="0.25"/>
  <cols>
    <col min="1" max="1" width="48.85546875" bestFit="1" customWidth="1"/>
    <col min="2" max="2" width="25" bestFit="1" customWidth="1"/>
    <col min="3" max="3" width="15.7109375" bestFit="1" customWidth="1"/>
    <col min="4" max="4" width="21.7109375" bestFit="1" customWidth="1"/>
    <col min="5" max="5" width="16.28515625" bestFit="1" customWidth="1"/>
    <col min="6" max="6" width="18.85546875" bestFit="1" customWidth="1"/>
    <col min="7" max="7" width="16.28515625" bestFit="1" customWidth="1"/>
    <col min="8" max="8" width="11" bestFit="1" customWidth="1"/>
    <col min="9" max="9" width="13.5703125" bestFit="1" customWidth="1"/>
    <col min="10" max="10" width="21" bestFit="1" customWidth="1"/>
    <col min="11" max="11" width="12.85546875" bestFit="1" customWidth="1"/>
    <col min="12" max="12" width="16" bestFit="1" customWidth="1"/>
    <col min="13" max="13" width="16.85546875" bestFit="1" customWidth="1"/>
    <col min="14" max="14" width="24.5703125" bestFit="1" customWidth="1"/>
    <col min="15" max="16" width="19.5703125" bestFit="1" customWidth="1"/>
    <col min="17" max="17" width="8.140625" bestFit="1" customWidth="1"/>
    <col min="18" max="18" width="18.5703125" bestFit="1" customWidth="1"/>
    <col min="19" max="19" width="17.85546875" bestFit="1" customWidth="1"/>
    <col min="20" max="20" width="24.5703125" bestFit="1" customWidth="1"/>
    <col min="21" max="21" width="17.28515625" bestFit="1" customWidth="1"/>
    <col min="22" max="22" width="10.28515625" bestFit="1" customWidth="1"/>
  </cols>
  <sheetData>
    <row r="1" spans="1:23" x14ac:dyDescent="0.25">
      <c r="A1" s="11" t="s">
        <v>231</v>
      </c>
      <c r="B1" s="11" t="s">
        <v>6</v>
      </c>
      <c r="C1" s="12" t="s">
        <v>215</v>
      </c>
      <c r="D1" s="13" t="s">
        <v>216</v>
      </c>
      <c r="E1" s="13" t="s">
        <v>217</v>
      </c>
      <c r="F1" s="13" t="s">
        <v>218</v>
      </c>
      <c r="G1" s="12" t="s">
        <v>219</v>
      </c>
      <c r="H1" s="12" t="s">
        <v>220</v>
      </c>
      <c r="I1" s="12" t="s">
        <v>221</v>
      </c>
      <c r="J1" s="45" t="s">
        <v>253</v>
      </c>
      <c r="K1" s="45" t="s">
        <v>254</v>
      </c>
      <c r="L1" s="45" t="s">
        <v>255</v>
      </c>
      <c r="M1" s="45" t="s">
        <v>256</v>
      </c>
      <c r="N1" s="45" t="s">
        <v>277</v>
      </c>
      <c r="O1" s="45" t="s">
        <v>257</v>
      </c>
      <c r="P1" s="46" t="s">
        <v>249</v>
      </c>
      <c r="Q1" s="46" t="s">
        <v>267</v>
      </c>
      <c r="R1" s="46" t="s">
        <v>271</v>
      </c>
      <c r="S1" s="48" t="s">
        <v>273</v>
      </c>
      <c r="T1" s="48" t="s">
        <v>274</v>
      </c>
      <c r="U1" s="46" t="s">
        <v>272</v>
      </c>
      <c r="V1" s="46" t="s">
        <v>275</v>
      </c>
      <c r="W1" s="53" t="s">
        <v>347</v>
      </c>
    </row>
    <row r="2" spans="1:23" ht="16.5" x14ac:dyDescent="0.3">
      <c r="A2" s="14" t="s">
        <v>306</v>
      </c>
      <c r="B2" s="15" t="s">
        <v>37</v>
      </c>
      <c r="C2" s="24">
        <f>+VLOOKUP(B2,'INDICADORES CAPTURA'!C:N,12,FALSE)</f>
        <v>0.92803636363636377</v>
      </c>
      <c r="D2">
        <v>4</v>
      </c>
      <c r="E2">
        <v>4</v>
      </c>
      <c r="F2" s="16">
        <f>+E2/D2</f>
        <v>1</v>
      </c>
      <c r="G2">
        <v>47</v>
      </c>
      <c r="H2">
        <v>46</v>
      </c>
      <c r="I2" s="16">
        <f>+H2/G2</f>
        <v>0.97872340425531912</v>
      </c>
      <c r="J2" s="44">
        <v>1</v>
      </c>
      <c r="K2" s="44">
        <v>1</v>
      </c>
      <c r="L2" s="44">
        <v>0.97919999999999996</v>
      </c>
      <c r="M2" s="44">
        <v>1</v>
      </c>
      <c r="N2" s="44">
        <v>0.85709999999999997</v>
      </c>
      <c r="O2" s="44">
        <v>1</v>
      </c>
      <c r="P2" s="44">
        <f>+AVERAGE(L2,M2,N2)</f>
        <v>0.94543333333333335</v>
      </c>
      <c r="Q2" s="47">
        <v>0.95</v>
      </c>
      <c r="R2" s="44">
        <f>+J2</f>
        <v>1</v>
      </c>
      <c r="S2">
        <v>0</v>
      </c>
      <c r="T2" s="47">
        <f>+S2/D2</f>
        <v>0</v>
      </c>
      <c r="U2" s="47">
        <f>+IF(T2&lt;3%,100%,0)</f>
        <v>1</v>
      </c>
      <c r="V2" s="44">
        <f>+AVERAGE(R2,U2)</f>
        <v>1</v>
      </c>
      <c r="W2" t="s">
        <v>348</v>
      </c>
    </row>
    <row r="3" spans="1:23" ht="16.5" x14ac:dyDescent="0.3">
      <c r="A3" s="14" t="s">
        <v>307</v>
      </c>
      <c r="B3" s="15" t="s">
        <v>93</v>
      </c>
      <c r="C3" s="24">
        <f>+VLOOKUP(B3,'INDICADORES CAPTURA'!C:N,12,FALSE)</f>
        <v>0.86898181818181797</v>
      </c>
      <c r="D3">
        <v>3</v>
      </c>
      <c r="E3">
        <v>3</v>
      </c>
      <c r="F3" s="16">
        <f t="shared" ref="F3:F66" si="0">+E3/D3</f>
        <v>1</v>
      </c>
      <c r="G3">
        <v>29</v>
      </c>
      <c r="H3">
        <v>29</v>
      </c>
      <c r="I3" s="16">
        <f t="shared" ref="I3:I66" si="1">+H3/G3</f>
        <v>1</v>
      </c>
      <c r="J3" s="44">
        <v>1</v>
      </c>
      <c r="K3" s="44">
        <v>1</v>
      </c>
      <c r="L3" s="44">
        <v>0.55879999999999996</v>
      </c>
      <c r="M3" s="44">
        <v>1</v>
      </c>
      <c r="N3" s="44">
        <v>1</v>
      </c>
      <c r="O3" s="44">
        <v>1</v>
      </c>
      <c r="P3" s="44">
        <f t="shared" ref="P3:P66" si="2">+AVERAGE(L3,M3,N3)</f>
        <v>0.85293333333333321</v>
      </c>
      <c r="Q3" s="47">
        <v>0.95</v>
      </c>
      <c r="R3" s="44">
        <f t="shared" ref="R3:R66" si="3">+J3</f>
        <v>1</v>
      </c>
      <c r="S3">
        <v>0</v>
      </c>
      <c r="T3" s="47">
        <f t="shared" ref="T3:T66" si="4">+S3/D3</f>
        <v>0</v>
      </c>
      <c r="U3" s="47">
        <f t="shared" ref="U3:U66" si="5">+IF(T3&lt;3%,100%,0)</f>
        <v>1</v>
      </c>
      <c r="V3" s="44">
        <f t="shared" ref="V3:V65" si="6">+AVERAGE(R3,U3)</f>
        <v>1</v>
      </c>
      <c r="W3" t="s">
        <v>348</v>
      </c>
    </row>
    <row r="4" spans="1:23" ht="16.5" x14ac:dyDescent="0.3">
      <c r="A4" s="14" t="s">
        <v>306</v>
      </c>
      <c r="B4" s="15" t="s">
        <v>39</v>
      </c>
      <c r="C4" s="24">
        <f>+VLOOKUP(B4,'INDICADORES CAPTURA'!C:N,12,FALSE)</f>
        <v>0.84659090909090906</v>
      </c>
      <c r="D4">
        <v>6</v>
      </c>
      <c r="E4">
        <v>6</v>
      </c>
      <c r="F4" s="16">
        <f t="shared" si="0"/>
        <v>1</v>
      </c>
      <c r="G4">
        <v>61</v>
      </c>
      <c r="H4">
        <v>61</v>
      </c>
      <c r="I4" s="16">
        <f t="shared" si="1"/>
        <v>1</v>
      </c>
      <c r="J4" s="44">
        <v>1</v>
      </c>
      <c r="K4" s="44">
        <v>1</v>
      </c>
      <c r="L4" s="44">
        <v>0.3125</v>
      </c>
      <c r="M4" s="44">
        <v>1</v>
      </c>
      <c r="N4" s="44">
        <v>1</v>
      </c>
      <c r="O4" s="44">
        <v>1</v>
      </c>
      <c r="P4" s="44">
        <f t="shared" si="2"/>
        <v>0.77083333333333337</v>
      </c>
      <c r="Q4" s="47">
        <v>0.95</v>
      </c>
      <c r="R4" s="44">
        <f t="shared" si="3"/>
        <v>1</v>
      </c>
      <c r="S4">
        <v>0</v>
      </c>
      <c r="T4" s="47">
        <f t="shared" si="4"/>
        <v>0</v>
      </c>
      <c r="U4" s="47">
        <f t="shared" si="5"/>
        <v>1</v>
      </c>
      <c r="V4" s="44">
        <f t="shared" si="6"/>
        <v>1</v>
      </c>
      <c r="W4" t="s">
        <v>348</v>
      </c>
    </row>
    <row r="5" spans="1:23" ht="16.5" x14ac:dyDescent="0.3">
      <c r="A5" s="14" t="s">
        <v>207</v>
      </c>
      <c r="B5" s="15" t="s">
        <v>49</v>
      </c>
      <c r="C5" s="24">
        <f>+VLOOKUP(B5,'INDICADORES CAPTURA'!C:N,12,FALSE)</f>
        <v>0.89160909090909091</v>
      </c>
      <c r="D5">
        <v>1</v>
      </c>
      <c r="E5">
        <v>1</v>
      </c>
      <c r="F5" s="16">
        <f t="shared" si="0"/>
        <v>1</v>
      </c>
      <c r="G5">
        <v>26</v>
      </c>
      <c r="H5">
        <v>25</v>
      </c>
      <c r="I5" s="16">
        <f t="shared" si="1"/>
        <v>0.96153846153846156</v>
      </c>
      <c r="J5" s="44">
        <v>1</v>
      </c>
      <c r="K5" s="44">
        <v>1</v>
      </c>
      <c r="L5" s="44">
        <v>0.57689999999999997</v>
      </c>
      <c r="M5" s="44">
        <v>1</v>
      </c>
      <c r="N5" s="44">
        <v>1</v>
      </c>
      <c r="O5" s="44">
        <v>1</v>
      </c>
      <c r="P5" s="44">
        <f t="shared" si="2"/>
        <v>0.85896666666666677</v>
      </c>
      <c r="Q5" s="47">
        <v>0.95</v>
      </c>
      <c r="R5" s="44">
        <f t="shared" si="3"/>
        <v>1</v>
      </c>
      <c r="S5">
        <v>1</v>
      </c>
      <c r="T5" s="47">
        <f t="shared" si="4"/>
        <v>1</v>
      </c>
      <c r="U5" s="47">
        <f t="shared" si="5"/>
        <v>0</v>
      </c>
      <c r="V5" s="44">
        <f t="shared" si="6"/>
        <v>0.5</v>
      </c>
      <c r="W5" t="s">
        <v>348</v>
      </c>
    </row>
    <row r="6" spans="1:23" ht="16.5" x14ac:dyDescent="0.3">
      <c r="A6" s="14" t="s">
        <v>306</v>
      </c>
      <c r="B6" s="15" t="s">
        <v>29</v>
      </c>
      <c r="C6" s="24">
        <f>+VLOOKUP(B6,'INDICADORES CAPTURA'!C:N,12,FALSE)</f>
        <v>0.83382727272727275</v>
      </c>
      <c r="D6">
        <v>16</v>
      </c>
      <c r="E6">
        <v>16</v>
      </c>
      <c r="F6" s="16">
        <f t="shared" si="0"/>
        <v>1</v>
      </c>
      <c r="G6">
        <v>118</v>
      </c>
      <c r="H6">
        <v>118</v>
      </c>
      <c r="I6" s="16">
        <f t="shared" si="1"/>
        <v>1</v>
      </c>
      <c r="J6" s="44">
        <v>1</v>
      </c>
      <c r="K6" s="44">
        <v>1</v>
      </c>
      <c r="L6" s="44">
        <v>0</v>
      </c>
      <c r="M6" s="44">
        <v>1</v>
      </c>
      <c r="N6" s="44">
        <v>0.3115</v>
      </c>
      <c r="O6" s="44">
        <v>1</v>
      </c>
      <c r="P6" s="44">
        <f t="shared" si="2"/>
        <v>0.4371666666666667</v>
      </c>
      <c r="Q6" s="47">
        <v>0.95</v>
      </c>
      <c r="R6" s="44">
        <f t="shared" si="3"/>
        <v>1</v>
      </c>
      <c r="S6">
        <v>0</v>
      </c>
      <c r="T6" s="47">
        <f t="shared" si="4"/>
        <v>0</v>
      </c>
      <c r="U6" s="47">
        <f t="shared" si="5"/>
        <v>1</v>
      </c>
      <c r="V6" s="44">
        <f>+R6</f>
        <v>1</v>
      </c>
      <c r="W6" t="s">
        <v>348</v>
      </c>
    </row>
    <row r="7" spans="1:23" ht="16.5" x14ac:dyDescent="0.3">
      <c r="A7" s="14" t="s">
        <v>306</v>
      </c>
      <c r="B7" s="15" t="s">
        <v>36</v>
      </c>
      <c r="C7" s="24">
        <f>+VLOOKUP(B7,'INDICADORES CAPTURA'!C:N,12,FALSE)</f>
        <v>0.85950909090909089</v>
      </c>
      <c r="D7">
        <v>7</v>
      </c>
      <c r="E7">
        <v>7</v>
      </c>
      <c r="F7" s="16">
        <f t="shared" si="0"/>
        <v>1</v>
      </c>
      <c r="G7">
        <v>64</v>
      </c>
      <c r="H7">
        <v>63</v>
      </c>
      <c r="I7" s="16">
        <f t="shared" si="1"/>
        <v>0.984375</v>
      </c>
      <c r="J7" s="44">
        <v>1</v>
      </c>
      <c r="K7" s="44">
        <v>1</v>
      </c>
      <c r="L7" s="44">
        <v>0.65149999999999997</v>
      </c>
      <c r="M7" s="44">
        <v>1</v>
      </c>
      <c r="N7" s="44">
        <v>0.71430000000000005</v>
      </c>
      <c r="O7" s="44">
        <v>1</v>
      </c>
      <c r="P7" s="44">
        <f t="shared" si="2"/>
        <v>0.78860000000000008</v>
      </c>
      <c r="Q7" s="47">
        <v>0.95</v>
      </c>
      <c r="R7" s="44">
        <f t="shared" si="3"/>
        <v>1</v>
      </c>
      <c r="S7">
        <v>0</v>
      </c>
      <c r="T7" s="47">
        <f t="shared" si="4"/>
        <v>0</v>
      </c>
      <c r="U7" s="47">
        <f t="shared" si="5"/>
        <v>1</v>
      </c>
      <c r="V7" s="44">
        <f t="shared" si="6"/>
        <v>1</v>
      </c>
      <c r="W7" t="s">
        <v>348</v>
      </c>
    </row>
    <row r="8" spans="1:23" ht="16.5" x14ac:dyDescent="0.3">
      <c r="A8" s="14" t="s">
        <v>202</v>
      </c>
      <c r="B8" s="15" t="s">
        <v>64</v>
      </c>
      <c r="C8" s="24">
        <f>+VLOOKUP(B8,'INDICADORES CAPTURA'!C:N,12,FALSE)</f>
        <v>0.79825454545454544</v>
      </c>
      <c r="D8">
        <v>9</v>
      </c>
      <c r="E8">
        <v>9</v>
      </c>
      <c r="F8" s="16">
        <f t="shared" si="0"/>
        <v>1</v>
      </c>
      <c r="G8">
        <v>70</v>
      </c>
      <c r="H8">
        <v>70</v>
      </c>
      <c r="I8" s="16">
        <f t="shared" si="1"/>
        <v>1</v>
      </c>
      <c r="J8" s="44">
        <v>1</v>
      </c>
      <c r="K8" s="44">
        <v>1</v>
      </c>
      <c r="L8" s="44">
        <v>0</v>
      </c>
      <c r="M8" s="44">
        <v>1</v>
      </c>
      <c r="N8" s="44">
        <v>8.3299999999999999E-2</v>
      </c>
      <c r="O8" s="44">
        <v>1</v>
      </c>
      <c r="P8" s="44">
        <f t="shared" si="2"/>
        <v>0.36109999999999998</v>
      </c>
      <c r="Q8" s="47">
        <v>0.95</v>
      </c>
      <c r="R8" s="44">
        <f t="shared" si="3"/>
        <v>1</v>
      </c>
      <c r="S8">
        <v>6</v>
      </c>
      <c r="T8" s="47">
        <f t="shared" si="4"/>
        <v>0.66666666666666663</v>
      </c>
      <c r="U8" s="47">
        <f t="shared" si="5"/>
        <v>0</v>
      </c>
      <c r="V8" s="44">
        <f>+R8</f>
        <v>1</v>
      </c>
      <c r="W8" t="s">
        <v>348</v>
      </c>
    </row>
    <row r="9" spans="1:23" ht="16.5" x14ac:dyDescent="0.3">
      <c r="A9" s="14" t="s">
        <v>308</v>
      </c>
      <c r="B9" s="15" t="s">
        <v>11</v>
      </c>
      <c r="C9" s="24">
        <f>+VLOOKUP(B9,'INDICADORES CAPTURA'!C:N,12,FALSE)</f>
        <v>0.8841</v>
      </c>
      <c r="D9">
        <v>9</v>
      </c>
      <c r="E9">
        <v>9</v>
      </c>
      <c r="F9" s="16">
        <f t="shared" si="0"/>
        <v>1</v>
      </c>
      <c r="G9">
        <v>92</v>
      </c>
      <c r="H9">
        <v>88</v>
      </c>
      <c r="I9" s="16">
        <f t="shared" si="1"/>
        <v>0.95652173913043481</v>
      </c>
      <c r="J9" s="44">
        <v>0.97799999999999998</v>
      </c>
      <c r="K9" s="44">
        <v>0.95599999999999996</v>
      </c>
      <c r="L9" s="44">
        <v>0.85709999999999997</v>
      </c>
      <c r="M9" s="44">
        <v>0.98899999999999999</v>
      </c>
      <c r="N9" s="44">
        <v>0.76190000000000002</v>
      </c>
      <c r="O9" s="44">
        <v>0.96699999999999997</v>
      </c>
      <c r="P9" s="44">
        <f t="shared" si="2"/>
        <v>0.86933333333333318</v>
      </c>
      <c r="Q9" s="47">
        <v>0.95</v>
      </c>
      <c r="R9" s="44">
        <f t="shared" si="3"/>
        <v>0.97799999999999998</v>
      </c>
      <c r="S9">
        <v>6</v>
      </c>
      <c r="T9" s="47">
        <f t="shared" si="4"/>
        <v>0.66666666666666663</v>
      </c>
      <c r="U9" s="47">
        <f t="shared" si="5"/>
        <v>0</v>
      </c>
      <c r="V9" s="44">
        <f t="shared" si="6"/>
        <v>0.48899999999999999</v>
      </c>
      <c r="W9" t="s">
        <v>348</v>
      </c>
    </row>
    <row r="10" spans="1:23" ht="16.5" x14ac:dyDescent="0.3">
      <c r="A10" s="14" t="s">
        <v>307</v>
      </c>
      <c r="B10" s="15" t="s">
        <v>97</v>
      </c>
      <c r="C10" s="24">
        <f>+VLOOKUP(B10,'INDICADORES CAPTURA'!C:N,12,FALSE)</f>
        <v>0.82099999999999984</v>
      </c>
      <c r="D10">
        <v>7</v>
      </c>
      <c r="E10">
        <v>7</v>
      </c>
      <c r="F10" s="16">
        <f t="shared" si="0"/>
        <v>1</v>
      </c>
      <c r="G10">
        <v>94</v>
      </c>
      <c r="H10">
        <v>92</v>
      </c>
      <c r="I10" s="16">
        <f t="shared" si="1"/>
        <v>0.97872340425531912</v>
      </c>
      <c r="J10" s="44">
        <v>1</v>
      </c>
      <c r="K10" s="44">
        <v>1</v>
      </c>
      <c r="L10" s="44">
        <v>0.17530000000000001</v>
      </c>
      <c r="M10" s="44">
        <v>1</v>
      </c>
      <c r="N10" s="44">
        <v>0.86670000000000003</v>
      </c>
      <c r="O10" s="44">
        <v>1</v>
      </c>
      <c r="P10" s="44">
        <f t="shared" si="2"/>
        <v>0.68066666666666664</v>
      </c>
      <c r="Q10" s="47">
        <v>0.95</v>
      </c>
      <c r="R10" s="44">
        <f t="shared" si="3"/>
        <v>1</v>
      </c>
      <c r="S10">
        <v>0</v>
      </c>
      <c r="T10" s="47">
        <f t="shared" si="4"/>
        <v>0</v>
      </c>
      <c r="U10" s="47">
        <f t="shared" si="5"/>
        <v>1</v>
      </c>
      <c r="V10" s="44">
        <f t="shared" si="6"/>
        <v>1</v>
      </c>
      <c r="W10" t="s">
        <v>348</v>
      </c>
    </row>
    <row r="11" spans="1:23" ht="16.5" x14ac:dyDescent="0.3">
      <c r="A11" s="14" t="s">
        <v>306</v>
      </c>
      <c r="B11" s="15" t="s">
        <v>35</v>
      </c>
      <c r="C11" s="24">
        <f>+VLOOKUP(B11,'INDICADORES CAPTURA'!C:N,12,FALSE)</f>
        <v>0.8267181818181818</v>
      </c>
      <c r="D11">
        <v>6</v>
      </c>
      <c r="E11">
        <v>6</v>
      </c>
      <c r="F11" s="16">
        <f t="shared" si="0"/>
        <v>1</v>
      </c>
      <c r="G11">
        <v>57</v>
      </c>
      <c r="H11">
        <v>57</v>
      </c>
      <c r="I11" s="16">
        <f t="shared" si="1"/>
        <v>1</v>
      </c>
      <c r="J11" s="44">
        <v>0.98440000000000005</v>
      </c>
      <c r="K11" s="44">
        <v>0.98440000000000005</v>
      </c>
      <c r="L11" s="44">
        <v>7.8100000000000003E-2</v>
      </c>
      <c r="M11" s="44">
        <v>0.98440000000000005</v>
      </c>
      <c r="N11" s="44">
        <v>0.95830000000000004</v>
      </c>
      <c r="O11" s="44">
        <v>0.96879999999999999</v>
      </c>
      <c r="P11" s="44">
        <f t="shared" si="2"/>
        <v>0.67359999999999998</v>
      </c>
      <c r="Q11" s="47">
        <v>0.95</v>
      </c>
      <c r="R11" s="44">
        <f t="shared" si="3"/>
        <v>0.98440000000000005</v>
      </c>
      <c r="S11">
        <v>0</v>
      </c>
      <c r="T11" s="47">
        <f t="shared" si="4"/>
        <v>0</v>
      </c>
      <c r="U11" s="47">
        <f t="shared" si="5"/>
        <v>1</v>
      </c>
      <c r="V11" s="44">
        <f t="shared" si="6"/>
        <v>0.99219999999999997</v>
      </c>
      <c r="W11" t="s">
        <v>348</v>
      </c>
    </row>
    <row r="12" spans="1:23" ht="16.5" x14ac:dyDescent="0.3">
      <c r="A12" s="14" t="s">
        <v>306</v>
      </c>
      <c r="B12" s="15" t="s">
        <v>34</v>
      </c>
      <c r="C12" s="24">
        <f>+VLOOKUP(B12,'INDICADORES CAPTURA'!C:N,12,FALSE)</f>
        <v>0.8066363636363636</v>
      </c>
      <c r="D12">
        <v>8</v>
      </c>
      <c r="E12">
        <v>8</v>
      </c>
      <c r="F12" s="16">
        <f t="shared" si="0"/>
        <v>1</v>
      </c>
      <c r="G12">
        <v>59</v>
      </c>
      <c r="H12">
        <v>59</v>
      </c>
      <c r="I12" s="16">
        <f t="shared" si="1"/>
        <v>1</v>
      </c>
      <c r="J12" s="44">
        <v>1</v>
      </c>
      <c r="K12" s="44">
        <v>1</v>
      </c>
      <c r="L12" s="44">
        <v>9.5200000000000007E-2</v>
      </c>
      <c r="M12" s="44">
        <v>1</v>
      </c>
      <c r="N12" s="44">
        <v>1</v>
      </c>
      <c r="O12" s="44">
        <v>1</v>
      </c>
      <c r="P12" s="44">
        <f t="shared" si="2"/>
        <v>0.69840000000000002</v>
      </c>
      <c r="Q12" s="47">
        <v>0.95</v>
      </c>
      <c r="R12" s="44">
        <f t="shared" si="3"/>
        <v>1</v>
      </c>
      <c r="S12">
        <v>0</v>
      </c>
      <c r="T12" s="47">
        <f t="shared" si="4"/>
        <v>0</v>
      </c>
      <c r="U12" s="47">
        <f t="shared" si="5"/>
        <v>1</v>
      </c>
      <c r="V12" s="44">
        <f t="shared" si="6"/>
        <v>1</v>
      </c>
      <c r="W12" t="s">
        <v>348</v>
      </c>
    </row>
    <row r="13" spans="1:23" ht="16.5" x14ac:dyDescent="0.3">
      <c r="A13" s="14" t="s">
        <v>209</v>
      </c>
      <c r="B13" s="15" t="s">
        <v>171</v>
      </c>
      <c r="C13" s="24">
        <f>+VLOOKUP(B13,'INDICADORES CAPTURA'!C:N,12,FALSE)</f>
        <v>0.86429090909090922</v>
      </c>
      <c r="D13">
        <v>9</v>
      </c>
      <c r="E13">
        <v>9</v>
      </c>
      <c r="F13" s="16">
        <f t="shared" si="0"/>
        <v>1</v>
      </c>
      <c r="G13">
        <v>68</v>
      </c>
      <c r="H13">
        <v>67</v>
      </c>
      <c r="I13" s="16">
        <f t="shared" si="1"/>
        <v>0.98529411764705888</v>
      </c>
      <c r="J13" s="44">
        <v>1</v>
      </c>
      <c r="K13" s="44">
        <v>1</v>
      </c>
      <c r="L13" s="44">
        <v>0.52170000000000005</v>
      </c>
      <c r="M13" s="44">
        <v>1</v>
      </c>
      <c r="N13" s="44">
        <v>0.94740000000000002</v>
      </c>
      <c r="O13" s="44">
        <v>1</v>
      </c>
      <c r="P13" s="44">
        <f t="shared" si="2"/>
        <v>0.82303333333333339</v>
      </c>
      <c r="Q13" s="47">
        <v>0.95</v>
      </c>
      <c r="R13" s="44">
        <f t="shared" si="3"/>
        <v>1</v>
      </c>
      <c r="S13">
        <v>4</v>
      </c>
      <c r="T13" s="47">
        <f t="shared" si="4"/>
        <v>0.44444444444444442</v>
      </c>
      <c r="U13" s="47">
        <f t="shared" si="5"/>
        <v>0</v>
      </c>
      <c r="V13" s="44">
        <f t="shared" si="6"/>
        <v>0.5</v>
      </c>
      <c r="W13" t="s">
        <v>348</v>
      </c>
    </row>
    <row r="14" spans="1:23" ht="16.5" x14ac:dyDescent="0.3">
      <c r="A14" s="14" t="s">
        <v>202</v>
      </c>
      <c r="B14" s="15" t="s">
        <v>72</v>
      </c>
      <c r="C14" s="24">
        <f>+VLOOKUP(B14,'INDICADORES CAPTURA'!C:N,12,FALSE)</f>
        <v>0.80184545454545464</v>
      </c>
      <c r="D14">
        <v>10</v>
      </c>
      <c r="E14">
        <v>10</v>
      </c>
      <c r="F14" s="16">
        <f t="shared" si="0"/>
        <v>1</v>
      </c>
      <c r="G14">
        <v>88</v>
      </c>
      <c r="H14">
        <v>85</v>
      </c>
      <c r="I14" s="16">
        <f t="shared" si="1"/>
        <v>0.96590909090909094</v>
      </c>
      <c r="J14" s="44">
        <v>1</v>
      </c>
      <c r="K14" s="44">
        <v>1</v>
      </c>
      <c r="L14" s="44">
        <v>0.1124</v>
      </c>
      <c r="M14" s="44">
        <v>1</v>
      </c>
      <c r="N14" s="44">
        <v>1</v>
      </c>
      <c r="O14" s="44">
        <v>1</v>
      </c>
      <c r="P14" s="44">
        <f t="shared" si="2"/>
        <v>0.70413333333333339</v>
      </c>
      <c r="Q14" s="47">
        <v>0.95</v>
      </c>
      <c r="R14" s="44">
        <f t="shared" si="3"/>
        <v>1</v>
      </c>
      <c r="S14">
        <v>3</v>
      </c>
      <c r="T14" s="47">
        <f t="shared" si="4"/>
        <v>0.3</v>
      </c>
      <c r="U14" s="47">
        <f t="shared" si="5"/>
        <v>0</v>
      </c>
      <c r="V14" s="44">
        <f t="shared" si="6"/>
        <v>0.5</v>
      </c>
      <c r="W14" t="s">
        <v>348</v>
      </c>
    </row>
    <row r="15" spans="1:23" ht="16.5" x14ac:dyDescent="0.3">
      <c r="A15" s="14" t="s">
        <v>306</v>
      </c>
      <c r="B15" s="15" t="s">
        <v>42</v>
      </c>
      <c r="C15" s="24">
        <f>+VLOOKUP(B15,'INDICADORES CAPTURA'!C:N,12,FALSE)</f>
        <v>0.81572727272727275</v>
      </c>
      <c r="D15">
        <v>8</v>
      </c>
      <c r="E15">
        <v>8</v>
      </c>
      <c r="F15" s="16">
        <f t="shared" si="0"/>
        <v>1</v>
      </c>
      <c r="G15">
        <v>74</v>
      </c>
      <c r="H15">
        <v>70</v>
      </c>
      <c r="I15" s="16">
        <f t="shared" si="1"/>
        <v>0.94594594594594594</v>
      </c>
      <c r="J15" s="44">
        <v>1</v>
      </c>
      <c r="K15" s="44">
        <v>1</v>
      </c>
      <c r="L15" s="44">
        <v>0.1757</v>
      </c>
      <c r="M15" s="44">
        <v>1</v>
      </c>
      <c r="N15" s="44">
        <v>0.44440000000000002</v>
      </c>
      <c r="O15" s="44">
        <v>1</v>
      </c>
      <c r="P15" s="44">
        <f t="shared" si="2"/>
        <v>0.54003333333333325</v>
      </c>
      <c r="Q15" s="47">
        <v>0.95</v>
      </c>
      <c r="R15" s="44">
        <f t="shared" si="3"/>
        <v>1</v>
      </c>
      <c r="S15">
        <v>0</v>
      </c>
      <c r="T15" s="47">
        <f t="shared" si="4"/>
        <v>0</v>
      </c>
      <c r="U15" s="47">
        <f t="shared" si="5"/>
        <v>1</v>
      </c>
      <c r="V15" s="44">
        <f t="shared" si="6"/>
        <v>1</v>
      </c>
      <c r="W15" t="s">
        <v>348</v>
      </c>
    </row>
    <row r="16" spans="1:23" ht="16.5" x14ac:dyDescent="0.3">
      <c r="A16" s="14" t="s">
        <v>207</v>
      </c>
      <c r="B16" s="15" t="s">
        <v>127</v>
      </c>
      <c r="C16" s="24">
        <f>+VLOOKUP(B16,'INDICADORES CAPTURA'!C:N,12,FALSE)</f>
        <v>0.80471818181818189</v>
      </c>
      <c r="D16">
        <v>1</v>
      </c>
      <c r="E16">
        <v>1</v>
      </c>
      <c r="F16" s="16">
        <f t="shared" si="0"/>
        <v>1</v>
      </c>
      <c r="G16">
        <v>26</v>
      </c>
      <c r="H16">
        <v>26</v>
      </c>
      <c r="I16" s="16">
        <f t="shared" si="1"/>
        <v>1</v>
      </c>
      <c r="J16" s="44">
        <v>1</v>
      </c>
      <c r="K16" s="44">
        <v>1</v>
      </c>
      <c r="L16" s="44">
        <v>7.4099999999999999E-2</v>
      </c>
      <c r="M16" s="44">
        <v>1</v>
      </c>
      <c r="N16" s="44">
        <v>0</v>
      </c>
      <c r="O16" s="44">
        <v>1</v>
      </c>
      <c r="P16" s="44">
        <f t="shared" si="2"/>
        <v>0.35803333333333337</v>
      </c>
      <c r="Q16" s="47">
        <v>0.95</v>
      </c>
      <c r="R16" s="44">
        <f t="shared" si="3"/>
        <v>1</v>
      </c>
      <c r="S16">
        <v>0</v>
      </c>
      <c r="T16" s="47">
        <f t="shared" si="4"/>
        <v>0</v>
      </c>
      <c r="U16" s="47">
        <f t="shared" si="5"/>
        <v>1</v>
      </c>
      <c r="V16" s="44">
        <f t="shared" si="6"/>
        <v>1</v>
      </c>
      <c r="W16" t="s">
        <v>348</v>
      </c>
    </row>
    <row r="17" spans="1:23" ht="16.5" x14ac:dyDescent="0.3">
      <c r="A17" s="14" t="s">
        <v>203</v>
      </c>
      <c r="B17" s="15" t="s">
        <v>75</v>
      </c>
      <c r="C17" s="24">
        <f>+VLOOKUP(B17,'INDICADORES CAPTURA'!C:N,12,FALSE)</f>
        <v>0.88816363636363638</v>
      </c>
      <c r="D17">
        <v>28</v>
      </c>
      <c r="E17">
        <v>27</v>
      </c>
      <c r="F17" s="16">
        <f t="shared" si="0"/>
        <v>0.9642857142857143</v>
      </c>
      <c r="G17">
        <v>105</v>
      </c>
      <c r="H17">
        <v>97</v>
      </c>
      <c r="I17" s="16">
        <f t="shared" si="1"/>
        <v>0.92380952380952386</v>
      </c>
      <c r="J17" s="44">
        <v>1</v>
      </c>
      <c r="K17" s="44">
        <v>1</v>
      </c>
      <c r="L17" s="44">
        <v>0.746</v>
      </c>
      <c r="M17" s="44">
        <v>1</v>
      </c>
      <c r="N17" s="44">
        <v>1</v>
      </c>
      <c r="O17" s="44">
        <v>1</v>
      </c>
      <c r="P17" s="44">
        <f t="shared" si="2"/>
        <v>0.91533333333333333</v>
      </c>
      <c r="Q17" s="47">
        <v>0.95</v>
      </c>
      <c r="R17" s="44">
        <f t="shared" si="3"/>
        <v>1</v>
      </c>
      <c r="S17">
        <v>11</v>
      </c>
      <c r="T17" s="47">
        <f t="shared" si="4"/>
        <v>0.39285714285714285</v>
      </c>
      <c r="U17" s="47">
        <f t="shared" si="5"/>
        <v>0</v>
      </c>
      <c r="V17" s="44">
        <f t="shared" si="6"/>
        <v>0.5</v>
      </c>
      <c r="W17" t="s">
        <v>348</v>
      </c>
    </row>
    <row r="18" spans="1:23" ht="16.5" x14ac:dyDescent="0.3">
      <c r="A18" s="14" t="s">
        <v>202</v>
      </c>
      <c r="B18" s="15" t="s">
        <v>67</v>
      </c>
      <c r="C18" s="24">
        <f>+VLOOKUP(B18,'INDICADORES CAPTURA'!C:N,12,FALSE)</f>
        <v>0.79930909090909086</v>
      </c>
      <c r="D18">
        <v>5</v>
      </c>
      <c r="E18">
        <v>5</v>
      </c>
      <c r="F18" s="16">
        <f t="shared" si="0"/>
        <v>1</v>
      </c>
      <c r="G18">
        <v>51</v>
      </c>
      <c r="H18">
        <v>49</v>
      </c>
      <c r="I18" s="16">
        <f t="shared" si="1"/>
        <v>0.96078431372549022</v>
      </c>
      <c r="J18" s="44">
        <v>1</v>
      </c>
      <c r="K18" s="44">
        <v>1</v>
      </c>
      <c r="L18" s="44">
        <v>5.6599999999999998E-2</v>
      </c>
      <c r="M18" s="44">
        <v>1</v>
      </c>
      <c r="N18" s="44">
        <v>1</v>
      </c>
      <c r="O18" s="44">
        <v>1</v>
      </c>
      <c r="P18" s="44">
        <f t="shared" si="2"/>
        <v>0.68553333333333333</v>
      </c>
      <c r="Q18" s="47">
        <v>0.95</v>
      </c>
      <c r="R18" s="44">
        <f t="shared" si="3"/>
        <v>1</v>
      </c>
      <c r="S18">
        <v>1</v>
      </c>
      <c r="T18" s="47">
        <f t="shared" si="4"/>
        <v>0.2</v>
      </c>
      <c r="U18" s="47">
        <f t="shared" si="5"/>
        <v>0</v>
      </c>
      <c r="V18" s="44">
        <f t="shared" si="6"/>
        <v>0.5</v>
      </c>
      <c r="W18" t="s">
        <v>348</v>
      </c>
    </row>
    <row r="19" spans="1:23" ht="16.5" x14ac:dyDescent="0.3">
      <c r="A19" s="14" t="s">
        <v>207</v>
      </c>
      <c r="B19" s="15" t="s">
        <v>136</v>
      </c>
      <c r="C19" s="24">
        <f>+VLOOKUP(B19,'INDICADORES CAPTURA'!C:N,12,FALSE)</f>
        <v>0.85074545454545458</v>
      </c>
      <c r="D19">
        <v>20</v>
      </c>
      <c r="E19">
        <v>20</v>
      </c>
      <c r="F19" s="16">
        <f t="shared" si="0"/>
        <v>1</v>
      </c>
      <c r="G19">
        <v>134</v>
      </c>
      <c r="H19">
        <v>127</v>
      </c>
      <c r="I19" s="16">
        <f t="shared" si="1"/>
        <v>0.94776119402985071</v>
      </c>
      <c r="J19" s="44">
        <v>1</v>
      </c>
      <c r="K19" s="44">
        <v>1</v>
      </c>
      <c r="L19" s="44">
        <v>0.43280000000000002</v>
      </c>
      <c r="M19" s="44">
        <v>1</v>
      </c>
      <c r="N19" s="44">
        <v>0.79490000000000005</v>
      </c>
      <c r="O19" s="44">
        <v>1</v>
      </c>
      <c r="P19" s="44">
        <f t="shared" si="2"/>
        <v>0.74256666666666671</v>
      </c>
      <c r="Q19" s="47">
        <v>0.95</v>
      </c>
      <c r="R19" s="44">
        <f t="shared" si="3"/>
        <v>1</v>
      </c>
      <c r="S19">
        <v>0</v>
      </c>
      <c r="T19" s="47">
        <f t="shared" si="4"/>
        <v>0</v>
      </c>
      <c r="U19" s="47">
        <f t="shared" si="5"/>
        <v>1</v>
      </c>
      <c r="V19" s="44">
        <f t="shared" si="6"/>
        <v>1</v>
      </c>
      <c r="W19" t="s">
        <v>348</v>
      </c>
    </row>
    <row r="20" spans="1:23" ht="16.5" x14ac:dyDescent="0.3">
      <c r="A20" s="14" t="s">
        <v>205</v>
      </c>
      <c r="B20" s="15" t="s">
        <v>106</v>
      </c>
      <c r="C20" s="24">
        <f>+VLOOKUP(B20,'INDICADORES CAPTURA'!C:N,12,FALSE)</f>
        <v>0.8538</v>
      </c>
      <c r="D20">
        <v>19</v>
      </c>
      <c r="E20">
        <v>18</v>
      </c>
      <c r="F20" s="16">
        <f t="shared" si="0"/>
        <v>0.94736842105263153</v>
      </c>
      <c r="G20">
        <v>124</v>
      </c>
      <c r="H20">
        <v>116</v>
      </c>
      <c r="I20" s="16">
        <f t="shared" si="1"/>
        <v>0.93548387096774188</v>
      </c>
      <c r="J20" s="44">
        <v>1</v>
      </c>
      <c r="K20" s="44">
        <v>1</v>
      </c>
      <c r="L20" s="44">
        <v>0.54169999999999996</v>
      </c>
      <c r="M20" s="44">
        <v>1</v>
      </c>
      <c r="N20" s="44">
        <v>1</v>
      </c>
      <c r="O20" s="44">
        <v>1</v>
      </c>
      <c r="P20" s="44">
        <f t="shared" si="2"/>
        <v>0.84723333333333339</v>
      </c>
      <c r="Q20" s="47">
        <v>0.95</v>
      </c>
      <c r="R20" s="44">
        <f t="shared" si="3"/>
        <v>1</v>
      </c>
      <c r="S20">
        <v>8</v>
      </c>
      <c r="T20" s="47">
        <f t="shared" si="4"/>
        <v>0.42105263157894735</v>
      </c>
      <c r="U20" s="47">
        <f t="shared" si="5"/>
        <v>0</v>
      </c>
      <c r="V20" s="44">
        <f t="shared" si="6"/>
        <v>0.5</v>
      </c>
      <c r="W20" t="s">
        <v>348</v>
      </c>
    </row>
    <row r="21" spans="1:23" ht="16.5" x14ac:dyDescent="0.3">
      <c r="A21" s="14" t="s">
        <v>309</v>
      </c>
      <c r="B21" s="15" t="s">
        <v>47</v>
      </c>
      <c r="C21" s="24">
        <f>+VLOOKUP(B21,'INDICADORES CAPTURA'!C:N,12,FALSE)</f>
        <v>0.78945454545454541</v>
      </c>
      <c r="D21">
        <v>13</v>
      </c>
      <c r="E21">
        <v>13</v>
      </c>
      <c r="F21" s="16">
        <f t="shared" si="0"/>
        <v>1</v>
      </c>
      <c r="G21">
        <v>113</v>
      </c>
      <c r="H21">
        <v>110</v>
      </c>
      <c r="I21" s="16">
        <f t="shared" si="1"/>
        <v>0.97345132743362828</v>
      </c>
      <c r="J21" s="44">
        <v>0.99119999999999997</v>
      </c>
      <c r="K21" s="44">
        <v>0.99119999999999997</v>
      </c>
      <c r="L21" s="44">
        <v>7.0199999999999999E-2</v>
      </c>
      <c r="M21" s="44">
        <v>0.99119999999999997</v>
      </c>
      <c r="N21" s="44">
        <v>0.375</v>
      </c>
      <c r="O21" s="44">
        <v>0.99119999999999997</v>
      </c>
      <c r="P21" s="44">
        <f t="shared" si="2"/>
        <v>0.47879999999999995</v>
      </c>
      <c r="Q21" s="47">
        <v>0.95</v>
      </c>
      <c r="R21" s="44">
        <f t="shared" si="3"/>
        <v>0.99119999999999997</v>
      </c>
      <c r="S21">
        <v>9</v>
      </c>
      <c r="T21" s="47">
        <f t="shared" si="4"/>
        <v>0.69230769230769229</v>
      </c>
      <c r="U21" s="47">
        <f t="shared" si="5"/>
        <v>0</v>
      </c>
      <c r="V21" s="44">
        <f t="shared" si="6"/>
        <v>0.49559999999999998</v>
      </c>
      <c r="W21" t="s">
        <v>348</v>
      </c>
    </row>
    <row r="22" spans="1:23" ht="16.5" x14ac:dyDescent="0.3">
      <c r="A22" s="14" t="s">
        <v>202</v>
      </c>
      <c r="B22" s="15" t="s">
        <v>63</v>
      </c>
      <c r="C22" s="24">
        <f>+VLOOKUP(B22,'INDICADORES CAPTURA'!C:N,12,FALSE)</f>
        <v>0.81049090909090904</v>
      </c>
      <c r="D22">
        <v>23</v>
      </c>
      <c r="E22">
        <v>23</v>
      </c>
      <c r="F22" s="16">
        <f t="shared" si="0"/>
        <v>1</v>
      </c>
      <c r="G22">
        <v>129</v>
      </c>
      <c r="H22">
        <v>124</v>
      </c>
      <c r="I22" s="16">
        <f t="shared" si="1"/>
        <v>0.96124031007751942</v>
      </c>
      <c r="J22" s="44">
        <v>1</v>
      </c>
      <c r="K22" s="44">
        <v>1</v>
      </c>
      <c r="L22" s="44">
        <v>0.1462</v>
      </c>
      <c r="M22" s="44">
        <v>1</v>
      </c>
      <c r="N22" s="44">
        <v>0.2424</v>
      </c>
      <c r="O22" s="44">
        <v>1</v>
      </c>
      <c r="P22" s="44">
        <f t="shared" si="2"/>
        <v>0.46286666666666659</v>
      </c>
      <c r="Q22" s="47">
        <v>0.95</v>
      </c>
      <c r="R22" s="44">
        <f t="shared" si="3"/>
        <v>1</v>
      </c>
      <c r="S22">
        <v>6</v>
      </c>
      <c r="T22" s="47">
        <f t="shared" si="4"/>
        <v>0.2608695652173913</v>
      </c>
      <c r="U22" s="47">
        <f t="shared" si="5"/>
        <v>0</v>
      </c>
      <c r="V22" s="44">
        <f t="shared" si="6"/>
        <v>0.5</v>
      </c>
      <c r="W22" t="s">
        <v>348</v>
      </c>
    </row>
    <row r="23" spans="1:23" ht="16.5" x14ac:dyDescent="0.3">
      <c r="A23" s="14" t="s">
        <v>306</v>
      </c>
      <c r="B23" s="15" t="s">
        <v>33</v>
      </c>
      <c r="C23" s="24">
        <f>+VLOOKUP(B23,'INDICADORES CAPTURA'!C:N,12,FALSE)</f>
        <v>0.85924545454545442</v>
      </c>
      <c r="D23">
        <v>20</v>
      </c>
      <c r="E23">
        <v>20</v>
      </c>
      <c r="F23" s="16">
        <f t="shared" si="0"/>
        <v>1</v>
      </c>
      <c r="G23">
        <v>125</v>
      </c>
      <c r="H23">
        <v>110</v>
      </c>
      <c r="I23" s="16">
        <f t="shared" si="1"/>
        <v>0.88</v>
      </c>
      <c r="J23" s="44">
        <v>0.99119999999999997</v>
      </c>
      <c r="K23" s="44">
        <v>0.99119999999999997</v>
      </c>
      <c r="L23" s="44">
        <v>0.64600000000000002</v>
      </c>
      <c r="M23" s="44">
        <v>0.99119999999999997</v>
      </c>
      <c r="N23" s="44">
        <v>0.54900000000000004</v>
      </c>
      <c r="O23" s="44">
        <v>0.99119999999999997</v>
      </c>
      <c r="P23" s="44">
        <f t="shared" si="2"/>
        <v>0.72873333333333334</v>
      </c>
      <c r="Q23" s="47">
        <v>0.95</v>
      </c>
      <c r="R23" s="44">
        <f t="shared" si="3"/>
        <v>0.99119999999999997</v>
      </c>
      <c r="S23">
        <v>0</v>
      </c>
      <c r="T23" s="47">
        <f t="shared" si="4"/>
        <v>0</v>
      </c>
      <c r="U23" s="47">
        <f t="shared" si="5"/>
        <v>1</v>
      </c>
      <c r="V23" s="44">
        <f t="shared" si="6"/>
        <v>0.99560000000000004</v>
      </c>
      <c r="W23" t="s">
        <v>348</v>
      </c>
    </row>
    <row r="24" spans="1:23" ht="16.5" x14ac:dyDescent="0.3">
      <c r="A24" s="14" t="s">
        <v>309</v>
      </c>
      <c r="B24" s="15" t="s">
        <v>48</v>
      </c>
      <c r="C24" s="24">
        <f>+VLOOKUP(B24,'INDICADORES CAPTURA'!C:N,12,FALSE)</f>
        <v>0.75649999999999984</v>
      </c>
      <c r="D24">
        <v>1</v>
      </c>
      <c r="E24">
        <v>1</v>
      </c>
      <c r="F24" s="16">
        <f t="shared" si="0"/>
        <v>1</v>
      </c>
      <c r="G24">
        <v>27</v>
      </c>
      <c r="H24">
        <v>27</v>
      </c>
      <c r="I24" s="16">
        <f t="shared" si="1"/>
        <v>1</v>
      </c>
      <c r="J24" s="44">
        <v>0.96430000000000005</v>
      </c>
      <c r="K24" s="44">
        <v>1</v>
      </c>
      <c r="L24" s="44">
        <v>0</v>
      </c>
      <c r="M24" s="44">
        <v>1</v>
      </c>
      <c r="N24" s="44">
        <v>1</v>
      </c>
      <c r="O24" s="44">
        <v>0.96430000000000005</v>
      </c>
      <c r="P24" s="44">
        <f t="shared" si="2"/>
        <v>0.66666666666666663</v>
      </c>
      <c r="Q24" s="47">
        <v>0.95</v>
      </c>
      <c r="R24" s="44">
        <f t="shared" si="3"/>
        <v>0.96430000000000005</v>
      </c>
      <c r="S24">
        <v>1</v>
      </c>
      <c r="T24" s="47">
        <f t="shared" si="4"/>
        <v>1</v>
      </c>
      <c r="U24" s="47">
        <f t="shared" si="5"/>
        <v>0</v>
      </c>
      <c r="V24" s="44">
        <f>+R24</f>
        <v>0.96430000000000005</v>
      </c>
      <c r="W24" t="s">
        <v>348</v>
      </c>
    </row>
    <row r="25" spans="1:23" ht="16.5" x14ac:dyDescent="0.3">
      <c r="A25" s="14" t="s">
        <v>307</v>
      </c>
      <c r="B25" s="15" t="s">
        <v>86</v>
      </c>
      <c r="C25" s="24">
        <f>+VLOOKUP(B25,'INDICADORES CAPTURA'!C:N,12,FALSE)</f>
        <v>0.82840000000000014</v>
      </c>
      <c r="D25">
        <v>10</v>
      </c>
      <c r="E25">
        <v>10</v>
      </c>
      <c r="F25" s="16">
        <f t="shared" si="0"/>
        <v>1</v>
      </c>
      <c r="G25">
        <v>90</v>
      </c>
      <c r="H25">
        <v>85</v>
      </c>
      <c r="I25" s="16">
        <f t="shared" si="1"/>
        <v>0.94444444444444442</v>
      </c>
      <c r="J25" s="44">
        <v>1</v>
      </c>
      <c r="K25" s="44">
        <v>1</v>
      </c>
      <c r="L25" s="44">
        <v>0.35959999999999998</v>
      </c>
      <c r="M25" s="44">
        <v>1</v>
      </c>
      <c r="N25" s="44">
        <v>0.93330000000000002</v>
      </c>
      <c r="O25" s="44">
        <v>1</v>
      </c>
      <c r="P25" s="44">
        <f t="shared" si="2"/>
        <v>0.76429999999999998</v>
      </c>
      <c r="Q25" s="47">
        <v>0.95</v>
      </c>
      <c r="R25" s="44">
        <f t="shared" si="3"/>
        <v>1</v>
      </c>
      <c r="S25">
        <v>0</v>
      </c>
      <c r="T25" s="47">
        <f t="shared" si="4"/>
        <v>0</v>
      </c>
      <c r="U25" s="47">
        <f t="shared" si="5"/>
        <v>1</v>
      </c>
      <c r="V25" s="44">
        <f t="shared" si="6"/>
        <v>1</v>
      </c>
      <c r="W25" t="s">
        <v>348</v>
      </c>
    </row>
    <row r="26" spans="1:23" ht="16.5" x14ac:dyDescent="0.3">
      <c r="A26" s="14" t="s">
        <v>208</v>
      </c>
      <c r="B26" s="15" t="s">
        <v>142</v>
      </c>
      <c r="C26" s="24">
        <f>+VLOOKUP(B26,'INDICADORES CAPTURA'!C:N,12,FALSE)</f>
        <v>0.81480909090909104</v>
      </c>
      <c r="D26">
        <v>6</v>
      </c>
      <c r="E26">
        <v>6</v>
      </c>
      <c r="F26" s="16">
        <f t="shared" si="0"/>
        <v>1</v>
      </c>
      <c r="G26">
        <v>52</v>
      </c>
      <c r="H26">
        <v>46</v>
      </c>
      <c r="I26" s="16">
        <f t="shared" si="1"/>
        <v>0.88461538461538458</v>
      </c>
      <c r="J26" s="44">
        <v>1</v>
      </c>
      <c r="K26" s="44">
        <v>1</v>
      </c>
      <c r="L26" s="44">
        <v>3.6999999999999998E-2</v>
      </c>
      <c r="M26" s="44">
        <v>1</v>
      </c>
      <c r="N26" s="44">
        <v>0.57140000000000002</v>
      </c>
      <c r="O26" s="44">
        <v>1</v>
      </c>
      <c r="P26" s="44">
        <f t="shared" si="2"/>
        <v>0.53613333333333335</v>
      </c>
      <c r="Q26" s="47">
        <v>0.95</v>
      </c>
      <c r="R26" s="44">
        <f t="shared" si="3"/>
        <v>1</v>
      </c>
      <c r="S26">
        <v>1</v>
      </c>
      <c r="T26" s="47">
        <f t="shared" si="4"/>
        <v>0.16666666666666666</v>
      </c>
      <c r="U26" s="47">
        <f t="shared" si="5"/>
        <v>0</v>
      </c>
      <c r="V26" s="44">
        <f t="shared" si="6"/>
        <v>0.5</v>
      </c>
      <c r="W26" t="s">
        <v>348</v>
      </c>
    </row>
    <row r="27" spans="1:23" ht="16.5" x14ac:dyDescent="0.3">
      <c r="A27" s="14" t="s">
        <v>207</v>
      </c>
      <c r="B27" s="15" t="s">
        <v>125</v>
      </c>
      <c r="C27" s="24">
        <f>+VLOOKUP(B27,'INDICADORES CAPTURA'!C:N,12,FALSE)</f>
        <v>0.82110909090909101</v>
      </c>
      <c r="D27">
        <v>12</v>
      </c>
      <c r="E27">
        <v>12</v>
      </c>
      <c r="F27" s="16">
        <f t="shared" si="0"/>
        <v>1</v>
      </c>
      <c r="G27">
        <v>97</v>
      </c>
      <c r="H27">
        <v>91</v>
      </c>
      <c r="I27" s="16">
        <f t="shared" si="1"/>
        <v>0.93814432989690721</v>
      </c>
      <c r="J27" s="44">
        <v>1</v>
      </c>
      <c r="K27" s="44">
        <v>1</v>
      </c>
      <c r="L27" s="44">
        <v>0.21510000000000001</v>
      </c>
      <c r="M27" s="44">
        <v>1</v>
      </c>
      <c r="N27" s="44">
        <v>0.93330000000000002</v>
      </c>
      <c r="O27" s="44">
        <v>1</v>
      </c>
      <c r="P27" s="44">
        <f t="shared" si="2"/>
        <v>0.7161333333333334</v>
      </c>
      <c r="Q27" s="47">
        <v>0.95</v>
      </c>
      <c r="R27" s="44">
        <f t="shared" si="3"/>
        <v>1</v>
      </c>
      <c r="S27">
        <v>8</v>
      </c>
      <c r="T27" s="47">
        <f t="shared" si="4"/>
        <v>0.66666666666666663</v>
      </c>
      <c r="U27" s="47">
        <f t="shared" si="5"/>
        <v>0</v>
      </c>
      <c r="V27" s="44">
        <f t="shared" si="6"/>
        <v>0.5</v>
      </c>
      <c r="W27" t="s">
        <v>348</v>
      </c>
    </row>
    <row r="28" spans="1:23" ht="16.5" x14ac:dyDescent="0.3">
      <c r="A28" s="14" t="s">
        <v>207</v>
      </c>
      <c r="B28" s="15" t="s">
        <v>128</v>
      </c>
      <c r="C28" s="24">
        <f>+VLOOKUP(B28,'INDICADORES CAPTURA'!C:N,12,FALSE)</f>
        <v>0.8561727272727272</v>
      </c>
      <c r="D28">
        <v>10</v>
      </c>
      <c r="E28">
        <v>10</v>
      </c>
      <c r="F28" s="16">
        <f t="shared" si="0"/>
        <v>1</v>
      </c>
      <c r="G28">
        <v>65</v>
      </c>
      <c r="H28">
        <v>56</v>
      </c>
      <c r="I28" s="16">
        <f t="shared" si="1"/>
        <v>0.86153846153846159</v>
      </c>
      <c r="J28" s="44">
        <v>1</v>
      </c>
      <c r="K28" s="44">
        <v>1</v>
      </c>
      <c r="L28" s="44">
        <v>0.50749999999999995</v>
      </c>
      <c r="M28" s="44">
        <v>1</v>
      </c>
      <c r="N28" s="44">
        <v>0.44440000000000002</v>
      </c>
      <c r="O28" s="44">
        <v>1</v>
      </c>
      <c r="P28" s="44">
        <f t="shared" si="2"/>
        <v>0.65063333333333329</v>
      </c>
      <c r="Q28" s="47">
        <v>0.95</v>
      </c>
      <c r="R28" s="44">
        <f t="shared" si="3"/>
        <v>1</v>
      </c>
      <c r="S28">
        <v>0</v>
      </c>
      <c r="T28" s="47">
        <f t="shared" si="4"/>
        <v>0</v>
      </c>
      <c r="U28" s="47">
        <f t="shared" si="5"/>
        <v>1</v>
      </c>
      <c r="V28" s="44">
        <f t="shared" si="6"/>
        <v>1</v>
      </c>
      <c r="W28" t="s">
        <v>348</v>
      </c>
    </row>
    <row r="29" spans="1:23" ht="16.5" x14ac:dyDescent="0.3">
      <c r="A29" s="14" t="s">
        <v>209</v>
      </c>
      <c r="B29" s="15" t="s">
        <v>159</v>
      </c>
      <c r="C29" s="24">
        <f>+VLOOKUP(B29,'INDICADORES CAPTURA'!C:N,12,FALSE)</f>
        <v>0.8475454545454546</v>
      </c>
      <c r="D29">
        <v>9</v>
      </c>
      <c r="E29">
        <v>9</v>
      </c>
      <c r="F29" s="16">
        <f t="shared" si="0"/>
        <v>1</v>
      </c>
      <c r="G29">
        <v>70</v>
      </c>
      <c r="H29">
        <v>63</v>
      </c>
      <c r="I29" s="16">
        <f t="shared" si="1"/>
        <v>0.9</v>
      </c>
      <c r="J29" s="44">
        <v>1</v>
      </c>
      <c r="K29" s="44">
        <v>1</v>
      </c>
      <c r="L29" s="44">
        <v>0.52310000000000001</v>
      </c>
      <c r="M29" s="44">
        <v>1</v>
      </c>
      <c r="N29" s="44">
        <v>0.94740000000000002</v>
      </c>
      <c r="O29" s="44">
        <v>1</v>
      </c>
      <c r="P29" s="44">
        <f t="shared" si="2"/>
        <v>0.82350000000000001</v>
      </c>
      <c r="Q29" s="47">
        <v>0.95</v>
      </c>
      <c r="R29" s="44">
        <f t="shared" si="3"/>
        <v>1</v>
      </c>
      <c r="S29">
        <v>3</v>
      </c>
      <c r="T29" s="47">
        <f t="shared" si="4"/>
        <v>0.33333333333333331</v>
      </c>
      <c r="U29" s="47">
        <f t="shared" si="5"/>
        <v>0</v>
      </c>
      <c r="V29" s="44">
        <f t="shared" si="6"/>
        <v>0.5</v>
      </c>
      <c r="W29" t="s">
        <v>348</v>
      </c>
    </row>
    <row r="30" spans="1:23" ht="16.5" x14ac:dyDescent="0.3">
      <c r="A30" s="14" t="s">
        <v>207</v>
      </c>
      <c r="B30" s="15" t="s">
        <v>130</v>
      </c>
      <c r="C30" s="24">
        <f>+VLOOKUP(B30,'INDICADORES CAPTURA'!C:N,12,FALSE)</f>
        <v>0.75394545454545459</v>
      </c>
      <c r="D30">
        <v>7</v>
      </c>
      <c r="E30">
        <v>7</v>
      </c>
      <c r="F30" s="16">
        <f t="shared" si="0"/>
        <v>1</v>
      </c>
      <c r="G30">
        <v>74</v>
      </c>
      <c r="H30">
        <v>74</v>
      </c>
      <c r="I30" s="16">
        <f t="shared" si="1"/>
        <v>1</v>
      </c>
      <c r="J30" s="44">
        <v>0.98670000000000002</v>
      </c>
      <c r="K30" s="44">
        <v>0.98670000000000002</v>
      </c>
      <c r="L30" s="44">
        <v>0.04</v>
      </c>
      <c r="M30" s="44">
        <v>0.97330000000000005</v>
      </c>
      <c r="N30" s="44">
        <v>0.88890000000000002</v>
      </c>
      <c r="O30" s="44">
        <v>0.93330000000000002</v>
      </c>
      <c r="P30" s="44">
        <f t="shared" si="2"/>
        <v>0.63406666666666667</v>
      </c>
      <c r="Q30" s="47">
        <v>0.95</v>
      </c>
      <c r="R30" s="44">
        <f t="shared" si="3"/>
        <v>0.98670000000000002</v>
      </c>
      <c r="S30">
        <v>0</v>
      </c>
      <c r="T30" s="47">
        <f t="shared" si="4"/>
        <v>0</v>
      </c>
      <c r="U30" s="47">
        <f t="shared" si="5"/>
        <v>1</v>
      </c>
      <c r="V30" s="44">
        <f t="shared" si="6"/>
        <v>0.99334999999999996</v>
      </c>
      <c r="W30" t="s">
        <v>348</v>
      </c>
    </row>
    <row r="31" spans="1:23" ht="16.5" x14ac:dyDescent="0.3">
      <c r="A31" s="14" t="s">
        <v>203</v>
      </c>
      <c r="B31" s="15" t="s">
        <v>82</v>
      </c>
      <c r="C31" s="24">
        <f>+VLOOKUP(B31,'INDICADORES CAPTURA'!C:N,12,FALSE)</f>
        <v>0.76105454545454554</v>
      </c>
      <c r="D31">
        <v>20</v>
      </c>
      <c r="E31">
        <v>20</v>
      </c>
      <c r="F31" s="16">
        <f t="shared" si="0"/>
        <v>1</v>
      </c>
      <c r="G31">
        <v>99</v>
      </c>
      <c r="H31">
        <v>99</v>
      </c>
      <c r="I31" s="16">
        <f t="shared" si="1"/>
        <v>1</v>
      </c>
      <c r="J31" s="44">
        <v>1</v>
      </c>
      <c r="K31" s="44">
        <v>1</v>
      </c>
      <c r="L31" s="44">
        <v>1.77E-2</v>
      </c>
      <c r="M31" s="44">
        <v>1</v>
      </c>
      <c r="N31" s="44">
        <v>0.52380000000000004</v>
      </c>
      <c r="O31" s="44">
        <v>1</v>
      </c>
      <c r="P31" s="44">
        <f t="shared" si="2"/>
        <v>0.51383333333333336</v>
      </c>
      <c r="Q31" s="47">
        <v>0.95</v>
      </c>
      <c r="R31" s="44">
        <f t="shared" si="3"/>
        <v>1</v>
      </c>
      <c r="S31">
        <v>8</v>
      </c>
      <c r="T31" s="47">
        <f t="shared" si="4"/>
        <v>0.4</v>
      </c>
      <c r="U31" s="47">
        <f t="shared" si="5"/>
        <v>0</v>
      </c>
      <c r="V31" s="44">
        <f t="shared" si="6"/>
        <v>0.5</v>
      </c>
      <c r="W31" t="s">
        <v>348</v>
      </c>
    </row>
    <row r="32" spans="1:23" ht="16.5" x14ac:dyDescent="0.3">
      <c r="A32" s="14" t="s">
        <v>309</v>
      </c>
      <c r="B32" s="15" t="s">
        <v>192</v>
      </c>
      <c r="C32" s="24">
        <f>+VLOOKUP(B32,'INDICADORES CAPTURA'!C:N,12,FALSE)</f>
        <v>0.89951818181818188</v>
      </c>
      <c r="D32">
        <v>1</v>
      </c>
      <c r="E32">
        <v>1</v>
      </c>
      <c r="F32" s="16">
        <f t="shared" si="0"/>
        <v>1</v>
      </c>
      <c r="G32">
        <v>24</v>
      </c>
      <c r="H32">
        <v>19</v>
      </c>
      <c r="I32" s="16">
        <f t="shared" si="1"/>
        <v>0.79166666666666663</v>
      </c>
      <c r="J32" s="44">
        <v>1</v>
      </c>
      <c r="K32" s="44">
        <v>1</v>
      </c>
      <c r="L32" s="44">
        <v>0.73680000000000001</v>
      </c>
      <c r="M32" s="44">
        <v>1</v>
      </c>
      <c r="N32" s="44">
        <v>0</v>
      </c>
      <c r="O32" s="44">
        <v>1</v>
      </c>
      <c r="P32" s="44">
        <f t="shared" si="2"/>
        <v>0.57893333333333341</v>
      </c>
      <c r="Q32" s="47">
        <v>0.95</v>
      </c>
      <c r="R32" s="44">
        <f t="shared" si="3"/>
        <v>1</v>
      </c>
      <c r="S32">
        <v>1</v>
      </c>
      <c r="T32" s="47">
        <f t="shared" si="4"/>
        <v>1</v>
      </c>
      <c r="U32" s="47">
        <f t="shared" si="5"/>
        <v>0</v>
      </c>
      <c r="V32" s="44">
        <f t="shared" si="6"/>
        <v>0.5</v>
      </c>
      <c r="W32" t="s">
        <v>348</v>
      </c>
    </row>
    <row r="33" spans="1:23" ht="16.5" x14ac:dyDescent="0.3">
      <c r="A33" s="14" t="s">
        <v>207</v>
      </c>
      <c r="B33" s="15" t="s">
        <v>141</v>
      </c>
      <c r="C33" s="24">
        <f>+VLOOKUP(B33,'INDICADORES CAPTURA'!C:N,12,FALSE)</f>
        <v>0.87151818181818186</v>
      </c>
      <c r="D33">
        <v>8</v>
      </c>
      <c r="E33">
        <v>8</v>
      </c>
      <c r="F33" s="16">
        <f t="shared" si="0"/>
        <v>1</v>
      </c>
      <c r="G33">
        <v>75</v>
      </c>
      <c r="H33">
        <v>71</v>
      </c>
      <c r="I33" s="16">
        <f t="shared" si="1"/>
        <v>0.94666666666666666</v>
      </c>
      <c r="J33" s="44">
        <v>1</v>
      </c>
      <c r="K33" s="44">
        <v>1</v>
      </c>
      <c r="L33" s="44">
        <v>0.98670000000000002</v>
      </c>
      <c r="M33" s="44">
        <v>1</v>
      </c>
      <c r="N33" s="44">
        <v>0.88890000000000002</v>
      </c>
      <c r="O33" s="44">
        <v>1</v>
      </c>
      <c r="P33" s="44">
        <f t="shared" si="2"/>
        <v>0.95853333333333335</v>
      </c>
      <c r="Q33" s="47">
        <v>0.95</v>
      </c>
      <c r="R33" s="44">
        <f t="shared" si="3"/>
        <v>1</v>
      </c>
      <c r="S33">
        <v>0</v>
      </c>
      <c r="T33" s="47">
        <f t="shared" si="4"/>
        <v>0</v>
      </c>
      <c r="U33" s="47">
        <f t="shared" si="5"/>
        <v>1</v>
      </c>
      <c r="V33" s="44">
        <f t="shared" si="6"/>
        <v>1</v>
      </c>
      <c r="W33" t="s">
        <v>348</v>
      </c>
    </row>
    <row r="34" spans="1:23" ht="16.5" x14ac:dyDescent="0.3">
      <c r="A34" s="14" t="s">
        <v>202</v>
      </c>
      <c r="B34" s="15" t="s">
        <v>69</v>
      </c>
      <c r="C34" s="24">
        <f>+VLOOKUP(B34,'INDICADORES CAPTURA'!C:N,12,FALSE)</f>
        <v>0.78886363636363643</v>
      </c>
      <c r="D34">
        <v>9</v>
      </c>
      <c r="E34">
        <v>9</v>
      </c>
      <c r="F34" s="16">
        <f t="shared" si="0"/>
        <v>1</v>
      </c>
      <c r="G34">
        <v>58</v>
      </c>
      <c r="H34">
        <v>52</v>
      </c>
      <c r="I34" s="16">
        <f t="shared" si="1"/>
        <v>0.89655172413793105</v>
      </c>
      <c r="J34" s="44">
        <v>0.9839</v>
      </c>
      <c r="K34" s="44">
        <v>1</v>
      </c>
      <c r="L34" s="44">
        <v>4.8399999999999999E-2</v>
      </c>
      <c r="M34" s="44">
        <v>1</v>
      </c>
      <c r="N34" s="44">
        <v>0.66669999999999996</v>
      </c>
      <c r="O34" s="44">
        <v>1</v>
      </c>
      <c r="P34" s="44">
        <f t="shared" si="2"/>
        <v>0.57169999999999999</v>
      </c>
      <c r="Q34" s="47">
        <v>0.95</v>
      </c>
      <c r="R34" s="44">
        <f t="shared" si="3"/>
        <v>0.9839</v>
      </c>
      <c r="S34">
        <v>0</v>
      </c>
      <c r="T34" s="47">
        <f t="shared" si="4"/>
        <v>0</v>
      </c>
      <c r="U34" s="47">
        <f t="shared" si="5"/>
        <v>1</v>
      </c>
      <c r="V34" s="44">
        <f t="shared" si="6"/>
        <v>0.99195</v>
      </c>
      <c r="W34" t="s">
        <v>348</v>
      </c>
    </row>
    <row r="35" spans="1:23" ht="16.5" x14ac:dyDescent="0.3">
      <c r="A35" s="14" t="s">
        <v>309</v>
      </c>
      <c r="B35" s="15" t="s">
        <v>55</v>
      </c>
      <c r="C35" s="24">
        <f>+VLOOKUP(B35,'INDICADORES CAPTURA'!C:N,12,FALSE)</f>
        <v>0.83699090909090923</v>
      </c>
      <c r="D35">
        <v>7</v>
      </c>
      <c r="E35">
        <v>7</v>
      </c>
      <c r="F35" s="16">
        <f t="shared" si="0"/>
        <v>1</v>
      </c>
      <c r="G35">
        <v>58</v>
      </c>
      <c r="H35">
        <v>56</v>
      </c>
      <c r="I35" s="16">
        <f t="shared" si="1"/>
        <v>0.96551724137931039</v>
      </c>
      <c r="J35" s="44">
        <v>1</v>
      </c>
      <c r="K35" s="44">
        <v>1</v>
      </c>
      <c r="L35" s="44">
        <v>0.74139999999999995</v>
      </c>
      <c r="M35" s="44">
        <v>1</v>
      </c>
      <c r="N35" s="44">
        <v>0.75</v>
      </c>
      <c r="O35" s="44">
        <v>1</v>
      </c>
      <c r="P35" s="44">
        <f t="shared" si="2"/>
        <v>0.83046666666666669</v>
      </c>
      <c r="Q35" s="47">
        <v>0.95</v>
      </c>
      <c r="R35" s="44">
        <f t="shared" si="3"/>
        <v>1</v>
      </c>
      <c r="S35">
        <v>4</v>
      </c>
      <c r="T35" s="47">
        <f t="shared" si="4"/>
        <v>0.5714285714285714</v>
      </c>
      <c r="U35" s="47">
        <f t="shared" si="5"/>
        <v>0</v>
      </c>
      <c r="V35" s="44">
        <f t="shared" si="6"/>
        <v>0.5</v>
      </c>
      <c r="W35" t="s">
        <v>348</v>
      </c>
    </row>
    <row r="36" spans="1:23" ht="16.5" x14ac:dyDescent="0.3">
      <c r="A36" s="14" t="s">
        <v>207</v>
      </c>
      <c r="B36" s="15" t="s">
        <v>131</v>
      </c>
      <c r="C36" s="24">
        <f>+VLOOKUP(B36,'INDICADORES CAPTURA'!C:N,12,FALSE)</f>
        <v>0.77742727272727274</v>
      </c>
      <c r="D36">
        <v>2</v>
      </c>
      <c r="E36">
        <v>2</v>
      </c>
      <c r="F36" s="16">
        <f t="shared" si="0"/>
        <v>1</v>
      </c>
      <c r="G36">
        <v>27</v>
      </c>
      <c r="H36">
        <v>27</v>
      </c>
      <c r="I36" s="16">
        <f t="shared" si="1"/>
        <v>1</v>
      </c>
      <c r="J36" s="44">
        <v>1</v>
      </c>
      <c r="K36" s="44">
        <v>1</v>
      </c>
      <c r="L36" s="44">
        <v>6.9000000000000006E-2</v>
      </c>
      <c r="M36" s="44">
        <v>1</v>
      </c>
      <c r="N36" s="44">
        <v>0.33329999999999999</v>
      </c>
      <c r="O36" s="44">
        <v>1</v>
      </c>
      <c r="P36" s="44">
        <f t="shared" si="2"/>
        <v>0.46743333333333331</v>
      </c>
      <c r="Q36" s="47">
        <v>0.95</v>
      </c>
      <c r="R36" s="44">
        <f t="shared" si="3"/>
        <v>1</v>
      </c>
      <c r="S36">
        <v>0</v>
      </c>
      <c r="T36" s="47">
        <f t="shared" si="4"/>
        <v>0</v>
      </c>
      <c r="U36" s="47">
        <f t="shared" si="5"/>
        <v>1</v>
      </c>
      <c r="V36" s="44">
        <f t="shared" si="6"/>
        <v>1</v>
      </c>
      <c r="W36" t="s">
        <v>348</v>
      </c>
    </row>
    <row r="37" spans="1:23" ht="16.5" x14ac:dyDescent="0.3">
      <c r="A37" s="14" t="s">
        <v>208</v>
      </c>
      <c r="B37" s="15" t="s">
        <v>151</v>
      </c>
      <c r="C37" s="24">
        <f>+VLOOKUP(B37,'INDICADORES CAPTURA'!C:N,12,FALSE)</f>
        <v>0.80039999999999989</v>
      </c>
      <c r="D37">
        <v>13</v>
      </c>
      <c r="E37">
        <v>13</v>
      </c>
      <c r="F37" s="16">
        <f t="shared" si="0"/>
        <v>1</v>
      </c>
      <c r="G37">
        <v>91</v>
      </c>
      <c r="H37">
        <v>90</v>
      </c>
      <c r="I37" s="16">
        <f t="shared" si="1"/>
        <v>0.98901098901098905</v>
      </c>
      <c r="J37" s="44">
        <v>1</v>
      </c>
      <c r="K37" s="44">
        <v>1</v>
      </c>
      <c r="L37" s="44">
        <v>0.14130000000000001</v>
      </c>
      <c r="M37" s="44">
        <v>1</v>
      </c>
      <c r="N37" s="44">
        <v>1</v>
      </c>
      <c r="O37" s="44">
        <v>1</v>
      </c>
      <c r="P37" s="44">
        <f t="shared" si="2"/>
        <v>0.71376666666666677</v>
      </c>
      <c r="Q37" s="47">
        <v>0.95</v>
      </c>
      <c r="R37" s="44">
        <f t="shared" si="3"/>
        <v>1</v>
      </c>
      <c r="S37">
        <v>1</v>
      </c>
      <c r="T37" s="47">
        <f t="shared" si="4"/>
        <v>7.6923076923076927E-2</v>
      </c>
      <c r="U37" s="47">
        <f t="shared" si="5"/>
        <v>0</v>
      </c>
      <c r="V37" s="44">
        <f t="shared" si="6"/>
        <v>0.5</v>
      </c>
      <c r="W37" t="s">
        <v>348</v>
      </c>
    </row>
    <row r="38" spans="1:23" ht="16.5" x14ac:dyDescent="0.3">
      <c r="A38" s="14" t="s">
        <v>209</v>
      </c>
      <c r="B38" s="15" t="s">
        <v>170</v>
      </c>
      <c r="C38" s="24">
        <f>+VLOOKUP(B38,'INDICADORES CAPTURA'!C:N,12,FALSE)</f>
        <v>0.8316636363636366</v>
      </c>
      <c r="D38">
        <v>10</v>
      </c>
      <c r="E38">
        <v>10</v>
      </c>
      <c r="F38" s="16">
        <f t="shared" si="0"/>
        <v>1</v>
      </c>
      <c r="G38">
        <v>62</v>
      </c>
      <c r="H38">
        <v>52</v>
      </c>
      <c r="I38" s="16">
        <f t="shared" si="1"/>
        <v>0.83870967741935487</v>
      </c>
      <c r="J38" s="44">
        <v>0.98150000000000004</v>
      </c>
      <c r="K38" s="44">
        <v>0.98150000000000004</v>
      </c>
      <c r="L38" s="44">
        <v>0.37040000000000001</v>
      </c>
      <c r="M38" s="44">
        <v>0.98150000000000004</v>
      </c>
      <c r="N38" s="44">
        <v>0.7</v>
      </c>
      <c r="O38" s="44">
        <v>0.98150000000000004</v>
      </c>
      <c r="P38" s="44">
        <f t="shared" si="2"/>
        <v>0.68396666666666661</v>
      </c>
      <c r="Q38" s="47">
        <v>0.95</v>
      </c>
      <c r="R38" s="44">
        <f t="shared" si="3"/>
        <v>0.98150000000000004</v>
      </c>
      <c r="S38">
        <v>4</v>
      </c>
      <c r="T38" s="47">
        <f t="shared" si="4"/>
        <v>0.4</v>
      </c>
      <c r="U38" s="47">
        <f t="shared" si="5"/>
        <v>0</v>
      </c>
      <c r="V38" s="44">
        <f t="shared" si="6"/>
        <v>0.49075000000000002</v>
      </c>
      <c r="W38" t="s">
        <v>348</v>
      </c>
    </row>
    <row r="39" spans="1:23" ht="16.5" x14ac:dyDescent="0.3">
      <c r="A39" s="14" t="s">
        <v>309</v>
      </c>
      <c r="B39" s="15" t="s">
        <v>57</v>
      </c>
      <c r="C39" s="24">
        <f>+VLOOKUP(B39,'INDICADORES CAPTURA'!C:N,12,FALSE)</f>
        <v>0.91754545454545455</v>
      </c>
      <c r="D39">
        <v>5</v>
      </c>
      <c r="E39">
        <v>5</v>
      </c>
      <c r="F39" s="16">
        <f t="shared" si="0"/>
        <v>1</v>
      </c>
      <c r="G39">
        <v>53</v>
      </c>
      <c r="H39">
        <v>42</v>
      </c>
      <c r="I39" s="16">
        <f t="shared" si="1"/>
        <v>0.79245283018867929</v>
      </c>
      <c r="J39" s="44">
        <v>1</v>
      </c>
      <c r="K39" s="44">
        <v>1</v>
      </c>
      <c r="L39" s="44">
        <v>0.88370000000000004</v>
      </c>
      <c r="M39" s="44">
        <v>1</v>
      </c>
      <c r="N39" s="44">
        <v>0.75</v>
      </c>
      <c r="O39" s="44">
        <v>1</v>
      </c>
      <c r="P39" s="44">
        <f t="shared" si="2"/>
        <v>0.87790000000000001</v>
      </c>
      <c r="Q39" s="47">
        <v>0.95</v>
      </c>
      <c r="R39" s="44">
        <f t="shared" si="3"/>
        <v>1</v>
      </c>
      <c r="S39">
        <v>1</v>
      </c>
      <c r="T39" s="47">
        <f t="shared" si="4"/>
        <v>0.2</v>
      </c>
      <c r="U39" s="47">
        <f t="shared" si="5"/>
        <v>0</v>
      </c>
      <c r="V39" s="44">
        <f t="shared" si="6"/>
        <v>0.5</v>
      </c>
      <c r="W39" t="s">
        <v>348</v>
      </c>
    </row>
    <row r="40" spans="1:23" ht="16.5" x14ac:dyDescent="0.3">
      <c r="A40" s="14" t="s">
        <v>207</v>
      </c>
      <c r="B40" s="15" t="s">
        <v>137</v>
      </c>
      <c r="C40" s="24">
        <f>+VLOOKUP(B40,'INDICADORES CAPTURA'!C:N,12,FALSE)</f>
        <v>0.80537272727272724</v>
      </c>
      <c r="D40">
        <v>8</v>
      </c>
      <c r="E40">
        <v>8</v>
      </c>
      <c r="F40" s="16">
        <f t="shared" si="0"/>
        <v>1</v>
      </c>
      <c r="G40">
        <v>77</v>
      </c>
      <c r="H40">
        <v>70</v>
      </c>
      <c r="I40" s="16">
        <f t="shared" si="1"/>
        <v>0.90909090909090906</v>
      </c>
      <c r="J40" s="44">
        <v>1</v>
      </c>
      <c r="K40" s="44">
        <v>1</v>
      </c>
      <c r="L40" s="44">
        <v>0.28170000000000001</v>
      </c>
      <c r="M40" s="44">
        <v>0.9718</v>
      </c>
      <c r="N40" s="44">
        <v>0.5</v>
      </c>
      <c r="O40" s="44">
        <v>1</v>
      </c>
      <c r="P40" s="44">
        <f t="shared" si="2"/>
        <v>0.58450000000000002</v>
      </c>
      <c r="Q40" s="47">
        <v>0.95</v>
      </c>
      <c r="R40" s="44">
        <f t="shared" si="3"/>
        <v>1</v>
      </c>
      <c r="S40">
        <v>0</v>
      </c>
      <c r="T40" s="47">
        <f t="shared" si="4"/>
        <v>0</v>
      </c>
      <c r="U40" s="47">
        <f t="shared" si="5"/>
        <v>1</v>
      </c>
      <c r="V40" s="44">
        <f t="shared" si="6"/>
        <v>1</v>
      </c>
      <c r="W40" t="s">
        <v>348</v>
      </c>
    </row>
    <row r="41" spans="1:23" ht="16.5" x14ac:dyDescent="0.3">
      <c r="A41" s="14" t="s">
        <v>209</v>
      </c>
      <c r="B41" s="15" t="s">
        <v>168</v>
      </c>
      <c r="C41" s="24">
        <f>+VLOOKUP(B41,'INDICADORES CAPTURA'!C:N,12,FALSE)</f>
        <v>0.78182727272727282</v>
      </c>
      <c r="D41">
        <v>3</v>
      </c>
      <c r="E41">
        <v>3</v>
      </c>
      <c r="F41" s="16">
        <f t="shared" si="0"/>
        <v>1</v>
      </c>
      <c r="G41">
        <v>28</v>
      </c>
      <c r="H41">
        <v>28</v>
      </c>
      <c r="I41" s="16">
        <f t="shared" si="1"/>
        <v>1</v>
      </c>
      <c r="J41" s="44">
        <v>0.9667</v>
      </c>
      <c r="K41" s="44">
        <v>0.9667</v>
      </c>
      <c r="L41" s="44">
        <v>0.23330000000000001</v>
      </c>
      <c r="M41" s="44">
        <v>0.9</v>
      </c>
      <c r="N41" s="44">
        <v>1</v>
      </c>
      <c r="O41" s="44">
        <v>0.9667</v>
      </c>
      <c r="P41" s="44">
        <f t="shared" si="2"/>
        <v>0.71110000000000007</v>
      </c>
      <c r="Q41" s="47">
        <v>0.95</v>
      </c>
      <c r="R41" s="44">
        <f t="shared" si="3"/>
        <v>0.9667</v>
      </c>
      <c r="S41">
        <v>0</v>
      </c>
      <c r="T41" s="47">
        <f t="shared" si="4"/>
        <v>0</v>
      </c>
      <c r="U41" s="47">
        <f t="shared" si="5"/>
        <v>1</v>
      </c>
      <c r="V41" s="44">
        <f t="shared" si="6"/>
        <v>0.98334999999999995</v>
      </c>
      <c r="W41" t="s">
        <v>348</v>
      </c>
    </row>
    <row r="42" spans="1:23" ht="16.5" x14ac:dyDescent="0.3">
      <c r="A42" s="14" t="s">
        <v>207</v>
      </c>
      <c r="B42" s="15" t="s">
        <v>133</v>
      </c>
      <c r="C42" s="24">
        <f>+VLOOKUP(B42,'INDICADORES CAPTURA'!C:N,12,FALSE)</f>
        <v>0.80043636363636361</v>
      </c>
      <c r="D42">
        <v>15</v>
      </c>
      <c r="E42">
        <v>15</v>
      </c>
      <c r="F42" s="16">
        <f t="shared" si="0"/>
        <v>1</v>
      </c>
      <c r="G42">
        <v>118</v>
      </c>
      <c r="H42">
        <v>115</v>
      </c>
      <c r="I42" s="16">
        <f t="shared" si="1"/>
        <v>0.97457627118644063</v>
      </c>
      <c r="J42" s="44">
        <v>1</v>
      </c>
      <c r="K42" s="44">
        <v>1</v>
      </c>
      <c r="L42" s="44">
        <v>0.2969</v>
      </c>
      <c r="M42" s="44">
        <v>1</v>
      </c>
      <c r="N42" s="44">
        <v>0.31109999999999999</v>
      </c>
      <c r="O42" s="44">
        <v>1</v>
      </c>
      <c r="P42" s="44">
        <f t="shared" si="2"/>
        <v>0.53599999999999992</v>
      </c>
      <c r="Q42" s="47">
        <v>0.95</v>
      </c>
      <c r="R42" s="44">
        <f t="shared" si="3"/>
        <v>1</v>
      </c>
      <c r="S42">
        <v>0</v>
      </c>
      <c r="T42" s="47">
        <f t="shared" si="4"/>
        <v>0</v>
      </c>
      <c r="U42" s="47">
        <f t="shared" si="5"/>
        <v>1</v>
      </c>
      <c r="V42" s="44">
        <f t="shared" si="6"/>
        <v>1</v>
      </c>
      <c r="W42" t="s">
        <v>348</v>
      </c>
    </row>
    <row r="43" spans="1:23" ht="16.5" x14ac:dyDescent="0.3">
      <c r="A43" s="14" t="s">
        <v>310</v>
      </c>
      <c r="B43" s="15" t="s">
        <v>193</v>
      </c>
      <c r="C43" s="24">
        <f>+VLOOKUP(B43,'INDICADORES CAPTURA'!C:N,12,FALSE)</f>
        <v>0.79231818181818181</v>
      </c>
      <c r="D43">
        <v>19</v>
      </c>
      <c r="E43">
        <v>19</v>
      </c>
      <c r="F43" s="16">
        <f t="shared" si="0"/>
        <v>1</v>
      </c>
      <c r="G43">
        <v>115</v>
      </c>
      <c r="H43">
        <v>113</v>
      </c>
      <c r="I43" s="16">
        <f t="shared" si="1"/>
        <v>0.9826086956521739</v>
      </c>
      <c r="J43" s="44">
        <v>1</v>
      </c>
      <c r="K43" s="44">
        <v>1</v>
      </c>
      <c r="L43" s="44">
        <v>6.0299999999999999E-2</v>
      </c>
      <c r="M43" s="44">
        <v>1</v>
      </c>
      <c r="N43" s="44">
        <v>0.31580000000000003</v>
      </c>
      <c r="O43" s="44">
        <v>1</v>
      </c>
      <c r="P43" s="44">
        <f t="shared" si="2"/>
        <v>0.45870000000000005</v>
      </c>
      <c r="Q43" s="47">
        <v>0.95</v>
      </c>
      <c r="R43" s="44">
        <f t="shared" si="3"/>
        <v>1</v>
      </c>
      <c r="S43">
        <v>7</v>
      </c>
      <c r="T43" s="47">
        <f t="shared" si="4"/>
        <v>0.36842105263157893</v>
      </c>
      <c r="U43" s="47">
        <f t="shared" si="5"/>
        <v>0</v>
      </c>
      <c r="V43" s="44">
        <f t="shared" si="6"/>
        <v>0.5</v>
      </c>
      <c r="W43" t="s">
        <v>348</v>
      </c>
    </row>
    <row r="44" spans="1:23" ht="16.5" x14ac:dyDescent="0.3">
      <c r="A44" s="14" t="s">
        <v>202</v>
      </c>
      <c r="B44" s="15" t="s">
        <v>62</v>
      </c>
      <c r="C44" s="24">
        <f>+VLOOKUP(B44,'INDICADORES CAPTURA'!C:N,12,FALSE)</f>
        <v>0.85741818181818197</v>
      </c>
      <c r="D44">
        <v>20</v>
      </c>
      <c r="E44">
        <v>19</v>
      </c>
      <c r="F44" s="16">
        <f t="shared" si="0"/>
        <v>0.95</v>
      </c>
      <c r="G44">
        <v>102</v>
      </c>
      <c r="H44">
        <v>87</v>
      </c>
      <c r="I44" s="16">
        <f t="shared" si="1"/>
        <v>0.8529411764705882</v>
      </c>
      <c r="J44" s="44">
        <v>1</v>
      </c>
      <c r="K44" s="44">
        <v>1</v>
      </c>
      <c r="L44" s="44">
        <v>0.65259999999999996</v>
      </c>
      <c r="M44" s="44">
        <v>1</v>
      </c>
      <c r="N44" s="44">
        <v>0.55559999999999998</v>
      </c>
      <c r="O44" s="44">
        <v>1</v>
      </c>
      <c r="P44" s="44">
        <f t="shared" si="2"/>
        <v>0.73606666666666676</v>
      </c>
      <c r="Q44" s="47">
        <v>0.95</v>
      </c>
      <c r="R44" s="44">
        <f t="shared" si="3"/>
        <v>1</v>
      </c>
      <c r="S44">
        <v>7</v>
      </c>
      <c r="T44" s="47">
        <f t="shared" si="4"/>
        <v>0.35</v>
      </c>
      <c r="U44" s="47">
        <f t="shared" si="5"/>
        <v>0</v>
      </c>
      <c r="V44" s="44">
        <f t="shared" si="6"/>
        <v>0.5</v>
      </c>
      <c r="W44" t="s">
        <v>348</v>
      </c>
    </row>
    <row r="45" spans="1:23" ht="16.5" x14ac:dyDescent="0.3">
      <c r="A45" s="14" t="s">
        <v>203</v>
      </c>
      <c r="B45" s="15" t="s">
        <v>74</v>
      </c>
      <c r="C45" s="24">
        <f>+VLOOKUP(B45,'INDICADORES CAPTURA'!C:N,12,FALSE)</f>
        <v>0.81587272727272719</v>
      </c>
      <c r="D45">
        <v>22</v>
      </c>
      <c r="E45">
        <v>21</v>
      </c>
      <c r="F45" s="16">
        <f t="shared" si="0"/>
        <v>0.95454545454545459</v>
      </c>
      <c r="G45">
        <v>121</v>
      </c>
      <c r="H45">
        <v>109</v>
      </c>
      <c r="I45" s="16">
        <f t="shared" si="1"/>
        <v>0.90082644628099173</v>
      </c>
      <c r="J45" s="44">
        <v>1</v>
      </c>
      <c r="K45" s="44">
        <v>1</v>
      </c>
      <c r="L45" s="44">
        <v>0.1525</v>
      </c>
      <c r="M45" s="44">
        <v>1</v>
      </c>
      <c r="N45" s="44">
        <v>0.64290000000000003</v>
      </c>
      <c r="O45" s="44">
        <v>1</v>
      </c>
      <c r="P45" s="44">
        <f t="shared" si="2"/>
        <v>0.5984666666666667</v>
      </c>
      <c r="Q45" s="47">
        <v>0.95</v>
      </c>
      <c r="R45" s="44">
        <f t="shared" si="3"/>
        <v>1</v>
      </c>
      <c r="S45">
        <v>11</v>
      </c>
      <c r="T45" s="47">
        <f t="shared" si="4"/>
        <v>0.5</v>
      </c>
      <c r="U45" s="47">
        <f t="shared" si="5"/>
        <v>0</v>
      </c>
      <c r="V45" s="44">
        <f t="shared" si="6"/>
        <v>0.5</v>
      </c>
      <c r="W45" t="s">
        <v>348</v>
      </c>
    </row>
    <row r="46" spans="1:23" ht="16.5" x14ac:dyDescent="0.3">
      <c r="A46" s="14" t="s">
        <v>207</v>
      </c>
      <c r="B46" s="15" t="s">
        <v>129</v>
      </c>
      <c r="C46" s="24">
        <f>+VLOOKUP(B46,'INDICADORES CAPTURA'!C:N,12,FALSE)</f>
        <v>0.75589090909090906</v>
      </c>
      <c r="D46">
        <v>16</v>
      </c>
      <c r="E46">
        <v>16</v>
      </c>
      <c r="F46" s="16">
        <f t="shared" si="0"/>
        <v>1</v>
      </c>
      <c r="G46">
        <v>110</v>
      </c>
      <c r="H46">
        <v>105</v>
      </c>
      <c r="I46" s="16">
        <f t="shared" si="1"/>
        <v>0.95454545454545459</v>
      </c>
      <c r="J46" s="44">
        <v>0.97219999999999995</v>
      </c>
      <c r="K46" s="44">
        <v>0.96299999999999997</v>
      </c>
      <c r="L46" s="44">
        <v>7.4099999999999999E-2</v>
      </c>
      <c r="M46" s="44">
        <v>0.96299999999999997</v>
      </c>
      <c r="N46" s="44">
        <v>0.45710000000000001</v>
      </c>
      <c r="O46" s="44">
        <v>0.92589999999999995</v>
      </c>
      <c r="P46" s="44">
        <f t="shared" si="2"/>
        <v>0.49806666666666666</v>
      </c>
      <c r="Q46" s="47">
        <v>0.95</v>
      </c>
      <c r="R46" s="44">
        <f t="shared" si="3"/>
        <v>0.97219999999999995</v>
      </c>
      <c r="S46">
        <v>0</v>
      </c>
      <c r="T46" s="47">
        <f t="shared" si="4"/>
        <v>0</v>
      </c>
      <c r="U46" s="47">
        <f t="shared" si="5"/>
        <v>1</v>
      </c>
      <c r="V46" s="44">
        <f t="shared" si="6"/>
        <v>0.98609999999999998</v>
      </c>
      <c r="W46" t="s">
        <v>348</v>
      </c>
    </row>
    <row r="47" spans="1:23" ht="16.5" x14ac:dyDescent="0.3">
      <c r="A47" s="14" t="s">
        <v>308</v>
      </c>
      <c r="B47" s="15" t="s">
        <v>21</v>
      </c>
      <c r="C47" s="24">
        <f>+VLOOKUP(B47,'INDICADORES CAPTURA'!C:N,12,FALSE)</f>
        <v>0.76430909090909083</v>
      </c>
      <c r="D47">
        <v>1</v>
      </c>
      <c r="E47">
        <v>1</v>
      </c>
      <c r="F47" s="16">
        <f t="shared" si="0"/>
        <v>1</v>
      </c>
      <c r="G47">
        <v>26</v>
      </c>
      <c r="H47">
        <v>25</v>
      </c>
      <c r="I47" s="16">
        <f t="shared" si="1"/>
        <v>0.96153846153846156</v>
      </c>
      <c r="J47" s="44">
        <v>1</v>
      </c>
      <c r="K47" s="44">
        <v>1</v>
      </c>
      <c r="L47" s="44">
        <v>0</v>
      </c>
      <c r="M47" s="44">
        <v>1</v>
      </c>
      <c r="N47" s="44">
        <v>1</v>
      </c>
      <c r="O47" s="44">
        <v>1</v>
      </c>
      <c r="P47" s="44">
        <f t="shared" si="2"/>
        <v>0.66666666666666663</v>
      </c>
      <c r="Q47" s="47">
        <v>0.95</v>
      </c>
      <c r="R47" s="44">
        <f t="shared" si="3"/>
        <v>1</v>
      </c>
      <c r="S47">
        <v>1</v>
      </c>
      <c r="T47" s="47">
        <f t="shared" si="4"/>
        <v>1</v>
      </c>
      <c r="U47" s="47">
        <f t="shared" si="5"/>
        <v>0</v>
      </c>
      <c r="V47" s="44">
        <f>+R47</f>
        <v>1</v>
      </c>
      <c r="W47" t="s">
        <v>348</v>
      </c>
    </row>
    <row r="48" spans="1:23" ht="16.5" x14ac:dyDescent="0.3">
      <c r="A48" s="14" t="s">
        <v>202</v>
      </c>
      <c r="B48" s="15" t="s">
        <v>60</v>
      </c>
      <c r="C48" s="24">
        <f>+VLOOKUP(B48,'INDICADORES CAPTURA'!C:N,12,FALSE)</f>
        <v>0.74545454545454559</v>
      </c>
      <c r="D48">
        <v>4</v>
      </c>
      <c r="E48">
        <v>4</v>
      </c>
      <c r="F48" s="16">
        <f t="shared" si="0"/>
        <v>1</v>
      </c>
      <c r="G48">
        <v>51</v>
      </c>
      <c r="H48">
        <v>49</v>
      </c>
      <c r="I48" s="16">
        <f t="shared" si="1"/>
        <v>0.96078431372549022</v>
      </c>
      <c r="J48" s="44">
        <v>0.98</v>
      </c>
      <c r="K48" s="44">
        <v>0.96</v>
      </c>
      <c r="L48" s="44">
        <v>0.06</v>
      </c>
      <c r="M48" s="44">
        <v>0.98</v>
      </c>
      <c r="N48" s="44">
        <v>0.5</v>
      </c>
      <c r="O48" s="44">
        <v>0.98</v>
      </c>
      <c r="P48" s="44">
        <f t="shared" si="2"/>
        <v>0.51333333333333331</v>
      </c>
      <c r="Q48" s="47">
        <v>0.95</v>
      </c>
      <c r="R48" s="44">
        <f t="shared" si="3"/>
        <v>0.98</v>
      </c>
      <c r="S48">
        <v>2</v>
      </c>
      <c r="T48" s="47">
        <f t="shared" si="4"/>
        <v>0.5</v>
      </c>
      <c r="U48" s="47">
        <f t="shared" si="5"/>
        <v>0</v>
      </c>
      <c r="V48" s="44">
        <f t="shared" si="6"/>
        <v>0.49</v>
      </c>
      <c r="W48" t="s">
        <v>348</v>
      </c>
    </row>
    <row r="49" spans="1:23" ht="16.5" x14ac:dyDescent="0.3">
      <c r="A49" s="14" t="s">
        <v>309</v>
      </c>
      <c r="B49" s="15" t="s">
        <v>50</v>
      </c>
      <c r="C49" s="24">
        <f>+VLOOKUP(B49,'INDICADORES CAPTURA'!C:N,12,FALSE)</f>
        <v>0.79950909090909095</v>
      </c>
      <c r="D49">
        <v>12</v>
      </c>
      <c r="E49">
        <v>12</v>
      </c>
      <c r="F49" s="16">
        <f t="shared" si="0"/>
        <v>1</v>
      </c>
      <c r="G49">
        <v>113</v>
      </c>
      <c r="H49">
        <v>108</v>
      </c>
      <c r="I49" s="16">
        <f t="shared" si="1"/>
        <v>0.95575221238938057</v>
      </c>
      <c r="J49" s="44">
        <v>1</v>
      </c>
      <c r="K49" s="44">
        <v>1</v>
      </c>
      <c r="L49" s="44">
        <v>0.15179999999999999</v>
      </c>
      <c r="M49" s="44">
        <v>1</v>
      </c>
      <c r="N49" s="44">
        <v>0.38179999999999997</v>
      </c>
      <c r="O49" s="44">
        <v>1</v>
      </c>
      <c r="P49" s="44">
        <f t="shared" si="2"/>
        <v>0.51119999999999999</v>
      </c>
      <c r="Q49" s="47">
        <v>0.95</v>
      </c>
      <c r="R49" s="44">
        <f t="shared" si="3"/>
        <v>1</v>
      </c>
      <c r="S49">
        <v>7</v>
      </c>
      <c r="T49" s="47">
        <f t="shared" si="4"/>
        <v>0.58333333333333337</v>
      </c>
      <c r="U49" s="47">
        <f t="shared" si="5"/>
        <v>0</v>
      </c>
      <c r="V49" s="44">
        <f t="shared" si="6"/>
        <v>0.5</v>
      </c>
      <c r="W49" t="s">
        <v>348</v>
      </c>
    </row>
    <row r="50" spans="1:23" ht="16.5" x14ac:dyDescent="0.3">
      <c r="A50" s="14" t="s">
        <v>208</v>
      </c>
      <c r="B50" s="15" t="s">
        <v>152</v>
      </c>
      <c r="C50" s="24">
        <f>+VLOOKUP(B50,'INDICADORES CAPTURA'!C:N,12,FALSE)</f>
        <v>0.85429999999999995</v>
      </c>
      <c r="D50">
        <v>13</v>
      </c>
      <c r="E50">
        <v>13</v>
      </c>
      <c r="F50" s="16">
        <f t="shared" si="0"/>
        <v>1</v>
      </c>
      <c r="G50">
        <v>83</v>
      </c>
      <c r="H50">
        <v>69</v>
      </c>
      <c r="I50" s="16">
        <f t="shared" si="1"/>
        <v>0.83132530120481929</v>
      </c>
      <c r="J50" s="44">
        <v>1</v>
      </c>
      <c r="K50" s="44">
        <v>1</v>
      </c>
      <c r="L50" s="44">
        <v>0.36990000000000001</v>
      </c>
      <c r="M50" s="44">
        <v>1</v>
      </c>
      <c r="N50" s="44">
        <v>0.91180000000000005</v>
      </c>
      <c r="O50" s="44">
        <v>1</v>
      </c>
      <c r="P50" s="44">
        <f t="shared" si="2"/>
        <v>0.76056666666666661</v>
      </c>
      <c r="Q50" s="47">
        <v>0.95</v>
      </c>
      <c r="R50" s="44">
        <f t="shared" si="3"/>
        <v>1</v>
      </c>
      <c r="S50">
        <v>2</v>
      </c>
      <c r="T50" s="47">
        <f t="shared" si="4"/>
        <v>0.15384615384615385</v>
      </c>
      <c r="U50" s="47">
        <f t="shared" si="5"/>
        <v>0</v>
      </c>
      <c r="V50" s="44">
        <f t="shared" si="6"/>
        <v>0.5</v>
      </c>
      <c r="W50" t="s">
        <v>348</v>
      </c>
    </row>
    <row r="51" spans="1:23" ht="16.5" x14ac:dyDescent="0.3">
      <c r="A51" s="14" t="s">
        <v>308</v>
      </c>
      <c r="B51" s="15" t="s">
        <v>15</v>
      </c>
      <c r="C51" s="24">
        <f>+VLOOKUP(B51,'INDICADORES CAPTURA'!C:N,12,FALSE)</f>
        <v>0.75084545454545448</v>
      </c>
      <c r="D51">
        <v>1</v>
      </c>
      <c r="E51">
        <v>1</v>
      </c>
      <c r="F51" s="16">
        <f t="shared" si="0"/>
        <v>1</v>
      </c>
      <c r="G51">
        <v>25</v>
      </c>
      <c r="H51">
        <v>25</v>
      </c>
      <c r="I51" s="16">
        <f t="shared" si="1"/>
        <v>1</v>
      </c>
      <c r="J51" s="44">
        <v>1</v>
      </c>
      <c r="K51" s="44">
        <v>1</v>
      </c>
      <c r="L51" s="44">
        <v>0</v>
      </c>
      <c r="M51" s="44">
        <v>1</v>
      </c>
      <c r="N51" s="44">
        <v>0.6</v>
      </c>
      <c r="O51" s="44">
        <v>1</v>
      </c>
      <c r="P51" s="44">
        <f t="shared" si="2"/>
        <v>0.53333333333333333</v>
      </c>
      <c r="Q51" s="47">
        <v>0.95</v>
      </c>
      <c r="R51" s="44">
        <f t="shared" si="3"/>
        <v>1</v>
      </c>
      <c r="S51">
        <v>1</v>
      </c>
      <c r="T51" s="47">
        <f t="shared" si="4"/>
        <v>1</v>
      </c>
      <c r="U51" s="47">
        <f t="shared" si="5"/>
        <v>0</v>
      </c>
      <c r="V51" s="44">
        <f>+R51</f>
        <v>1</v>
      </c>
      <c r="W51" t="s">
        <v>348</v>
      </c>
    </row>
    <row r="52" spans="1:23" ht="16.5" x14ac:dyDescent="0.3">
      <c r="A52" s="14" t="s">
        <v>301</v>
      </c>
      <c r="B52" s="15" t="s">
        <v>176</v>
      </c>
      <c r="C52" s="24">
        <f>+VLOOKUP(B52,'INDICADORES CAPTURA'!C:N,12,FALSE)</f>
        <v>0.80733636363636374</v>
      </c>
      <c r="D52">
        <v>20</v>
      </c>
      <c r="E52">
        <v>19</v>
      </c>
      <c r="F52" s="16">
        <f t="shared" si="0"/>
        <v>0.95</v>
      </c>
      <c r="G52">
        <v>144</v>
      </c>
      <c r="H52">
        <v>131</v>
      </c>
      <c r="I52" s="16">
        <f t="shared" si="1"/>
        <v>0.90972222222222221</v>
      </c>
      <c r="J52" s="44">
        <v>0.99299999999999999</v>
      </c>
      <c r="K52" s="44">
        <v>0.99299999999999999</v>
      </c>
      <c r="L52" s="44">
        <v>0.1268</v>
      </c>
      <c r="M52" s="44">
        <v>0.99299999999999999</v>
      </c>
      <c r="N52" s="44">
        <v>0.2727</v>
      </c>
      <c r="O52" s="44">
        <v>0.99299999999999999</v>
      </c>
      <c r="P52" s="44">
        <f t="shared" si="2"/>
        <v>0.46416666666666662</v>
      </c>
      <c r="Q52" s="47">
        <v>0.95</v>
      </c>
      <c r="R52" s="44">
        <f t="shared" si="3"/>
        <v>0.99299999999999999</v>
      </c>
      <c r="S52">
        <v>8</v>
      </c>
      <c r="T52" s="47">
        <f t="shared" si="4"/>
        <v>0.4</v>
      </c>
      <c r="U52" s="47">
        <f t="shared" si="5"/>
        <v>0</v>
      </c>
      <c r="V52" s="44">
        <f t="shared" si="6"/>
        <v>0.4965</v>
      </c>
      <c r="W52" t="s">
        <v>348</v>
      </c>
    </row>
    <row r="53" spans="1:23" ht="16.5" x14ac:dyDescent="0.3">
      <c r="A53" s="14" t="s">
        <v>203</v>
      </c>
      <c r="B53" s="15" t="s">
        <v>81</v>
      </c>
      <c r="C53" s="24">
        <f>+VLOOKUP(B53,'INDICADORES CAPTURA'!C:N,12,FALSE)</f>
        <v>0.79692727272727271</v>
      </c>
      <c r="D53">
        <v>20</v>
      </c>
      <c r="E53">
        <v>20</v>
      </c>
      <c r="F53" s="16">
        <f t="shared" si="0"/>
        <v>1</v>
      </c>
      <c r="G53">
        <v>101</v>
      </c>
      <c r="H53">
        <v>91</v>
      </c>
      <c r="I53" s="16">
        <f t="shared" si="1"/>
        <v>0.90099009900990101</v>
      </c>
      <c r="J53" s="44">
        <v>0.98939999999999995</v>
      </c>
      <c r="K53" s="44">
        <v>0.98939999999999995</v>
      </c>
      <c r="L53" s="44">
        <v>0.26600000000000001</v>
      </c>
      <c r="M53" s="44">
        <v>0.98939999999999995</v>
      </c>
      <c r="N53" s="44">
        <v>0.52939999999999998</v>
      </c>
      <c r="O53" s="44">
        <v>0.98939999999999995</v>
      </c>
      <c r="P53" s="44">
        <f t="shared" si="2"/>
        <v>0.5949333333333332</v>
      </c>
      <c r="Q53" s="47">
        <v>0.95</v>
      </c>
      <c r="R53" s="44">
        <f t="shared" si="3"/>
        <v>0.98939999999999995</v>
      </c>
      <c r="S53">
        <v>8</v>
      </c>
      <c r="T53" s="47">
        <f t="shared" si="4"/>
        <v>0.4</v>
      </c>
      <c r="U53" s="47">
        <f t="shared" si="5"/>
        <v>0</v>
      </c>
      <c r="V53" s="44">
        <f t="shared" si="6"/>
        <v>0.49469999999999997</v>
      </c>
      <c r="W53" t="s">
        <v>348</v>
      </c>
    </row>
    <row r="54" spans="1:23" ht="16.5" x14ac:dyDescent="0.3">
      <c r="A54" s="14" t="s">
        <v>306</v>
      </c>
      <c r="B54" s="15" t="s">
        <v>27</v>
      </c>
      <c r="C54" s="24">
        <f>+VLOOKUP(B54,'INDICADORES CAPTURA'!C:N,12,FALSE)</f>
        <v>0.8050272727272727</v>
      </c>
      <c r="D54">
        <v>14</v>
      </c>
      <c r="E54">
        <v>14</v>
      </c>
      <c r="F54" s="16">
        <f t="shared" si="0"/>
        <v>1</v>
      </c>
      <c r="G54">
        <v>91</v>
      </c>
      <c r="H54">
        <v>77</v>
      </c>
      <c r="I54" s="16">
        <f t="shared" si="1"/>
        <v>0.84615384615384615</v>
      </c>
      <c r="J54" s="44">
        <v>1</v>
      </c>
      <c r="K54" s="44">
        <v>1</v>
      </c>
      <c r="L54" s="44">
        <v>0.1084</v>
      </c>
      <c r="M54" s="44">
        <v>1</v>
      </c>
      <c r="N54" s="44">
        <v>0.75</v>
      </c>
      <c r="O54" s="44">
        <v>1</v>
      </c>
      <c r="P54" s="44">
        <f t="shared" si="2"/>
        <v>0.61946666666666672</v>
      </c>
      <c r="Q54" s="47">
        <v>0.95</v>
      </c>
      <c r="R54" s="44">
        <f t="shared" si="3"/>
        <v>1</v>
      </c>
      <c r="S54">
        <v>0</v>
      </c>
      <c r="T54" s="47">
        <f t="shared" si="4"/>
        <v>0</v>
      </c>
      <c r="U54" s="47">
        <f t="shared" si="5"/>
        <v>1</v>
      </c>
      <c r="V54" s="44">
        <f t="shared" si="6"/>
        <v>1</v>
      </c>
      <c r="W54" t="s">
        <v>348</v>
      </c>
    </row>
    <row r="55" spans="1:23" ht="16.5" x14ac:dyDescent="0.3">
      <c r="A55" s="14" t="s">
        <v>308</v>
      </c>
      <c r="B55" s="15" t="s">
        <v>17</v>
      </c>
      <c r="C55" s="24">
        <f>+VLOOKUP(B55,'INDICADORES CAPTURA'!C:N,12,FALSE)</f>
        <v>0.78221818181818181</v>
      </c>
      <c r="D55">
        <v>13</v>
      </c>
      <c r="E55">
        <v>13</v>
      </c>
      <c r="F55" s="16">
        <f t="shared" si="0"/>
        <v>1</v>
      </c>
      <c r="G55">
        <v>92</v>
      </c>
      <c r="H55">
        <v>84</v>
      </c>
      <c r="I55" s="16">
        <f t="shared" si="1"/>
        <v>0.91304347826086951</v>
      </c>
      <c r="J55" s="44">
        <v>0.98899999999999999</v>
      </c>
      <c r="K55" s="44">
        <v>0.98899999999999999</v>
      </c>
      <c r="L55" s="44">
        <v>4.3999999999999997E-2</v>
      </c>
      <c r="M55" s="44">
        <v>0.98899999999999999</v>
      </c>
      <c r="N55" s="44">
        <v>0.66669999999999996</v>
      </c>
      <c r="O55" s="44">
        <v>0.98899999999999999</v>
      </c>
      <c r="P55" s="44">
        <f t="shared" si="2"/>
        <v>0.56656666666666666</v>
      </c>
      <c r="Q55" s="47">
        <v>0.95</v>
      </c>
      <c r="R55" s="44">
        <f t="shared" si="3"/>
        <v>0.98899999999999999</v>
      </c>
      <c r="S55">
        <v>11</v>
      </c>
      <c r="T55" s="47">
        <f t="shared" si="4"/>
        <v>0.84615384615384615</v>
      </c>
      <c r="U55" s="47">
        <f t="shared" si="5"/>
        <v>0</v>
      </c>
      <c r="V55" s="44">
        <f t="shared" si="6"/>
        <v>0.4945</v>
      </c>
      <c r="W55" t="s">
        <v>348</v>
      </c>
    </row>
    <row r="56" spans="1:23" ht="16.5" x14ac:dyDescent="0.3">
      <c r="A56" s="14" t="s">
        <v>207</v>
      </c>
      <c r="B56" s="15" t="s">
        <v>124</v>
      </c>
      <c r="C56" s="24">
        <f>+VLOOKUP(B56,'INDICADORES CAPTURA'!C:N,12,FALSE)</f>
        <v>0.77711818181818171</v>
      </c>
      <c r="D56">
        <v>3</v>
      </c>
      <c r="E56">
        <v>3</v>
      </c>
      <c r="F56" s="16">
        <f t="shared" si="0"/>
        <v>1</v>
      </c>
      <c r="G56">
        <v>60</v>
      </c>
      <c r="H56">
        <v>58</v>
      </c>
      <c r="I56" s="16">
        <f t="shared" si="1"/>
        <v>0.96666666666666667</v>
      </c>
      <c r="J56" s="44">
        <v>1</v>
      </c>
      <c r="K56" s="44">
        <v>1</v>
      </c>
      <c r="L56" s="44">
        <v>0.129</v>
      </c>
      <c r="M56" s="44">
        <v>1</v>
      </c>
      <c r="N56" s="44">
        <v>0.66669999999999996</v>
      </c>
      <c r="O56" s="44">
        <v>1</v>
      </c>
      <c r="P56" s="44">
        <f t="shared" si="2"/>
        <v>0.59856666666666669</v>
      </c>
      <c r="Q56" s="47">
        <v>0.95</v>
      </c>
      <c r="R56" s="44">
        <f t="shared" si="3"/>
        <v>1</v>
      </c>
      <c r="S56">
        <v>1</v>
      </c>
      <c r="T56" s="47">
        <f t="shared" si="4"/>
        <v>0.33333333333333331</v>
      </c>
      <c r="U56" s="47">
        <f t="shared" si="5"/>
        <v>0</v>
      </c>
      <c r="V56" s="44">
        <f t="shared" si="6"/>
        <v>0.5</v>
      </c>
      <c r="W56" t="s">
        <v>348</v>
      </c>
    </row>
    <row r="57" spans="1:23" ht="16.5" x14ac:dyDescent="0.3">
      <c r="A57" s="14" t="s">
        <v>208</v>
      </c>
      <c r="B57" s="15" t="s">
        <v>149</v>
      </c>
      <c r="C57" s="24">
        <f>+VLOOKUP(B57,'INDICADORES CAPTURA'!C:N,12,FALSE)</f>
        <v>0.77224545454545457</v>
      </c>
      <c r="D57">
        <v>14</v>
      </c>
      <c r="E57">
        <v>14</v>
      </c>
      <c r="F57" s="16">
        <f t="shared" si="0"/>
        <v>1</v>
      </c>
      <c r="G57">
        <v>94</v>
      </c>
      <c r="H57">
        <v>91</v>
      </c>
      <c r="I57" s="16">
        <f t="shared" si="1"/>
        <v>0.96808510638297873</v>
      </c>
      <c r="J57" s="44">
        <v>1</v>
      </c>
      <c r="K57" s="44">
        <v>1</v>
      </c>
      <c r="L57" s="44">
        <v>0.16839999999999999</v>
      </c>
      <c r="M57" s="44">
        <v>1</v>
      </c>
      <c r="N57" s="44">
        <v>0.81820000000000004</v>
      </c>
      <c r="O57" s="44">
        <v>1</v>
      </c>
      <c r="P57" s="44">
        <f t="shared" si="2"/>
        <v>0.66220000000000001</v>
      </c>
      <c r="Q57" s="47">
        <v>0.95</v>
      </c>
      <c r="R57" s="44">
        <f t="shared" si="3"/>
        <v>1</v>
      </c>
      <c r="S57">
        <v>1</v>
      </c>
      <c r="T57" s="47">
        <f t="shared" si="4"/>
        <v>7.1428571428571425E-2</v>
      </c>
      <c r="U57" s="47">
        <f t="shared" si="5"/>
        <v>0</v>
      </c>
      <c r="V57" s="44">
        <f t="shared" si="6"/>
        <v>0.5</v>
      </c>
      <c r="W57" t="s">
        <v>348</v>
      </c>
    </row>
    <row r="58" spans="1:23" ht="16.5" x14ac:dyDescent="0.3">
      <c r="A58" s="14" t="s">
        <v>308</v>
      </c>
      <c r="B58" s="15" t="s">
        <v>26</v>
      </c>
      <c r="C58" s="24">
        <f>+VLOOKUP(B58,'INDICADORES CAPTURA'!C:N,12,FALSE)</f>
        <v>0.75609090909090915</v>
      </c>
      <c r="D58">
        <v>4</v>
      </c>
      <c r="E58">
        <v>4</v>
      </c>
      <c r="F58" s="16">
        <f t="shared" si="0"/>
        <v>1</v>
      </c>
      <c r="G58">
        <v>39</v>
      </c>
      <c r="H58">
        <v>37</v>
      </c>
      <c r="I58" s="16">
        <f t="shared" si="1"/>
        <v>0.94871794871794868</v>
      </c>
      <c r="J58" s="44">
        <v>0.97560000000000002</v>
      </c>
      <c r="K58" s="44">
        <v>0.97560000000000002</v>
      </c>
      <c r="L58" s="44">
        <v>0.17069999999999999</v>
      </c>
      <c r="M58" s="44">
        <v>0.97560000000000002</v>
      </c>
      <c r="N58" s="44">
        <v>0</v>
      </c>
      <c r="O58" s="44">
        <v>0.97560000000000002</v>
      </c>
      <c r="P58" s="44">
        <f t="shared" si="2"/>
        <v>0.38210000000000005</v>
      </c>
      <c r="Q58" s="47">
        <v>0.95</v>
      </c>
      <c r="R58" s="44">
        <f t="shared" si="3"/>
        <v>0.97560000000000002</v>
      </c>
      <c r="S58">
        <v>2</v>
      </c>
      <c r="T58" s="47">
        <f t="shared" si="4"/>
        <v>0.5</v>
      </c>
      <c r="U58" s="47">
        <f t="shared" si="5"/>
        <v>0</v>
      </c>
      <c r="V58" s="44">
        <f t="shared" si="6"/>
        <v>0.48780000000000001</v>
      </c>
      <c r="W58" t="s">
        <v>348</v>
      </c>
    </row>
    <row r="59" spans="1:23" ht="16.5" x14ac:dyDescent="0.3">
      <c r="A59" s="14" t="s">
        <v>307</v>
      </c>
      <c r="B59" s="15" t="s">
        <v>98</v>
      </c>
      <c r="C59" s="24">
        <f>+VLOOKUP(B59,'INDICADORES CAPTURA'!C:N,12,FALSE)</f>
        <v>0.76918181818181819</v>
      </c>
      <c r="D59">
        <v>13</v>
      </c>
      <c r="E59">
        <v>13</v>
      </c>
      <c r="F59" s="16">
        <f t="shared" si="0"/>
        <v>1</v>
      </c>
      <c r="G59">
        <v>139</v>
      </c>
      <c r="H59">
        <v>135</v>
      </c>
      <c r="I59" s="16">
        <f t="shared" si="1"/>
        <v>0.97122302158273377</v>
      </c>
      <c r="J59" s="44">
        <v>1</v>
      </c>
      <c r="K59" s="44">
        <v>1</v>
      </c>
      <c r="L59" s="44">
        <v>0.18179999999999999</v>
      </c>
      <c r="M59" s="44">
        <v>1</v>
      </c>
      <c r="N59" s="44">
        <v>0.6</v>
      </c>
      <c r="O59" s="44">
        <v>1</v>
      </c>
      <c r="P59" s="44">
        <f t="shared" si="2"/>
        <v>0.59393333333333331</v>
      </c>
      <c r="Q59" s="47">
        <v>0.95</v>
      </c>
      <c r="R59" s="44">
        <f t="shared" si="3"/>
        <v>1</v>
      </c>
      <c r="S59">
        <v>0</v>
      </c>
      <c r="T59" s="47">
        <f t="shared" si="4"/>
        <v>0</v>
      </c>
      <c r="U59" s="47">
        <f t="shared" si="5"/>
        <v>1</v>
      </c>
      <c r="V59" s="44">
        <f t="shared" si="6"/>
        <v>1</v>
      </c>
      <c r="W59" t="s">
        <v>348</v>
      </c>
    </row>
    <row r="60" spans="1:23" ht="16.5" x14ac:dyDescent="0.3">
      <c r="A60" s="14" t="s">
        <v>207</v>
      </c>
      <c r="B60" s="15" t="s">
        <v>132</v>
      </c>
      <c r="C60" s="24">
        <f>+VLOOKUP(B60,'INDICADORES CAPTURA'!C:N,12,FALSE)</f>
        <v>0.77994545454545472</v>
      </c>
      <c r="D60">
        <v>19</v>
      </c>
      <c r="E60">
        <v>19</v>
      </c>
      <c r="F60" s="16">
        <f t="shared" si="0"/>
        <v>1</v>
      </c>
      <c r="G60">
        <v>129</v>
      </c>
      <c r="H60">
        <v>123</v>
      </c>
      <c r="I60" s="16">
        <f t="shared" si="1"/>
        <v>0.95348837209302328</v>
      </c>
      <c r="J60" s="44">
        <v>1</v>
      </c>
      <c r="K60" s="44">
        <v>1</v>
      </c>
      <c r="L60" s="44">
        <v>0.16669999999999999</v>
      </c>
      <c r="M60" s="44">
        <v>1</v>
      </c>
      <c r="N60" s="44">
        <v>0.56100000000000005</v>
      </c>
      <c r="O60" s="44">
        <v>1</v>
      </c>
      <c r="P60" s="44">
        <f t="shared" si="2"/>
        <v>0.57589999999999997</v>
      </c>
      <c r="Q60" s="47">
        <v>0.95</v>
      </c>
      <c r="R60" s="44">
        <f t="shared" si="3"/>
        <v>1</v>
      </c>
      <c r="S60">
        <v>0</v>
      </c>
      <c r="T60" s="47">
        <f t="shared" si="4"/>
        <v>0</v>
      </c>
      <c r="U60" s="47">
        <f t="shared" si="5"/>
        <v>1</v>
      </c>
      <c r="V60" s="44">
        <f t="shared" si="6"/>
        <v>1</v>
      </c>
      <c r="W60" t="s">
        <v>348</v>
      </c>
    </row>
    <row r="61" spans="1:23" ht="16.5" x14ac:dyDescent="0.3">
      <c r="A61" s="14" t="s">
        <v>306</v>
      </c>
      <c r="B61" s="15" t="s">
        <v>30</v>
      </c>
      <c r="C61" s="24">
        <f>+VLOOKUP(B61,'INDICADORES CAPTURA'!C:N,12,FALSE)</f>
        <v>0.84884545454545457</v>
      </c>
      <c r="D61">
        <v>15</v>
      </c>
      <c r="E61">
        <v>15</v>
      </c>
      <c r="F61" s="16">
        <f t="shared" si="0"/>
        <v>1</v>
      </c>
      <c r="G61">
        <v>71</v>
      </c>
      <c r="H61">
        <v>65</v>
      </c>
      <c r="I61" s="16">
        <f t="shared" si="1"/>
        <v>0.91549295774647887</v>
      </c>
      <c r="J61" s="44">
        <v>1</v>
      </c>
      <c r="K61" s="44">
        <v>1</v>
      </c>
      <c r="L61" s="44">
        <v>0.65059999999999996</v>
      </c>
      <c r="M61" s="44">
        <v>1</v>
      </c>
      <c r="N61" s="44">
        <v>0.88890000000000002</v>
      </c>
      <c r="O61" s="44">
        <v>1</v>
      </c>
      <c r="P61" s="44">
        <f t="shared" si="2"/>
        <v>0.84649999999999992</v>
      </c>
      <c r="Q61" s="47">
        <v>0.95</v>
      </c>
      <c r="R61" s="44">
        <f t="shared" si="3"/>
        <v>1</v>
      </c>
      <c r="S61">
        <v>1</v>
      </c>
      <c r="T61" s="47">
        <f t="shared" si="4"/>
        <v>6.6666666666666666E-2</v>
      </c>
      <c r="U61" s="47">
        <f t="shared" si="5"/>
        <v>0</v>
      </c>
      <c r="V61" s="44">
        <f t="shared" si="6"/>
        <v>0.5</v>
      </c>
      <c r="W61" t="s">
        <v>348</v>
      </c>
    </row>
    <row r="62" spans="1:23" ht="16.5" x14ac:dyDescent="0.3">
      <c r="A62" s="14" t="s">
        <v>207</v>
      </c>
      <c r="B62" s="15" t="s">
        <v>126</v>
      </c>
      <c r="C62" s="24">
        <f>+VLOOKUP(B62,'INDICADORES CAPTURA'!C:N,12,FALSE)</f>
        <v>0.7461363636363636</v>
      </c>
      <c r="D62">
        <v>6</v>
      </c>
      <c r="E62">
        <v>6</v>
      </c>
      <c r="F62" s="16">
        <f t="shared" si="0"/>
        <v>1</v>
      </c>
      <c r="G62">
        <v>80</v>
      </c>
      <c r="H62">
        <v>73</v>
      </c>
      <c r="I62" s="16">
        <f t="shared" si="1"/>
        <v>0.91249999999999998</v>
      </c>
      <c r="J62" s="44">
        <v>0.87009999999999998</v>
      </c>
      <c r="K62" s="44">
        <v>0.87009999999999998</v>
      </c>
      <c r="L62" s="44">
        <v>0.74029999999999996</v>
      </c>
      <c r="M62" s="44">
        <v>0.87009999999999998</v>
      </c>
      <c r="N62" s="44">
        <v>0.44440000000000002</v>
      </c>
      <c r="O62" s="44">
        <v>0.87009999999999998</v>
      </c>
      <c r="P62" s="44">
        <f t="shared" si="2"/>
        <v>0.68493333333333328</v>
      </c>
      <c r="Q62" s="47">
        <v>0.95</v>
      </c>
      <c r="R62" s="44">
        <f t="shared" si="3"/>
        <v>0.87009999999999998</v>
      </c>
      <c r="S62">
        <v>0</v>
      </c>
      <c r="T62" s="47">
        <f t="shared" si="4"/>
        <v>0</v>
      </c>
      <c r="U62" s="47">
        <f t="shared" si="5"/>
        <v>1</v>
      </c>
      <c r="V62" s="44">
        <f t="shared" si="6"/>
        <v>0.93504999999999994</v>
      </c>
      <c r="W62" t="s">
        <v>348</v>
      </c>
    </row>
    <row r="63" spans="1:23" ht="16.5" x14ac:dyDescent="0.3">
      <c r="A63" s="14" t="s">
        <v>202</v>
      </c>
      <c r="B63" s="15" t="s">
        <v>70</v>
      </c>
      <c r="C63" s="24">
        <f>+VLOOKUP(B63,'INDICADORES CAPTURA'!C:N,12,FALSE)</f>
        <v>0.75610909090909084</v>
      </c>
      <c r="D63">
        <v>8</v>
      </c>
      <c r="E63">
        <v>8</v>
      </c>
      <c r="F63" s="16">
        <f t="shared" si="0"/>
        <v>1</v>
      </c>
      <c r="G63">
        <v>89</v>
      </c>
      <c r="H63">
        <v>78</v>
      </c>
      <c r="I63" s="16">
        <f t="shared" si="1"/>
        <v>0.8764044943820225</v>
      </c>
      <c r="J63" s="44">
        <v>1</v>
      </c>
      <c r="K63" s="44">
        <v>1</v>
      </c>
      <c r="L63" s="44">
        <v>6.0999999999999999E-2</v>
      </c>
      <c r="M63" s="44">
        <v>0.84150000000000003</v>
      </c>
      <c r="N63" s="44">
        <v>0.1923</v>
      </c>
      <c r="O63" s="44">
        <v>0.84150000000000003</v>
      </c>
      <c r="P63" s="44">
        <f t="shared" si="2"/>
        <v>0.36493333333333333</v>
      </c>
      <c r="Q63" s="47">
        <v>0.95</v>
      </c>
      <c r="R63" s="44">
        <f t="shared" si="3"/>
        <v>1</v>
      </c>
      <c r="S63">
        <v>5</v>
      </c>
      <c r="T63" s="47">
        <f t="shared" si="4"/>
        <v>0.625</v>
      </c>
      <c r="U63" s="47">
        <f t="shared" si="5"/>
        <v>0</v>
      </c>
      <c r="V63" s="44">
        <f t="shared" si="6"/>
        <v>0.5</v>
      </c>
      <c r="W63" t="s">
        <v>348</v>
      </c>
    </row>
    <row r="64" spans="1:23" ht="16.5" x14ac:dyDescent="0.3">
      <c r="A64" s="14" t="s">
        <v>203</v>
      </c>
      <c r="B64" s="15" t="s">
        <v>76</v>
      </c>
      <c r="C64" s="24">
        <f>+VLOOKUP(B64,'INDICADORES CAPTURA'!C:N,12,FALSE)</f>
        <v>0.80165454545454551</v>
      </c>
      <c r="D64">
        <v>30</v>
      </c>
      <c r="E64">
        <v>30</v>
      </c>
      <c r="F64" s="16">
        <f t="shared" si="0"/>
        <v>1</v>
      </c>
      <c r="G64">
        <v>126</v>
      </c>
      <c r="H64">
        <v>117</v>
      </c>
      <c r="I64" s="16">
        <f t="shared" si="1"/>
        <v>0.9285714285714286</v>
      </c>
      <c r="J64" s="44">
        <v>1</v>
      </c>
      <c r="K64" s="44">
        <v>1</v>
      </c>
      <c r="L64" s="44">
        <v>9.0899999999999995E-2</v>
      </c>
      <c r="M64" s="44">
        <v>0.99170000000000003</v>
      </c>
      <c r="N64" s="44">
        <v>0.75760000000000005</v>
      </c>
      <c r="O64" s="44">
        <v>1</v>
      </c>
      <c r="P64" s="44">
        <f t="shared" si="2"/>
        <v>0.61340000000000006</v>
      </c>
      <c r="Q64" s="47">
        <v>0.95</v>
      </c>
      <c r="R64" s="44">
        <f t="shared" si="3"/>
        <v>1</v>
      </c>
      <c r="S64">
        <v>13</v>
      </c>
      <c r="T64" s="47">
        <f t="shared" si="4"/>
        <v>0.43333333333333335</v>
      </c>
      <c r="U64" s="47">
        <f t="shared" si="5"/>
        <v>0</v>
      </c>
      <c r="V64" s="44">
        <f t="shared" si="6"/>
        <v>0.5</v>
      </c>
      <c r="W64" t="s">
        <v>348</v>
      </c>
    </row>
    <row r="65" spans="1:23" ht="16.5" x14ac:dyDescent="0.3">
      <c r="A65" s="14" t="s">
        <v>208</v>
      </c>
      <c r="B65" s="15" t="s">
        <v>143</v>
      </c>
      <c r="C65" s="24">
        <f>+VLOOKUP(B65,'INDICADORES CAPTURA'!C:N,12,FALSE)</f>
        <v>0.75973636363636354</v>
      </c>
      <c r="D65">
        <v>3</v>
      </c>
      <c r="E65">
        <v>3</v>
      </c>
      <c r="F65" s="16">
        <f t="shared" si="0"/>
        <v>1</v>
      </c>
      <c r="G65">
        <v>27</v>
      </c>
      <c r="H65">
        <v>26</v>
      </c>
      <c r="I65" s="16">
        <f t="shared" si="1"/>
        <v>0.96296296296296291</v>
      </c>
      <c r="J65" s="44">
        <v>1</v>
      </c>
      <c r="K65" s="44">
        <v>1</v>
      </c>
      <c r="L65" s="44">
        <v>0.1071</v>
      </c>
      <c r="M65" s="44">
        <v>1</v>
      </c>
      <c r="N65" s="44">
        <v>1</v>
      </c>
      <c r="O65" s="44">
        <v>1</v>
      </c>
      <c r="P65" s="44">
        <f t="shared" si="2"/>
        <v>0.70236666666666669</v>
      </c>
      <c r="Q65" s="47">
        <v>0.95</v>
      </c>
      <c r="R65" s="44">
        <f t="shared" si="3"/>
        <v>1</v>
      </c>
      <c r="S65">
        <v>0</v>
      </c>
      <c r="T65" s="47">
        <f t="shared" si="4"/>
        <v>0</v>
      </c>
      <c r="U65" s="47">
        <f t="shared" si="5"/>
        <v>1</v>
      </c>
      <c r="V65" s="44">
        <f t="shared" si="6"/>
        <v>1</v>
      </c>
      <c r="W65" t="s">
        <v>348</v>
      </c>
    </row>
    <row r="66" spans="1:23" ht="16.5" x14ac:dyDescent="0.3">
      <c r="A66" s="14" t="s">
        <v>308</v>
      </c>
      <c r="B66" s="15" t="s">
        <v>22</v>
      </c>
      <c r="C66" s="24">
        <f>+VLOOKUP(B66,'INDICADORES CAPTURA'!C:N,12,FALSE)</f>
        <v>0.73865454545454545</v>
      </c>
      <c r="D66">
        <v>1</v>
      </c>
      <c r="E66">
        <v>1</v>
      </c>
      <c r="F66" s="16">
        <f t="shared" si="0"/>
        <v>1</v>
      </c>
      <c r="G66">
        <v>25</v>
      </c>
      <c r="H66">
        <v>23</v>
      </c>
      <c r="I66" s="16">
        <f t="shared" si="1"/>
        <v>0.92</v>
      </c>
      <c r="J66" s="44">
        <v>0.91669999999999996</v>
      </c>
      <c r="K66" s="44">
        <v>0.91669999999999996</v>
      </c>
      <c r="L66" s="44">
        <v>0</v>
      </c>
      <c r="M66" s="44">
        <v>0.91669999999999996</v>
      </c>
      <c r="N66" s="44">
        <v>0</v>
      </c>
      <c r="O66" s="44">
        <v>0.91669999999999996</v>
      </c>
      <c r="P66" s="44">
        <f t="shared" si="2"/>
        <v>0.30556666666666665</v>
      </c>
      <c r="Q66" s="47">
        <v>0.95</v>
      </c>
      <c r="R66" s="44">
        <f t="shared" si="3"/>
        <v>0.91669999999999996</v>
      </c>
      <c r="S66">
        <v>0</v>
      </c>
      <c r="T66" s="47">
        <f t="shared" si="4"/>
        <v>0</v>
      </c>
      <c r="U66" s="47">
        <f t="shared" si="5"/>
        <v>1</v>
      </c>
      <c r="V66" s="44">
        <f t="shared" ref="V66:V67" si="7">+R66</f>
        <v>0.91669999999999996</v>
      </c>
      <c r="W66" t="s">
        <v>348</v>
      </c>
    </row>
    <row r="67" spans="1:23" ht="16.5" x14ac:dyDescent="0.3">
      <c r="A67" s="14" t="s">
        <v>209</v>
      </c>
      <c r="B67" s="15" t="s">
        <v>162</v>
      </c>
      <c r="C67" s="24">
        <f>+VLOOKUP(B67,'INDICADORES CAPTURA'!C:N,12,FALSE)</f>
        <v>0.82828181818181823</v>
      </c>
      <c r="D67">
        <v>12</v>
      </c>
      <c r="E67">
        <v>12</v>
      </c>
      <c r="F67" s="16">
        <f t="shared" ref="F67:F130" si="8">+E67/D67</f>
        <v>1</v>
      </c>
      <c r="G67">
        <v>71</v>
      </c>
      <c r="H67">
        <v>57</v>
      </c>
      <c r="I67" s="16">
        <f t="shared" ref="I67:I130" si="9">+H67/G67</f>
        <v>0.80281690140845074</v>
      </c>
      <c r="J67" s="44">
        <v>1</v>
      </c>
      <c r="K67" s="44">
        <v>1</v>
      </c>
      <c r="L67" s="44">
        <v>0</v>
      </c>
      <c r="M67" s="44">
        <v>1</v>
      </c>
      <c r="N67" s="44">
        <v>0.78569999999999995</v>
      </c>
      <c r="O67" s="44">
        <v>1</v>
      </c>
      <c r="P67" s="44">
        <f t="shared" ref="P67:P130" si="10">+AVERAGE(L67,M67,N67)</f>
        <v>0.59523333333333328</v>
      </c>
      <c r="Q67" s="47">
        <v>0.95</v>
      </c>
      <c r="R67" s="44">
        <f t="shared" ref="R67:R130" si="11">+J67</f>
        <v>1</v>
      </c>
      <c r="S67">
        <v>7</v>
      </c>
      <c r="T67" s="47">
        <f t="shared" ref="T67:T130" si="12">+S67/D67</f>
        <v>0.58333333333333337</v>
      </c>
      <c r="U67" s="47">
        <f t="shared" ref="U67:U130" si="13">+IF(T67&lt;3%,100%,0)</f>
        <v>0</v>
      </c>
      <c r="V67" s="44">
        <f t="shared" si="7"/>
        <v>1</v>
      </c>
      <c r="W67" t="s">
        <v>348</v>
      </c>
    </row>
    <row r="68" spans="1:23" ht="16.5" x14ac:dyDescent="0.3">
      <c r="A68" s="14" t="s">
        <v>208</v>
      </c>
      <c r="B68" s="15" t="s">
        <v>145</v>
      </c>
      <c r="C68" s="24">
        <f>+VLOOKUP(B68,'INDICADORES CAPTURA'!C:N,12,FALSE)</f>
        <v>0.78149999999999986</v>
      </c>
      <c r="D68">
        <v>6</v>
      </c>
      <c r="E68">
        <v>6</v>
      </c>
      <c r="F68" s="16">
        <f t="shared" si="8"/>
        <v>1</v>
      </c>
      <c r="G68">
        <v>57</v>
      </c>
      <c r="H68">
        <v>52</v>
      </c>
      <c r="I68" s="16">
        <f t="shared" si="9"/>
        <v>0.91228070175438591</v>
      </c>
      <c r="J68" s="44">
        <v>1</v>
      </c>
      <c r="K68" s="44">
        <v>1</v>
      </c>
      <c r="L68" s="44">
        <v>0.24560000000000001</v>
      </c>
      <c r="M68" s="44">
        <v>1</v>
      </c>
      <c r="N68" s="44">
        <v>0.9</v>
      </c>
      <c r="O68" s="44">
        <v>1</v>
      </c>
      <c r="P68" s="44">
        <f t="shared" si="10"/>
        <v>0.71519999999999995</v>
      </c>
      <c r="Q68" s="47">
        <v>0.95</v>
      </c>
      <c r="R68" s="44">
        <f t="shared" si="11"/>
        <v>1</v>
      </c>
      <c r="S68">
        <v>1</v>
      </c>
      <c r="T68" s="47">
        <f t="shared" si="12"/>
        <v>0.16666666666666666</v>
      </c>
      <c r="U68" s="47">
        <f t="shared" si="13"/>
        <v>0</v>
      </c>
      <c r="V68" s="44">
        <f t="shared" ref="V68:V129" si="14">+AVERAGE(R68,U68)</f>
        <v>0.5</v>
      </c>
      <c r="W68" t="s">
        <v>348</v>
      </c>
    </row>
    <row r="69" spans="1:23" ht="16.5" x14ac:dyDescent="0.3">
      <c r="A69" s="14" t="s">
        <v>207</v>
      </c>
      <c r="B69" s="15" t="s">
        <v>138</v>
      </c>
      <c r="C69" s="24">
        <f>+VLOOKUP(B69,'INDICADORES CAPTURA'!C:N,12,FALSE)</f>
        <v>0.91861818181818178</v>
      </c>
      <c r="D69">
        <v>17</v>
      </c>
      <c r="E69">
        <v>16</v>
      </c>
      <c r="F69" s="16">
        <f t="shared" si="8"/>
        <v>0.94117647058823528</v>
      </c>
      <c r="G69">
        <v>132</v>
      </c>
      <c r="H69">
        <v>119</v>
      </c>
      <c r="I69" s="16">
        <f t="shared" si="9"/>
        <v>0.90151515151515149</v>
      </c>
      <c r="J69" s="44">
        <v>1</v>
      </c>
      <c r="K69" s="44">
        <v>1</v>
      </c>
      <c r="L69" s="44">
        <v>0.9597</v>
      </c>
      <c r="M69" s="44">
        <v>1</v>
      </c>
      <c r="N69" s="44">
        <v>0.84379999999999999</v>
      </c>
      <c r="O69" s="44">
        <v>1</v>
      </c>
      <c r="P69" s="44">
        <f t="shared" si="10"/>
        <v>0.9345</v>
      </c>
      <c r="Q69" s="47">
        <v>0.95</v>
      </c>
      <c r="R69" s="44">
        <f t="shared" si="11"/>
        <v>1</v>
      </c>
      <c r="S69">
        <v>0</v>
      </c>
      <c r="T69" s="47">
        <f t="shared" si="12"/>
        <v>0</v>
      </c>
      <c r="U69" s="47">
        <f t="shared" si="13"/>
        <v>1</v>
      </c>
      <c r="V69" s="44">
        <f t="shared" si="14"/>
        <v>1</v>
      </c>
      <c r="W69" t="s">
        <v>348</v>
      </c>
    </row>
    <row r="70" spans="1:23" ht="16.5" x14ac:dyDescent="0.3">
      <c r="A70" s="14" t="s">
        <v>306</v>
      </c>
      <c r="B70" s="15" t="s">
        <v>41</v>
      </c>
      <c r="C70" s="24">
        <f>+VLOOKUP(B70,'INDICADORES CAPTURA'!C:N,12,FALSE)</f>
        <v>0.85299999999999987</v>
      </c>
      <c r="D70">
        <v>4</v>
      </c>
      <c r="E70">
        <v>4</v>
      </c>
      <c r="F70" s="16">
        <f t="shared" si="8"/>
        <v>1</v>
      </c>
      <c r="G70">
        <v>59</v>
      </c>
      <c r="H70">
        <v>46</v>
      </c>
      <c r="I70" s="16">
        <f t="shared" si="9"/>
        <v>0.77966101694915257</v>
      </c>
      <c r="J70" s="44">
        <v>1</v>
      </c>
      <c r="K70" s="44">
        <v>1</v>
      </c>
      <c r="L70" s="44">
        <v>0.65959999999999996</v>
      </c>
      <c r="M70" s="44">
        <v>1</v>
      </c>
      <c r="N70" s="44">
        <v>0.75</v>
      </c>
      <c r="O70" s="44">
        <v>1</v>
      </c>
      <c r="P70" s="44">
        <f t="shared" si="10"/>
        <v>0.80320000000000003</v>
      </c>
      <c r="Q70" s="47">
        <v>0.95</v>
      </c>
      <c r="R70" s="44">
        <f t="shared" si="11"/>
        <v>1</v>
      </c>
      <c r="S70">
        <v>0</v>
      </c>
      <c r="T70" s="47">
        <f t="shared" si="12"/>
        <v>0</v>
      </c>
      <c r="U70" s="47">
        <f t="shared" si="13"/>
        <v>1</v>
      </c>
      <c r="V70" s="44">
        <f t="shared" si="14"/>
        <v>1</v>
      </c>
      <c r="W70" t="s">
        <v>348</v>
      </c>
    </row>
    <row r="71" spans="1:23" ht="16.5" x14ac:dyDescent="0.3">
      <c r="A71" s="14" t="s">
        <v>209</v>
      </c>
      <c r="B71" s="15" t="s">
        <v>160</v>
      </c>
      <c r="C71" s="24">
        <f>+VLOOKUP(B71,'INDICADORES CAPTURA'!C:N,12,FALSE)</f>
        <v>0.83440909090909088</v>
      </c>
      <c r="D71">
        <v>16</v>
      </c>
      <c r="E71">
        <v>16</v>
      </c>
      <c r="F71" s="16">
        <f t="shared" si="8"/>
        <v>1</v>
      </c>
      <c r="G71">
        <v>102</v>
      </c>
      <c r="H71">
        <v>78</v>
      </c>
      <c r="I71" s="16">
        <f t="shared" si="9"/>
        <v>0.76470588235294112</v>
      </c>
      <c r="J71" s="44">
        <v>1</v>
      </c>
      <c r="K71" s="44">
        <v>1</v>
      </c>
      <c r="L71" s="44">
        <v>0.22620000000000001</v>
      </c>
      <c r="M71" s="44">
        <v>1</v>
      </c>
      <c r="N71" s="44">
        <v>3.0800000000000001E-2</v>
      </c>
      <c r="O71" s="44">
        <v>1</v>
      </c>
      <c r="P71" s="44">
        <f t="shared" si="10"/>
        <v>0.41899999999999998</v>
      </c>
      <c r="Q71" s="47">
        <v>0.95</v>
      </c>
      <c r="R71" s="44">
        <f t="shared" si="11"/>
        <v>1</v>
      </c>
      <c r="S71">
        <v>7</v>
      </c>
      <c r="T71" s="47">
        <f t="shared" si="12"/>
        <v>0.4375</v>
      </c>
      <c r="U71" s="47">
        <f t="shared" si="13"/>
        <v>0</v>
      </c>
      <c r="V71" s="44">
        <f t="shared" si="14"/>
        <v>0.5</v>
      </c>
      <c r="W71" t="s">
        <v>348</v>
      </c>
    </row>
    <row r="72" spans="1:23" ht="16.5" x14ac:dyDescent="0.3">
      <c r="A72" s="14" t="s">
        <v>202</v>
      </c>
      <c r="B72" s="15" t="s">
        <v>66</v>
      </c>
      <c r="C72" s="24">
        <f>+VLOOKUP(B72,'INDICADORES CAPTURA'!C:N,12,FALSE)</f>
        <v>0.79330909090909085</v>
      </c>
      <c r="D72">
        <v>14</v>
      </c>
      <c r="E72">
        <v>14</v>
      </c>
      <c r="F72" s="16">
        <f t="shared" si="8"/>
        <v>1</v>
      </c>
      <c r="G72">
        <v>118</v>
      </c>
      <c r="H72">
        <v>97</v>
      </c>
      <c r="I72" s="16">
        <f t="shared" si="9"/>
        <v>0.82203389830508478</v>
      </c>
      <c r="J72" s="44">
        <v>1</v>
      </c>
      <c r="K72" s="44">
        <v>1</v>
      </c>
      <c r="L72" s="44">
        <v>0</v>
      </c>
      <c r="M72" s="44">
        <v>1</v>
      </c>
      <c r="N72" s="44">
        <v>0.85</v>
      </c>
      <c r="O72" s="44">
        <v>1</v>
      </c>
      <c r="P72" s="44">
        <f t="shared" si="10"/>
        <v>0.6166666666666667</v>
      </c>
      <c r="Q72" s="47">
        <v>0.95</v>
      </c>
      <c r="R72" s="44">
        <f t="shared" si="11"/>
        <v>1</v>
      </c>
      <c r="S72">
        <v>7</v>
      </c>
      <c r="T72" s="47">
        <f t="shared" si="12"/>
        <v>0.5</v>
      </c>
      <c r="U72" s="47">
        <f t="shared" si="13"/>
        <v>0</v>
      </c>
      <c r="V72" s="44">
        <f>+R72</f>
        <v>1</v>
      </c>
      <c r="W72" t="s">
        <v>348</v>
      </c>
    </row>
    <row r="73" spans="1:23" ht="16.5" x14ac:dyDescent="0.3">
      <c r="A73" s="14" t="s">
        <v>309</v>
      </c>
      <c r="B73" s="15" t="s">
        <v>56</v>
      </c>
      <c r="C73" s="24">
        <f>+VLOOKUP(B73,'INDICADORES CAPTURA'!C:N,12,FALSE)</f>
        <v>0.75</v>
      </c>
      <c r="D73">
        <v>3</v>
      </c>
      <c r="E73">
        <v>3</v>
      </c>
      <c r="F73" s="16">
        <f t="shared" si="8"/>
        <v>1</v>
      </c>
      <c r="G73">
        <v>47</v>
      </c>
      <c r="H73">
        <v>43</v>
      </c>
      <c r="I73" s="16">
        <f t="shared" si="9"/>
        <v>0.91489361702127658</v>
      </c>
      <c r="J73" s="44">
        <v>1</v>
      </c>
      <c r="K73" s="44">
        <v>1</v>
      </c>
      <c r="L73" s="44">
        <v>2.2700000000000001E-2</v>
      </c>
      <c r="M73" s="44">
        <v>1</v>
      </c>
      <c r="N73" s="44">
        <v>0</v>
      </c>
      <c r="O73" s="44">
        <v>1</v>
      </c>
      <c r="P73" s="44">
        <f t="shared" si="10"/>
        <v>0.34089999999999998</v>
      </c>
      <c r="Q73" s="47">
        <v>0.95</v>
      </c>
      <c r="R73" s="44">
        <f t="shared" si="11"/>
        <v>1</v>
      </c>
      <c r="S73">
        <v>3</v>
      </c>
      <c r="T73" s="47">
        <f t="shared" si="12"/>
        <v>1</v>
      </c>
      <c r="U73" s="47">
        <f t="shared" si="13"/>
        <v>0</v>
      </c>
      <c r="V73" s="44">
        <f t="shared" si="14"/>
        <v>0.5</v>
      </c>
      <c r="W73" t="s">
        <v>348</v>
      </c>
    </row>
    <row r="74" spans="1:23" ht="16.5" x14ac:dyDescent="0.3">
      <c r="A74" s="14" t="s">
        <v>308</v>
      </c>
      <c r="B74" s="15" t="s">
        <v>12</v>
      </c>
      <c r="C74" s="24">
        <f>+VLOOKUP(B74,'INDICADORES CAPTURA'!C:N,12,FALSE)</f>
        <v>0.75190000000000012</v>
      </c>
      <c r="D74">
        <v>16</v>
      </c>
      <c r="E74">
        <v>16</v>
      </c>
      <c r="F74" s="16">
        <f t="shared" si="8"/>
        <v>1</v>
      </c>
      <c r="G74">
        <v>91</v>
      </c>
      <c r="H74">
        <v>86</v>
      </c>
      <c r="I74" s="16">
        <f t="shared" si="9"/>
        <v>0.94505494505494503</v>
      </c>
      <c r="J74" s="44">
        <v>1</v>
      </c>
      <c r="K74" s="44">
        <v>1</v>
      </c>
      <c r="L74" s="44">
        <v>0</v>
      </c>
      <c r="M74" s="44">
        <v>1</v>
      </c>
      <c r="N74" s="44">
        <v>0.21429999999999999</v>
      </c>
      <c r="O74" s="44">
        <v>1</v>
      </c>
      <c r="P74" s="44">
        <f t="shared" si="10"/>
        <v>0.40476666666666666</v>
      </c>
      <c r="Q74" s="47">
        <v>0.95</v>
      </c>
      <c r="R74" s="44">
        <f t="shared" si="11"/>
        <v>1</v>
      </c>
      <c r="S74">
        <v>7</v>
      </c>
      <c r="T74" s="47">
        <f t="shared" si="12"/>
        <v>0.4375</v>
      </c>
      <c r="U74" s="47">
        <f t="shared" si="13"/>
        <v>0</v>
      </c>
      <c r="V74" s="44">
        <f>+R74</f>
        <v>1</v>
      </c>
      <c r="W74" t="s">
        <v>348</v>
      </c>
    </row>
    <row r="75" spans="1:23" ht="16.5" x14ac:dyDescent="0.3">
      <c r="A75" s="14" t="s">
        <v>310</v>
      </c>
      <c r="B75" s="15" t="s">
        <v>188</v>
      </c>
      <c r="C75" s="24">
        <f>+VLOOKUP(B75,'INDICADORES CAPTURA'!C:N,12,FALSE)</f>
        <v>0.77271818181818186</v>
      </c>
      <c r="D75">
        <v>5</v>
      </c>
      <c r="E75">
        <v>5</v>
      </c>
      <c r="F75" s="16">
        <f t="shared" si="8"/>
        <v>1</v>
      </c>
      <c r="G75">
        <v>41</v>
      </c>
      <c r="H75">
        <v>38</v>
      </c>
      <c r="I75" s="16">
        <f t="shared" si="9"/>
        <v>0.92682926829268297</v>
      </c>
      <c r="J75" s="44">
        <v>1</v>
      </c>
      <c r="K75" s="44">
        <v>1</v>
      </c>
      <c r="L75" s="44">
        <v>7.1400000000000005E-2</v>
      </c>
      <c r="M75" s="44">
        <v>1</v>
      </c>
      <c r="N75" s="44">
        <v>0.7</v>
      </c>
      <c r="O75" s="44">
        <v>1</v>
      </c>
      <c r="P75" s="44">
        <f t="shared" si="10"/>
        <v>0.59046666666666658</v>
      </c>
      <c r="Q75" s="47">
        <v>0.95</v>
      </c>
      <c r="R75" s="44">
        <f t="shared" si="11"/>
        <v>1</v>
      </c>
      <c r="S75">
        <v>3</v>
      </c>
      <c r="T75" s="47">
        <f t="shared" si="12"/>
        <v>0.6</v>
      </c>
      <c r="U75" s="47">
        <f t="shared" si="13"/>
        <v>0</v>
      </c>
      <c r="V75" s="44">
        <f t="shared" si="14"/>
        <v>0.5</v>
      </c>
      <c r="W75" t="s">
        <v>348</v>
      </c>
    </row>
    <row r="76" spans="1:23" ht="16.5" x14ac:dyDescent="0.3">
      <c r="A76" s="14" t="s">
        <v>309</v>
      </c>
      <c r="B76" s="15" t="s">
        <v>43</v>
      </c>
      <c r="C76" s="24">
        <f>+VLOOKUP(B76,'INDICADORES CAPTURA'!C:N,12,FALSE)</f>
        <v>0.7536272727272727</v>
      </c>
      <c r="D76">
        <v>7</v>
      </c>
      <c r="E76">
        <v>7</v>
      </c>
      <c r="F76" s="16">
        <f t="shared" si="8"/>
        <v>1</v>
      </c>
      <c r="G76">
        <v>67</v>
      </c>
      <c r="H76">
        <v>63</v>
      </c>
      <c r="I76" s="16">
        <f t="shared" si="9"/>
        <v>0.94029850746268662</v>
      </c>
      <c r="J76" s="44">
        <v>1</v>
      </c>
      <c r="K76" s="44">
        <v>1</v>
      </c>
      <c r="L76" s="44">
        <v>0</v>
      </c>
      <c r="M76" s="44">
        <v>1</v>
      </c>
      <c r="N76" s="44">
        <v>0.71430000000000005</v>
      </c>
      <c r="O76" s="44">
        <v>1</v>
      </c>
      <c r="P76" s="44">
        <f t="shared" si="10"/>
        <v>0.57143333333333335</v>
      </c>
      <c r="Q76" s="47">
        <v>0.95</v>
      </c>
      <c r="R76" s="44">
        <f t="shared" si="11"/>
        <v>1</v>
      </c>
      <c r="S76">
        <v>4</v>
      </c>
      <c r="T76" s="47">
        <f t="shared" si="12"/>
        <v>0.5714285714285714</v>
      </c>
      <c r="U76" s="47">
        <f t="shared" si="13"/>
        <v>0</v>
      </c>
      <c r="V76" s="44">
        <f>+R76</f>
        <v>1</v>
      </c>
      <c r="W76" t="s">
        <v>348</v>
      </c>
    </row>
    <row r="77" spans="1:23" ht="16.5" x14ac:dyDescent="0.3">
      <c r="A77" s="14" t="s">
        <v>311</v>
      </c>
      <c r="B77" s="15" t="s">
        <v>113</v>
      </c>
      <c r="C77" s="24">
        <f>+VLOOKUP(B77,'INDICADORES CAPTURA'!C:N,12,FALSE)</f>
        <v>0.8077545454545455</v>
      </c>
      <c r="D77">
        <v>14</v>
      </c>
      <c r="E77">
        <v>14</v>
      </c>
      <c r="F77" s="16">
        <f t="shared" si="8"/>
        <v>1</v>
      </c>
      <c r="G77">
        <v>73</v>
      </c>
      <c r="H77">
        <v>58</v>
      </c>
      <c r="I77" s="16">
        <f t="shared" si="9"/>
        <v>0.79452054794520544</v>
      </c>
      <c r="J77" s="44">
        <v>1</v>
      </c>
      <c r="K77" s="44">
        <v>1</v>
      </c>
      <c r="L77" s="44">
        <v>6.5600000000000006E-2</v>
      </c>
      <c r="M77" s="44">
        <v>1</v>
      </c>
      <c r="N77" s="44">
        <v>0</v>
      </c>
      <c r="O77" s="44">
        <v>1</v>
      </c>
      <c r="P77" s="44">
        <f t="shared" si="10"/>
        <v>0.35520000000000002</v>
      </c>
      <c r="Q77" s="47">
        <v>0.95</v>
      </c>
      <c r="R77" s="44">
        <f t="shared" si="11"/>
        <v>1</v>
      </c>
      <c r="S77">
        <v>8</v>
      </c>
      <c r="T77" s="47">
        <f t="shared" si="12"/>
        <v>0.5714285714285714</v>
      </c>
      <c r="U77" s="47">
        <f t="shared" si="13"/>
        <v>0</v>
      </c>
      <c r="V77" s="44">
        <f t="shared" si="14"/>
        <v>0.5</v>
      </c>
      <c r="W77" t="s">
        <v>348</v>
      </c>
    </row>
    <row r="78" spans="1:23" ht="16.5" x14ac:dyDescent="0.3">
      <c r="A78" s="14" t="s">
        <v>301</v>
      </c>
      <c r="B78" s="15" t="s">
        <v>177</v>
      </c>
      <c r="C78" s="24">
        <f>+VLOOKUP(B78,'INDICADORES CAPTURA'!C:N,12,FALSE)</f>
        <v>0.78473636363636379</v>
      </c>
      <c r="D78">
        <v>15</v>
      </c>
      <c r="E78">
        <v>14</v>
      </c>
      <c r="F78" s="16">
        <f t="shared" si="8"/>
        <v>0.93333333333333335</v>
      </c>
      <c r="G78">
        <v>105</v>
      </c>
      <c r="H78">
        <v>98</v>
      </c>
      <c r="I78" s="16">
        <f t="shared" si="9"/>
        <v>0.93333333333333335</v>
      </c>
      <c r="J78" s="44">
        <v>1</v>
      </c>
      <c r="K78" s="44">
        <v>1</v>
      </c>
      <c r="L78" s="44">
        <v>0.217</v>
      </c>
      <c r="M78" s="44">
        <v>1</v>
      </c>
      <c r="N78" s="44">
        <v>0.85709999999999997</v>
      </c>
      <c r="O78" s="44">
        <v>1</v>
      </c>
      <c r="P78" s="44">
        <f t="shared" si="10"/>
        <v>0.69136666666666668</v>
      </c>
      <c r="Q78" s="47">
        <v>0.95</v>
      </c>
      <c r="R78" s="44">
        <f t="shared" si="11"/>
        <v>1</v>
      </c>
      <c r="S78">
        <v>3</v>
      </c>
      <c r="T78" s="47">
        <f t="shared" si="12"/>
        <v>0.2</v>
      </c>
      <c r="U78" s="47">
        <f t="shared" si="13"/>
        <v>0</v>
      </c>
      <c r="V78" s="44">
        <f t="shared" si="14"/>
        <v>0.5</v>
      </c>
      <c r="W78" t="s">
        <v>348</v>
      </c>
    </row>
    <row r="79" spans="1:23" ht="16.5" x14ac:dyDescent="0.3">
      <c r="A79" s="14" t="s">
        <v>309</v>
      </c>
      <c r="B79" s="15" t="s">
        <v>58</v>
      </c>
      <c r="C79" s="24">
        <f>+VLOOKUP(B79,'INDICADORES CAPTURA'!C:N,12,FALSE)</f>
        <v>0.76043636363636358</v>
      </c>
      <c r="D79">
        <v>13</v>
      </c>
      <c r="E79">
        <v>13</v>
      </c>
      <c r="F79" s="16">
        <f t="shared" si="8"/>
        <v>1</v>
      </c>
      <c r="G79">
        <v>105</v>
      </c>
      <c r="H79">
        <v>93</v>
      </c>
      <c r="I79" s="16">
        <f t="shared" si="9"/>
        <v>0.88571428571428568</v>
      </c>
      <c r="J79" s="44">
        <v>0.98960000000000004</v>
      </c>
      <c r="K79" s="44">
        <v>0.98960000000000004</v>
      </c>
      <c r="L79" s="44">
        <v>4.1700000000000001E-2</v>
      </c>
      <c r="M79" s="44">
        <v>0.97919999999999996</v>
      </c>
      <c r="N79" s="44">
        <v>0.22220000000000001</v>
      </c>
      <c r="O79" s="44">
        <v>0.97919999999999996</v>
      </c>
      <c r="P79" s="44">
        <f t="shared" si="10"/>
        <v>0.41436666666666661</v>
      </c>
      <c r="Q79" s="47">
        <v>0.95</v>
      </c>
      <c r="R79" s="44">
        <f t="shared" si="11"/>
        <v>0.98960000000000004</v>
      </c>
      <c r="S79">
        <v>7</v>
      </c>
      <c r="T79" s="47">
        <f t="shared" si="12"/>
        <v>0.53846153846153844</v>
      </c>
      <c r="U79" s="47">
        <f t="shared" si="13"/>
        <v>0</v>
      </c>
      <c r="V79" s="44">
        <f t="shared" si="14"/>
        <v>0.49480000000000002</v>
      </c>
      <c r="W79" t="s">
        <v>348</v>
      </c>
    </row>
    <row r="80" spans="1:23" ht="16.5" x14ac:dyDescent="0.3">
      <c r="A80" s="14" t="s">
        <v>301</v>
      </c>
      <c r="B80" s="15" t="s">
        <v>173</v>
      </c>
      <c r="C80" s="24">
        <f>+VLOOKUP(B80,'INDICADORES CAPTURA'!C:N,12,FALSE)</f>
        <v>0.76818181818181808</v>
      </c>
      <c r="D80">
        <v>7</v>
      </c>
      <c r="E80">
        <v>7</v>
      </c>
      <c r="F80" s="16">
        <f t="shared" si="8"/>
        <v>1</v>
      </c>
      <c r="G80">
        <v>64</v>
      </c>
      <c r="H80">
        <v>59</v>
      </c>
      <c r="I80" s="16">
        <f t="shared" si="9"/>
        <v>0.921875</v>
      </c>
      <c r="J80" s="44">
        <v>1</v>
      </c>
      <c r="K80" s="44">
        <v>1</v>
      </c>
      <c r="L80" s="44">
        <v>0.16669999999999999</v>
      </c>
      <c r="M80" s="44">
        <v>1</v>
      </c>
      <c r="N80" s="44">
        <v>0.91669999999999996</v>
      </c>
      <c r="O80" s="44">
        <v>1</v>
      </c>
      <c r="P80" s="44">
        <f t="shared" si="10"/>
        <v>0.69446666666666668</v>
      </c>
      <c r="Q80" s="47">
        <v>0.95</v>
      </c>
      <c r="R80" s="44">
        <f t="shared" si="11"/>
        <v>1</v>
      </c>
      <c r="S80">
        <v>3</v>
      </c>
      <c r="T80" s="47">
        <f t="shared" si="12"/>
        <v>0.42857142857142855</v>
      </c>
      <c r="U80" s="47">
        <f t="shared" si="13"/>
        <v>0</v>
      </c>
      <c r="V80" s="44">
        <f t="shared" si="14"/>
        <v>0.5</v>
      </c>
      <c r="W80" t="s">
        <v>348</v>
      </c>
    </row>
    <row r="81" spans="1:23" ht="16.5" x14ac:dyDescent="0.3">
      <c r="A81" s="14" t="s">
        <v>308</v>
      </c>
      <c r="B81" s="15" t="s">
        <v>23</v>
      </c>
      <c r="C81" s="24">
        <f>+VLOOKUP(B81,'INDICADORES CAPTURA'!C:N,12,FALSE)</f>
        <v>0.76424545454545456</v>
      </c>
      <c r="D81">
        <v>4</v>
      </c>
      <c r="E81">
        <v>4</v>
      </c>
      <c r="F81" s="16">
        <f t="shared" si="8"/>
        <v>1</v>
      </c>
      <c r="G81">
        <v>63</v>
      </c>
      <c r="H81">
        <v>58</v>
      </c>
      <c r="I81" s="16">
        <f t="shared" si="9"/>
        <v>0.92063492063492058</v>
      </c>
      <c r="J81" s="44">
        <v>1</v>
      </c>
      <c r="K81" s="44">
        <v>1</v>
      </c>
      <c r="L81" s="44">
        <v>0.1525</v>
      </c>
      <c r="M81" s="44">
        <v>1</v>
      </c>
      <c r="N81" s="44">
        <v>0.16669999999999999</v>
      </c>
      <c r="O81" s="44">
        <v>1</v>
      </c>
      <c r="P81" s="44">
        <f t="shared" si="10"/>
        <v>0.43973333333333336</v>
      </c>
      <c r="Q81" s="47">
        <v>0.95</v>
      </c>
      <c r="R81" s="44">
        <f t="shared" si="11"/>
        <v>1</v>
      </c>
      <c r="S81">
        <v>2</v>
      </c>
      <c r="T81" s="47">
        <f t="shared" si="12"/>
        <v>0.5</v>
      </c>
      <c r="U81" s="47">
        <f t="shared" si="13"/>
        <v>0</v>
      </c>
      <c r="V81" s="44">
        <f t="shared" si="14"/>
        <v>0.5</v>
      </c>
      <c r="W81" t="s">
        <v>348</v>
      </c>
    </row>
    <row r="82" spans="1:23" ht="16.5" x14ac:dyDescent="0.3">
      <c r="A82" s="14" t="s">
        <v>208</v>
      </c>
      <c r="B82" s="15" t="s">
        <v>144</v>
      </c>
      <c r="C82" s="24">
        <f>+VLOOKUP(B82,'INDICADORES CAPTURA'!C:N,12,FALSE)</f>
        <v>0.76018181818181818</v>
      </c>
      <c r="D82">
        <v>5</v>
      </c>
      <c r="E82">
        <v>5</v>
      </c>
      <c r="F82" s="16">
        <f t="shared" si="8"/>
        <v>1</v>
      </c>
      <c r="G82">
        <v>61</v>
      </c>
      <c r="H82">
        <v>56</v>
      </c>
      <c r="I82" s="16">
        <f t="shared" si="9"/>
        <v>0.91803278688524592</v>
      </c>
      <c r="J82" s="44">
        <v>1</v>
      </c>
      <c r="K82" s="44">
        <v>1</v>
      </c>
      <c r="L82" s="44">
        <v>1.72E-2</v>
      </c>
      <c r="M82" s="44">
        <v>1</v>
      </c>
      <c r="N82" s="44">
        <v>0.75</v>
      </c>
      <c r="O82" s="44">
        <v>1</v>
      </c>
      <c r="P82" s="44">
        <f t="shared" si="10"/>
        <v>0.58906666666666674</v>
      </c>
      <c r="Q82" s="47">
        <v>0.95</v>
      </c>
      <c r="R82" s="44">
        <f t="shared" si="11"/>
        <v>1</v>
      </c>
      <c r="S82">
        <v>0</v>
      </c>
      <c r="T82" s="47">
        <f t="shared" si="12"/>
        <v>0</v>
      </c>
      <c r="U82" s="47">
        <f t="shared" si="13"/>
        <v>1</v>
      </c>
      <c r="V82" s="44">
        <f t="shared" si="14"/>
        <v>1</v>
      </c>
      <c r="W82" t="s">
        <v>348</v>
      </c>
    </row>
    <row r="83" spans="1:23" ht="16.5" x14ac:dyDescent="0.3">
      <c r="A83" s="14" t="s">
        <v>205</v>
      </c>
      <c r="B83" s="15" t="s">
        <v>103</v>
      </c>
      <c r="C83" s="24">
        <f>+VLOOKUP(B83,'INDICADORES CAPTURA'!C:N,12,FALSE)</f>
        <v>0.77805454545454533</v>
      </c>
      <c r="D83">
        <v>19</v>
      </c>
      <c r="E83">
        <v>18</v>
      </c>
      <c r="F83" s="16">
        <f t="shared" si="8"/>
        <v>0.94736842105263153</v>
      </c>
      <c r="G83">
        <v>111</v>
      </c>
      <c r="H83">
        <v>106</v>
      </c>
      <c r="I83" s="16">
        <f t="shared" si="9"/>
        <v>0.95495495495495497</v>
      </c>
      <c r="J83" s="44">
        <v>1</v>
      </c>
      <c r="K83" s="44">
        <v>1</v>
      </c>
      <c r="L83" s="44">
        <v>0.17119999999999999</v>
      </c>
      <c r="M83" s="44">
        <v>1</v>
      </c>
      <c r="N83" s="44">
        <v>0.9375</v>
      </c>
      <c r="O83" s="44">
        <v>1</v>
      </c>
      <c r="P83" s="44">
        <f t="shared" si="10"/>
        <v>0.70289999999999997</v>
      </c>
      <c r="Q83" s="47">
        <v>0.95</v>
      </c>
      <c r="R83" s="44">
        <f t="shared" si="11"/>
        <v>1</v>
      </c>
      <c r="S83">
        <v>12</v>
      </c>
      <c r="T83" s="47">
        <f t="shared" si="12"/>
        <v>0.63157894736842102</v>
      </c>
      <c r="U83" s="47">
        <f t="shared" si="13"/>
        <v>0</v>
      </c>
      <c r="V83" s="44">
        <f t="shared" si="14"/>
        <v>0.5</v>
      </c>
      <c r="W83" t="s">
        <v>348</v>
      </c>
    </row>
    <row r="84" spans="1:23" ht="16.5" x14ac:dyDescent="0.3">
      <c r="A84" s="14" t="s">
        <v>309</v>
      </c>
      <c r="B84" s="15" t="s">
        <v>54</v>
      </c>
      <c r="C84" s="24">
        <f>+VLOOKUP(B84,'INDICADORES CAPTURA'!C:N,12,FALSE)</f>
        <v>0.74939999999999996</v>
      </c>
      <c r="D84">
        <v>3</v>
      </c>
      <c r="E84">
        <v>3</v>
      </c>
      <c r="F84" s="16">
        <f t="shared" si="8"/>
        <v>1</v>
      </c>
      <c r="G84">
        <v>42</v>
      </c>
      <c r="H84">
        <v>36</v>
      </c>
      <c r="I84" s="16">
        <f t="shared" si="9"/>
        <v>0.8571428571428571</v>
      </c>
      <c r="J84" s="44">
        <v>0.97299999999999998</v>
      </c>
      <c r="K84" s="44">
        <v>0.97299999999999998</v>
      </c>
      <c r="L84" s="44">
        <v>0</v>
      </c>
      <c r="M84" s="44">
        <v>0.97299999999999998</v>
      </c>
      <c r="N84" s="44">
        <v>0.15379999999999999</v>
      </c>
      <c r="O84" s="44">
        <v>0.97299999999999998</v>
      </c>
      <c r="P84" s="44">
        <f t="shared" si="10"/>
        <v>0.37559999999999999</v>
      </c>
      <c r="Q84" s="47">
        <v>0.95</v>
      </c>
      <c r="R84" s="44">
        <f t="shared" si="11"/>
        <v>0.97299999999999998</v>
      </c>
      <c r="S84">
        <v>3</v>
      </c>
      <c r="T84" s="47">
        <f t="shared" si="12"/>
        <v>1</v>
      </c>
      <c r="U84" s="47">
        <f t="shared" si="13"/>
        <v>0</v>
      </c>
      <c r="V84" s="44">
        <f t="shared" ref="V84:V85" si="15">+R84</f>
        <v>0.97299999999999998</v>
      </c>
      <c r="W84" t="s">
        <v>348</v>
      </c>
    </row>
    <row r="85" spans="1:23" ht="16.5" x14ac:dyDescent="0.3">
      <c r="A85" s="14" t="s">
        <v>306</v>
      </c>
      <c r="B85" s="15" t="s">
        <v>28</v>
      </c>
      <c r="C85" s="24">
        <f>+VLOOKUP(B85,'INDICADORES CAPTURA'!C:N,12,FALSE)</f>
        <v>0.76277272727272727</v>
      </c>
      <c r="D85">
        <v>16</v>
      </c>
      <c r="E85">
        <v>16</v>
      </c>
      <c r="F85" s="16">
        <f t="shared" si="8"/>
        <v>1</v>
      </c>
      <c r="G85">
        <v>120</v>
      </c>
      <c r="H85">
        <v>103</v>
      </c>
      <c r="I85" s="16">
        <f t="shared" si="9"/>
        <v>0.85833333333333328</v>
      </c>
      <c r="J85" s="44">
        <v>1</v>
      </c>
      <c r="K85" s="44">
        <v>0.99050000000000005</v>
      </c>
      <c r="L85" s="44">
        <v>0</v>
      </c>
      <c r="M85" s="44">
        <v>1</v>
      </c>
      <c r="N85" s="44">
        <v>0.45590000000000003</v>
      </c>
      <c r="O85" s="44">
        <v>1</v>
      </c>
      <c r="P85" s="44">
        <f t="shared" si="10"/>
        <v>0.48530000000000001</v>
      </c>
      <c r="Q85" s="47">
        <v>0.95</v>
      </c>
      <c r="R85" s="44">
        <f t="shared" si="11"/>
        <v>1</v>
      </c>
      <c r="S85">
        <v>0</v>
      </c>
      <c r="T85" s="47">
        <f t="shared" si="12"/>
        <v>0</v>
      </c>
      <c r="U85" s="47">
        <f t="shared" si="13"/>
        <v>1</v>
      </c>
      <c r="V85" s="44">
        <f t="shared" si="15"/>
        <v>1</v>
      </c>
      <c r="W85" t="s">
        <v>348</v>
      </c>
    </row>
    <row r="86" spans="1:23" ht="16.5" x14ac:dyDescent="0.3">
      <c r="A86" s="14" t="s">
        <v>203</v>
      </c>
      <c r="B86" s="15" t="s">
        <v>73</v>
      </c>
      <c r="C86" s="24">
        <f>+VLOOKUP(B86,'INDICADORES CAPTURA'!C:N,12,FALSE)</f>
        <v>0.81913636363636355</v>
      </c>
      <c r="D86">
        <v>21</v>
      </c>
      <c r="E86">
        <v>19</v>
      </c>
      <c r="F86" s="16">
        <f t="shared" si="8"/>
        <v>0.90476190476190477</v>
      </c>
      <c r="G86">
        <v>111</v>
      </c>
      <c r="H86">
        <v>91</v>
      </c>
      <c r="I86" s="16">
        <f t="shared" si="9"/>
        <v>0.81981981981981977</v>
      </c>
      <c r="J86" s="44">
        <v>1</v>
      </c>
      <c r="K86" s="44">
        <v>1</v>
      </c>
      <c r="L86" s="44">
        <v>5.21E-2</v>
      </c>
      <c r="M86" s="44">
        <v>1</v>
      </c>
      <c r="N86" s="44">
        <v>0.55000000000000004</v>
      </c>
      <c r="O86" s="44">
        <v>1</v>
      </c>
      <c r="P86" s="44">
        <f t="shared" si="10"/>
        <v>0.53403333333333336</v>
      </c>
      <c r="Q86" s="47">
        <v>0.95</v>
      </c>
      <c r="R86" s="44">
        <f t="shared" si="11"/>
        <v>1</v>
      </c>
      <c r="S86">
        <v>7</v>
      </c>
      <c r="T86" s="47">
        <f t="shared" si="12"/>
        <v>0.33333333333333331</v>
      </c>
      <c r="U86" s="47">
        <f t="shared" si="13"/>
        <v>0</v>
      </c>
      <c r="V86" s="44">
        <f t="shared" si="14"/>
        <v>0.5</v>
      </c>
      <c r="W86" t="s">
        <v>348</v>
      </c>
    </row>
    <row r="87" spans="1:23" ht="16.5" x14ac:dyDescent="0.3">
      <c r="A87" s="14" t="s">
        <v>205</v>
      </c>
      <c r="B87" s="15" t="s">
        <v>110</v>
      </c>
      <c r="C87" s="24">
        <f>+VLOOKUP(B87,'INDICADORES CAPTURA'!C:N,12,FALSE)</f>
        <v>0.76104545454545469</v>
      </c>
      <c r="D87">
        <v>15</v>
      </c>
      <c r="E87">
        <v>15</v>
      </c>
      <c r="F87" s="16">
        <f t="shared" si="8"/>
        <v>1</v>
      </c>
      <c r="G87">
        <v>107</v>
      </c>
      <c r="H87">
        <v>95</v>
      </c>
      <c r="I87" s="16">
        <f t="shared" si="9"/>
        <v>0.88785046728971961</v>
      </c>
      <c r="J87" s="44">
        <v>1</v>
      </c>
      <c r="K87" s="44">
        <v>1</v>
      </c>
      <c r="L87" s="44">
        <v>9.4999999999999998E-3</v>
      </c>
      <c r="M87" s="44">
        <v>1</v>
      </c>
      <c r="N87" s="44">
        <v>0.77780000000000005</v>
      </c>
      <c r="O87" s="44">
        <v>1</v>
      </c>
      <c r="P87" s="44">
        <f t="shared" si="10"/>
        <v>0.59576666666666667</v>
      </c>
      <c r="Q87" s="47">
        <v>0.95</v>
      </c>
      <c r="R87" s="44">
        <f t="shared" si="11"/>
        <v>1</v>
      </c>
      <c r="S87">
        <v>6</v>
      </c>
      <c r="T87" s="47">
        <f t="shared" si="12"/>
        <v>0.4</v>
      </c>
      <c r="U87" s="47">
        <f t="shared" si="13"/>
        <v>0</v>
      </c>
      <c r="V87" s="44">
        <f t="shared" si="14"/>
        <v>0.5</v>
      </c>
      <c r="W87" t="s">
        <v>348</v>
      </c>
    </row>
    <row r="88" spans="1:23" ht="16.5" x14ac:dyDescent="0.3">
      <c r="A88" s="14" t="s">
        <v>309</v>
      </c>
      <c r="B88" s="15" t="s">
        <v>53</v>
      </c>
      <c r="C88" s="24">
        <f>+VLOOKUP(B88,'INDICADORES CAPTURA'!C:N,12,FALSE)</f>
        <v>0.77899090909090918</v>
      </c>
      <c r="D88">
        <v>16</v>
      </c>
      <c r="E88">
        <v>16</v>
      </c>
      <c r="F88" s="16">
        <f t="shared" si="8"/>
        <v>1</v>
      </c>
      <c r="G88">
        <v>127</v>
      </c>
      <c r="H88">
        <v>111</v>
      </c>
      <c r="I88" s="16">
        <f t="shared" si="9"/>
        <v>0.87401574803149606</v>
      </c>
      <c r="J88" s="44">
        <v>1</v>
      </c>
      <c r="K88" s="44">
        <v>1</v>
      </c>
      <c r="L88" s="44">
        <v>0.1638</v>
      </c>
      <c r="M88" s="44">
        <v>1</v>
      </c>
      <c r="N88" s="44">
        <v>0.65380000000000005</v>
      </c>
      <c r="O88" s="44">
        <v>1</v>
      </c>
      <c r="P88" s="44">
        <f t="shared" si="10"/>
        <v>0.60586666666666666</v>
      </c>
      <c r="Q88" s="47">
        <v>0.95</v>
      </c>
      <c r="R88" s="44">
        <f t="shared" si="11"/>
        <v>1</v>
      </c>
      <c r="S88">
        <v>8</v>
      </c>
      <c r="T88" s="47">
        <f t="shared" si="12"/>
        <v>0.5</v>
      </c>
      <c r="U88" s="47">
        <f t="shared" si="13"/>
        <v>0</v>
      </c>
      <c r="V88" s="44">
        <f t="shared" si="14"/>
        <v>0.5</v>
      </c>
      <c r="W88" t="s">
        <v>348</v>
      </c>
    </row>
    <row r="89" spans="1:23" ht="16.5" x14ac:dyDescent="0.3">
      <c r="A89" s="14" t="s">
        <v>207</v>
      </c>
      <c r="B89" s="15" t="s">
        <v>134</v>
      </c>
      <c r="C89" s="24">
        <f>+VLOOKUP(B89,'INDICADORES CAPTURA'!C:N,12,FALSE)</f>
        <v>0.762709090909091</v>
      </c>
      <c r="D89">
        <v>5</v>
      </c>
      <c r="E89">
        <v>5</v>
      </c>
      <c r="F89" s="16">
        <f t="shared" si="8"/>
        <v>1</v>
      </c>
      <c r="G89">
        <v>60</v>
      </c>
      <c r="H89">
        <v>53</v>
      </c>
      <c r="I89" s="16">
        <f t="shared" si="9"/>
        <v>0.8833333333333333</v>
      </c>
      <c r="J89" s="44">
        <v>1</v>
      </c>
      <c r="K89" s="44">
        <v>1</v>
      </c>
      <c r="L89" s="44">
        <v>3.39E-2</v>
      </c>
      <c r="M89" s="44">
        <v>1</v>
      </c>
      <c r="N89" s="44">
        <v>0.5</v>
      </c>
      <c r="O89" s="44">
        <v>1</v>
      </c>
      <c r="P89" s="44">
        <f t="shared" si="10"/>
        <v>0.51129999999999998</v>
      </c>
      <c r="Q89" s="47">
        <v>0.95</v>
      </c>
      <c r="R89" s="44">
        <f t="shared" si="11"/>
        <v>1</v>
      </c>
      <c r="S89">
        <v>0</v>
      </c>
      <c r="T89" s="47">
        <f t="shared" si="12"/>
        <v>0</v>
      </c>
      <c r="U89" s="47">
        <f t="shared" si="13"/>
        <v>1</v>
      </c>
      <c r="V89" s="44">
        <f t="shared" si="14"/>
        <v>1</v>
      </c>
      <c r="W89" t="s">
        <v>348</v>
      </c>
    </row>
    <row r="90" spans="1:23" ht="16.5" x14ac:dyDescent="0.3">
      <c r="A90" s="14" t="s">
        <v>307</v>
      </c>
      <c r="B90" s="15" t="s">
        <v>84</v>
      </c>
      <c r="C90" s="24">
        <f>+VLOOKUP(B90,'INDICADORES CAPTURA'!C:N,12,FALSE)</f>
        <v>0.82598181818181826</v>
      </c>
      <c r="D90">
        <v>16</v>
      </c>
      <c r="E90">
        <v>14</v>
      </c>
      <c r="F90" s="16">
        <f t="shared" si="8"/>
        <v>0.875</v>
      </c>
      <c r="G90">
        <v>105</v>
      </c>
      <c r="H90">
        <v>98</v>
      </c>
      <c r="I90" s="16">
        <f t="shared" si="9"/>
        <v>0.93333333333333335</v>
      </c>
      <c r="J90" s="44">
        <v>1</v>
      </c>
      <c r="K90" s="44">
        <v>1</v>
      </c>
      <c r="L90" s="44">
        <v>0.1905</v>
      </c>
      <c r="M90" s="44">
        <v>1</v>
      </c>
      <c r="N90" s="44">
        <v>0.72</v>
      </c>
      <c r="O90" s="44">
        <v>1</v>
      </c>
      <c r="P90" s="44">
        <f t="shared" si="10"/>
        <v>0.63683333333333336</v>
      </c>
      <c r="Q90" s="47">
        <v>0.95</v>
      </c>
      <c r="R90" s="44">
        <f t="shared" si="11"/>
        <v>1</v>
      </c>
      <c r="S90">
        <v>0</v>
      </c>
      <c r="T90" s="47">
        <f t="shared" si="12"/>
        <v>0</v>
      </c>
      <c r="U90" s="47">
        <f t="shared" si="13"/>
        <v>1</v>
      </c>
      <c r="V90" s="44">
        <f t="shared" si="14"/>
        <v>1</v>
      </c>
      <c r="W90" t="s">
        <v>348</v>
      </c>
    </row>
    <row r="91" spans="1:23" ht="16.5" x14ac:dyDescent="0.3">
      <c r="A91" s="14" t="s">
        <v>306</v>
      </c>
      <c r="B91" s="15" t="s">
        <v>40</v>
      </c>
      <c r="C91" s="24">
        <f>+VLOOKUP(B91,'INDICADORES CAPTURA'!C:N,12,FALSE)</f>
        <v>0.80819090909090907</v>
      </c>
      <c r="D91">
        <v>13</v>
      </c>
      <c r="E91">
        <v>13</v>
      </c>
      <c r="F91" s="16">
        <f t="shared" si="8"/>
        <v>1</v>
      </c>
      <c r="G91">
        <v>101</v>
      </c>
      <c r="H91">
        <v>85</v>
      </c>
      <c r="I91" s="16">
        <f t="shared" si="9"/>
        <v>0.84158415841584155</v>
      </c>
      <c r="J91" s="44">
        <v>1</v>
      </c>
      <c r="K91" s="44">
        <v>1</v>
      </c>
      <c r="L91" s="44">
        <v>9.8900000000000002E-2</v>
      </c>
      <c r="M91" s="44">
        <v>1</v>
      </c>
      <c r="N91" s="44">
        <v>0.4</v>
      </c>
      <c r="O91" s="44">
        <v>1</v>
      </c>
      <c r="P91" s="44">
        <f t="shared" si="10"/>
        <v>0.49963333333333332</v>
      </c>
      <c r="Q91" s="47">
        <v>0.95</v>
      </c>
      <c r="R91" s="44">
        <f t="shared" si="11"/>
        <v>1</v>
      </c>
      <c r="S91">
        <v>0</v>
      </c>
      <c r="T91" s="47">
        <f t="shared" si="12"/>
        <v>0</v>
      </c>
      <c r="U91" s="47">
        <f t="shared" si="13"/>
        <v>1</v>
      </c>
      <c r="V91" s="44">
        <f t="shared" si="14"/>
        <v>1</v>
      </c>
      <c r="W91" t="s">
        <v>348</v>
      </c>
    </row>
    <row r="92" spans="1:23" ht="16.5" x14ac:dyDescent="0.3">
      <c r="A92" s="14" t="s">
        <v>301</v>
      </c>
      <c r="B92" s="15" t="s">
        <v>172</v>
      </c>
      <c r="C92" s="24">
        <f>+VLOOKUP(B92,'INDICADORES CAPTURA'!C:N,12,FALSE)</f>
        <v>0.81072727272727263</v>
      </c>
      <c r="D92">
        <v>16</v>
      </c>
      <c r="E92">
        <v>16</v>
      </c>
      <c r="F92" s="16">
        <f t="shared" si="8"/>
        <v>1</v>
      </c>
      <c r="G92">
        <v>141</v>
      </c>
      <c r="H92">
        <v>118</v>
      </c>
      <c r="I92" s="16">
        <f t="shared" si="9"/>
        <v>0.83687943262411346</v>
      </c>
      <c r="J92" s="44">
        <v>1</v>
      </c>
      <c r="K92" s="44">
        <v>1</v>
      </c>
      <c r="L92" s="44">
        <v>0.48359999999999997</v>
      </c>
      <c r="M92" s="44">
        <v>1</v>
      </c>
      <c r="N92" s="44">
        <v>0.5111</v>
      </c>
      <c r="O92" s="44">
        <v>1</v>
      </c>
      <c r="P92" s="44">
        <f t="shared" si="10"/>
        <v>0.66489999999999994</v>
      </c>
      <c r="Q92" s="47">
        <v>0.95</v>
      </c>
      <c r="R92" s="44">
        <f t="shared" si="11"/>
        <v>1</v>
      </c>
      <c r="S92">
        <v>9</v>
      </c>
      <c r="T92" s="47">
        <f t="shared" si="12"/>
        <v>0.5625</v>
      </c>
      <c r="U92" s="47">
        <f t="shared" si="13"/>
        <v>0</v>
      </c>
      <c r="V92" s="44">
        <f t="shared" si="14"/>
        <v>0.5</v>
      </c>
      <c r="W92" t="s">
        <v>348</v>
      </c>
    </row>
    <row r="93" spans="1:23" ht="16.5" x14ac:dyDescent="0.3">
      <c r="A93" s="14" t="s">
        <v>208</v>
      </c>
      <c r="B93" s="15" t="s">
        <v>157</v>
      </c>
      <c r="C93" s="24">
        <f>+VLOOKUP(B93,'INDICADORES CAPTURA'!C:N,12,FALSE)</f>
        <v>0.776590909090909</v>
      </c>
      <c r="D93">
        <v>12</v>
      </c>
      <c r="E93">
        <v>12</v>
      </c>
      <c r="F93" s="16">
        <f t="shared" si="8"/>
        <v>1</v>
      </c>
      <c r="G93">
        <v>89</v>
      </c>
      <c r="H93">
        <v>77</v>
      </c>
      <c r="I93" s="16">
        <f t="shared" si="9"/>
        <v>0.8651685393258427</v>
      </c>
      <c r="J93" s="44">
        <v>0.98799999999999999</v>
      </c>
      <c r="K93" s="44">
        <v>0.98799999999999999</v>
      </c>
      <c r="L93" s="44">
        <v>0.2651</v>
      </c>
      <c r="M93" s="44">
        <v>0.98799999999999999</v>
      </c>
      <c r="N93" s="44">
        <v>0.76190000000000002</v>
      </c>
      <c r="O93" s="44">
        <v>0.98799999999999999</v>
      </c>
      <c r="P93" s="44">
        <f t="shared" si="10"/>
        <v>0.67166666666666652</v>
      </c>
      <c r="Q93" s="47">
        <v>0.95</v>
      </c>
      <c r="R93" s="44">
        <f t="shared" si="11"/>
        <v>0.98799999999999999</v>
      </c>
      <c r="S93">
        <v>0</v>
      </c>
      <c r="T93" s="47">
        <f t="shared" si="12"/>
        <v>0</v>
      </c>
      <c r="U93" s="47">
        <f t="shared" si="13"/>
        <v>1</v>
      </c>
      <c r="V93" s="44">
        <f t="shared" si="14"/>
        <v>0.99399999999999999</v>
      </c>
      <c r="W93" t="s">
        <v>348</v>
      </c>
    </row>
    <row r="94" spans="1:23" ht="16.5" x14ac:dyDescent="0.3">
      <c r="A94" s="14" t="s">
        <v>306</v>
      </c>
      <c r="B94" s="15" t="s">
        <v>38</v>
      </c>
      <c r="C94" s="24">
        <f>+VLOOKUP(B94,'INDICADORES CAPTURA'!C:N,12,FALSE)</f>
        <v>0.83635454545454557</v>
      </c>
      <c r="D94">
        <v>5</v>
      </c>
      <c r="E94">
        <v>4</v>
      </c>
      <c r="F94" s="16">
        <f t="shared" si="8"/>
        <v>0.8</v>
      </c>
      <c r="G94">
        <v>57</v>
      </c>
      <c r="H94">
        <v>52</v>
      </c>
      <c r="I94" s="16">
        <f t="shared" si="9"/>
        <v>0.91228070175438591</v>
      </c>
      <c r="J94" s="44">
        <v>1</v>
      </c>
      <c r="K94" s="44">
        <v>1</v>
      </c>
      <c r="L94" s="44">
        <v>0.2545</v>
      </c>
      <c r="M94" s="44">
        <v>1</v>
      </c>
      <c r="N94" s="44">
        <v>0.46150000000000002</v>
      </c>
      <c r="O94" s="44">
        <v>1</v>
      </c>
      <c r="P94" s="44">
        <f t="shared" si="10"/>
        <v>0.57199999999999995</v>
      </c>
      <c r="Q94" s="47">
        <v>0.95</v>
      </c>
      <c r="R94" s="44">
        <f t="shared" si="11"/>
        <v>1</v>
      </c>
      <c r="S94">
        <v>0</v>
      </c>
      <c r="T94" s="47">
        <f t="shared" si="12"/>
        <v>0</v>
      </c>
      <c r="U94" s="47">
        <f t="shared" si="13"/>
        <v>1</v>
      </c>
      <c r="V94" s="44">
        <f t="shared" si="14"/>
        <v>1</v>
      </c>
      <c r="W94" t="s">
        <v>348</v>
      </c>
    </row>
    <row r="95" spans="1:23" ht="16.5" x14ac:dyDescent="0.3">
      <c r="A95" s="14" t="s">
        <v>205</v>
      </c>
      <c r="B95" s="15" t="s">
        <v>108</v>
      </c>
      <c r="C95" s="24">
        <f>+VLOOKUP(B95,'INDICADORES CAPTURA'!C:N,12,FALSE)</f>
        <v>0.79444545454545434</v>
      </c>
      <c r="D95">
        <v>17</v>
      </c>
      <c r="E95">
        <v>15</v>
      </c>
      <c r="F95" s="16">
        <f t="shared" si="8"/>
        <v>0.88235294117647056</v>
      </c>
      <c r="G95">
        <v>131</v>
      </c>
      <c r="H95">
        <v>108</v>
      </c>
      <c r="I95" s="16">
        <f t="shared" si="9"/>
        <v>0.82442748091603058</v>
      </c>
      <c r="J95" s="44">
        <v>0.99099999999999999</v>
      </c>
      <c r="K95" s="44">
        <v>0.99099999999999999</v>
      </c>
      <c r="L95" s="44">
        <v>0</v>
      </c>
      <c r="M95" s="44">
        <v>0.99099999999999999</v>
      </c>
      <c r="N95" s="44">
        <v>0.8649</v>
      </c>
      <c r="O95" s="44">
        <v>0.99099999999999999</v>
      </c>
      <c r="P95" s="44">
        <f t="shared" si="10"/>
        <v>0.61863333333333337</v>
      </c>
      <c r="Q95" s="47">
        <v>0.95</v>
      </c>
      <c r="R95" s="44">
        <f t="shared" si="11"/>
        <v>0.99099999999999999</v>
      </c>
      <c r="S95">
        <v>6</v>
      </c>
      <c r="T95" s="47">
        <f t="shared" si="12"/>
        <v>0.35294117647058826</v>
      </c>
      <c r="U95" s="47">
        <f t="shared" si="13"/>
        <v>0</v>
      </c>
      <c r="V95" s="44">
        <f>+R95</f>
        <v>0.99099999999999999</v>
      </c>
      <c r="W95" t="s">
        <v>348</v>
      </c>
    </row>
    <row r="96" spans="1:23" ht="16.5" x14ac:dyDescent="0.3">
      <c r="A96" s="14" t="s">
        <v>301</v>
      </c>
      <c r="B96" s="15" t="s">
        <v>175</v>
      </c>
      <c r="C96" s="24">
        <f>+VLOOKUP(B96,'INDICADORES CAPTURA'!C:N,12,FALSE)</f>
        <v>0.80481818181818177</v>
      </c>
      <c r="D96">
        <v>17</v>
      </c>
      <c r="E96">
        <v>16</v>
      </c>
      <c r="F96" s="16">
        <f t="shared" si="8"/>
        <v>0.94117647058823528</v>
      </c>
      <c r="G96">
        <v>111</v>
      </c>
      <c r="H96">
        <v>99</v>
      </c>
      <c r="I96" s="16">
        <f t="shared" si="9"/>
        <v>0.89189189189189189</v>
      </c>
      <c r="J96" s="44">
        <v>1</v>
      </c>
      <c r="K96" s="44">
        <v>1</v>
      </c>
      <c r="L96" s="44">
        <v>0.17649999999999999</v>
      </c>
      <c r="M96" s="44">
        <v>1</v>
      </c>
      <c r="N96" s="44">
        <v>0.87270000000000003</v>
      </c>
      <c r="O96" s="44">
        <v>1</v>
      </c>
      <c r="P96" s="44">
        <f t="shared" si="10"/>
        <v>0.6830666666666666</v>
      </c>
      <c r="Q96" s="47">
        <v>0.95</v>
      </c>
      <c r="R96" s="44">
        <f t="shared" si="11"/>
        <v>1</v>
      </c>
      <c r="S96">
        <v>6</v>
      </c>
      <c r="T96" s="47">
        <f t="shared" si="12"/>
        <v>0.35294117647058826</v>
      </c>
      <c r="U96" s="47">
        <f t="shared" si="13"/>
        <v>0</v>
      </c>
      <c r="V96" s="44">
        <f t="shared" si="14"/>
        <v>0.5</v>
      </c>
      <c r="W96" t="s">
        <v>348</v>
      </c>
    </row>
    <row r="97" spans="1:23" ht="16.5" x14ac:dyDescent="0.3">
      <c r="A97" s="14" t="s">
        <v>203</v>
      </c>
      <c r="B97" s="15" t="s">
        <v>80</v>
      </c>
      <c r="C97" s="24">
        <f>+VLOOKUP(B97,'INDICADORES CAPTURA'!C:N,12,FALSE)</f>
        <v>0.77189090909090907</v>
      </c>
      <c r="D97">
        <v>25</v>
      </c>
      <c r="E97">
        <v>24</v>
      </c>
      <c r="F97" s="16">
        <f t="shared" si="8"/>
        <v>0.96</v>
      </c>
      <c r="G97">
        <v>116</v>
      </c>
      <c r="H97">
        <v>104</v>
      </c>
      <c r="I97" s="16">
        <f t="shared" si="9"/>
        <v>0.89655172413793105</v>
      </c>
      <c r="J97" s="44">
        <v>1</v>
      </c>
      <c r="K97" s="44">
        <v>1</v>
      </c>
      <c r="L97" s="44">
        <v>0.21299999999999999</v>
      </c>
      <c r="M97" s="44">
        <v>1</v>
      </c>
      <c r="N97" s="44">
        <v>0.13639999999999999</v>
      </c>
      <c r="O97" s="44">
        <v>1</v>
      </c>
      <c r="P97" s="44">
        <f t="shared" si="10"/>
        <v>0.44980000000000003</v>
      </c>
      <c r="Q97" s="47">
        <v>0.95</v>
      </c>
      <c r="R97" s="44">
        <f t="shared" si="11"/>
        <v>1</v>
      </c>
      <c r="S97">
        <v>11</v>
      </c>
      <c r="T97" s="47">
        <f t="shared" si="12"/>
        <v>0.44</v>
      </c>
      <c r="U97" s="47">
        <f t="shared" si="13"/>
        <v>0</v>
      </c>
      <c r="V97" s="44">
        <f t="shared" si="14"/>
        <v>0.5</v>
      </c>
      <c r="W97" t="s">
        <v>348</v>
      </c>
    </row>
    <row r="98" spans="1:23" ht="16.5" x14ac:dyDescent="0.3">
      <c r="A98" s="14" t="s">
        <v>205</v>
      </c>
      <c r="B98" s="15" t="s">
        <v>109</v>
      </c>
      <c r="C98" s="24">
        <f>+VLOOKUP(B98,'INDICADORES CAPTURA'!C:N,12,FALSE)</f>
        <v>0.75879090909090907</v>
      </c>
      <c r="D98">
        <v>21</v>
      </c>
      <c r="E98">
        <v>21</v>
      </c>
      <c r="F98" s="16">
        <f t="shared" si="8"/>
        <v>1</v>
      </c>
      <c r="G98">
        <v>136</v>
      </c>
      <c r="H98">
        <v>115</v>
      </c>
      <c r="I98" s="16">
        <f t="shared" si="9"/>
        <v>0.84558823529411764</v>
      </c>
      <c r="J98" s="44">
        <v>1</v>
      </c>
      <c r="K98" s="44">
        <v>1</v>
      </c>
      <c r="L98" s="44">
        <v>1.61E-2</v>
      </c>
      <c r="M98" s="44">
        <v>1</v>
      </c>
      <c r="N98" s="44">
        <v>0.86839999999999995</v>
      </c>
      <c r="O98" s="44">
        <v>1</v>
      </c>
      <c r="P98" s="44">
        <f t="shared" si="10"/>
        <v>0.62816666666666665</v>
      </c>
      <c r="Q98" s="47">
        <v>0.95</v>
      </c>
      <c r="R98" s="44">
        <f t="shared" si="11"/>
        <v>1</v>
      </c>
      <c r="S98">
        <v>11</v>
      </c>
      <c r="T98" s="47">
        <f t="shared" si="12"/>
        <v>0.52380952380952384</v>
      </c>
      <c r="U98" s="47">
        <f t="shared" si="13"/>
        <v>0</v>
      </c>
      <c r="V98" s="44">
        <f t="shared" si="14"/>
        <v>0.5</v>
      </c>
      <c r="W98" t="s">
        <v>348</v>
      </c>
    </row>
    <row r="99" spans="1:23" ht="16.5" x14ac:dyDescent="0.3">
      <c r="A99" s="14" t="s">
        <v>301</v>
      </c>
      <c r="B99" s="15" t="s">
        <v>181</v>
      </c>
      <c r="C99" s="24">
        <f>+VLOOKUP(B99,'INDICADORES CAPTURA'!C:N,12,FALSE)</f>
        <v>0.76791818181818183</v>
      </c>
      <c r="D99">
        <v>15</v>
      </c>
      <c r="E99">
        <v>14</v>
      </c>
      <c r="F99" s="16">
        <f t="shared" si="8"/>
        <v>0.93333333333333335</v>
      </c>
      <c r="G99">
        <v>94</v>
      </c>
      <c r="H99">
        <v>86</v>
      </c>
      <c r="I99" s="16">
        <f t="shared" si="9"/>
        <v>0.91489361702127658</v>
      </c>
      <c r="J99" s="44">
        <v>0.98939999999999995</v>
      </c>
      <c r="K99" s="44">
        <v>1</v>
      </c>
      <c r="L99" s="44">
        <v>0.12770000000000001</v>
      </c>
      <c r="M99" s="44">
        <v>0.98939999999999995</v>
      </c>
      <c r="N99" s="44">
        <v>0.86209999999999998</v>
      </c>
      <c r="O99" s="44">
        <v>0.98939999999999995</v>
      </c>
      <c r="P99" s="44">
        <f t="shared" si="10"/>
        <v>0.65973333333333339</v>
      </c>
      <c r="Q99" s="47">
        <v>0.95</v>
      </c>
      <c r="R99" s="44">
        <f t="shared" si="11"/>
        <v>0.98939999999999995</v>
      </c>
      <c r="S99">
        <v>5</v>
      </c>
      <c r="T99" s="47">
        <f t="shared" si="12"/>
        <v>0.33333333333333331</v>
      </c>
      <c r="U99" s="47">
        <f t="shared" si="13"/>
        <v>0</v>
      </c>
      <c r="V99" s="44">
        <f t="shared" si="14"/>
        <v>0.49469999999999997</v>
      </c>
      <c r="W99" t="s">
        <v>348</v>
      </c>
    </row>
    <row r="100" spans="1:23" ht="16.5" x14ac:dyDescent="0.3">
      <c r="A100" s="14" t="s">
        <v>310</v>
      </c>
      <c r="B100" s="15" t="s">
        <v>183</v>
      </c>
      <c r="C100" s="24">
        <f>+VLOOKUP(B100,'INDICADORES CAPTURA'!C:N,12,FALSE)</f>
        <v>0.72020909090909091</v>
      </c>
      <c r="D100">
        <v>12</v>
      </c>
      <c r="E100">
        <v>12</v>
      </c>
      <c r="F100" s="16">
        <f t="shared" si="8"/>
        <v>1</v>
      </c>
      <c r="G100">
        <v>104</v>
      </c>
      <c r="H100">
        <v>87</v>
      </c>
      <c r="I100" s="16">
        <f t="shared" si="9"/>
        <v>0.83653846153846156</v>
      </c>
      <c r="J100" s="44">
        <v>0.9778</v>
      </c>
      <c r="K100" s="44">
        <v>0.9889</v>
      </c>
      <c r="L100" s="44">
        <v>1.11E-2</v>
      </c>
      <c r="M100" s="44">
        <v>0.92220000000000002</v>
      </c>
      <c r="N100" s="44">
        <v>4.2599999999999999E-2</v>
      </c>
      <c r="O100" s="44">
        <v>0.88890000000000002</v>
      </c>
      <c r="P100" s="44">
        <f t="shared" si="10"/>
        <v>0.32529999999999998</v>
      </c>
      <c r="Q100" s="47">
        <v>0.95</v>
      </c>
      <c r="R100" s="44">
        <f t="shared" si="11"/>
        <v>0.9778</v>
      </c>
      <c r="S100">
        <v>5</v>
      </c>
      <c r="T100" s="47">
        <f t="shared" si="12"/>
        <v>0.41666666666666669</v>
      </c>
      <c r="U100" s="47">
        <f t="shared" si="13"/>
        <v>0</v>
      </c>
      <c r="V100" s="44">
        <f t="shared" si="14"/>
        <v>0.4889</v>
      </c>
      <c r="W100" t="s">
        <v>348</v>
      </c>
    </row>
    <row r="101" spans="1:23" ht="16.5" x14ac:dyDescent="0.3">
      <c r="A101" s="14" t="s">
        <v>209</v>
      </c>
      <c r="B101" s="15" t="s">
        <v>164</v>
      </c>
      <c r="C101" s="24">
        <f>+VLOOKUP(B101,'INDICADORES CAPTURA'!C:N,12,FALSE)</f>
        <v>0.76262727272727271</v>
      </c>
      <c r="D101">
        <v>8</v>
      </c>
      <c r="E101">
        <v>8</v>
      </c>
      <c r="F101" s="16">
        <f t="shared" si="8"/>
        <v>1</v>
      </c>
      <c r="G101">
        <v>60</v>
      </c>
      <c r="H101">
        <v>51</v>
      </c>
      <c r="I101" s="16">
        <f t="shared" si="9"/>
        <v>0.85</v>
      </c>
      <c r="J101" s="44">
        <v>1</v>
      </c>
      <c r="K101" s="44">
        <v>1</v>
      </c>
      <c r="L101" s="44">
        <v>0</v>
      </c>
      <c r="M101" s="44">
        <v>1</v>
      </c>
      <c r="N101" s="44">
        <v>0.5625</v>
      </c>
      <c r="O101" s="44">
        <v>1</v>
      </c>
      <c r="P101" s="44">
        <f t="shared" si="10"/>
        <v>0.52083333333333337</v>
      </c>
      <c r="Q101" s="47">
        <v>0.95</v>
      </c>
      <c r="R101" s="44">
        <f t="shared" si="11"/>
        <v>1</v>
      </c>
      <c r="S101">
        <v>5</v>
      </c>
      <c r="T101" s="47">
        <f t="shared" si="12"/>
        <v>0.625</v>
      </c>
      <c r="U101" s="47">
        <f t="shared" si="13"/>
        <v>0</v>
      </c>
      <c r="V101" s="44">
        <f>+R101</f>
        <v>1</v>
      </c>
      <c r="W101" t="s">
        <v>348</v>
      </c>
    </row>
    <row r="102" spans="1:23" ht="16.5" x14ac:dyDescent="0.3">
      <c r="A102" s="14" t="s">
        <v>307</v>
      </c>
      <c r="B102" s="15" t="s">
        <v>92</v>
      </c>
      <c r="C102" s="24">
        <f>+VLOOKUP(B102,'INDICADORES CAPTURA'!C:N,12,FALSE)</f>
        <v>0.82714545454545452</v>
      </c>
      <c r="D102">
        <v>13</v>
      </c>
      <c r="E102">
        <v>11</v>
      </c>
      <c r="F102" s="16">
        <f t="shared" si="8"/>
        <v>0.84615384615384615</v>
      </c>
      <c r="G102">
        <v>84</v>
      </c>
      <c r="H102">
        <v>69</v>
      </c>
      <c r="I102" s="16">
        <f t="shared" si="9"/>
        <v>0.8214285714285714</v>
      </c>
      <c r="J102" s="44">
        <v>1</v>
      </c>
      <c r="K102" s="44">
        <v>1</v>
      </c>
      <c r="L102" s="44">
        <v>0.21129999999999999</v>
      </c>
      <c r="M102" s="44">
        <v>1</v>
      </c>
      <c r="N102" s="44">
        <v>7.1400000000000005E-2</v>
      </c>
      <c r="O102" s="44">
        <v>1</v>
      </c>
      <c r="P102" s="44">
        <f t="shared" si="10"/>
        <v>0.42756666666666665</v>
      </c>
      <c r="Q102" s="47">
        <v>0.95</v>
      </c>
      <c r="R102" s="44">
        <f t="shared" si="11"/>
        <v>1</v>
      </c>
      <c r="S102">
        <v>0</v>
      </c>
      <c r="T102" s="47">
        <f t="shared" si="12"/>
        <v>0</v>
      </c>
      <c r="U102" s="47">
        <f t="shared" si="13"/>
        <v>1</v>
      </c>
      <c r="V102" s="44">
        <f t="shared" si="14"/>
        <v>1</v>
      </c>
      <c r="W102" t="s">
        <v>348</v>
      </c>
    </row>
    <row r="103" spans="1:23" ht="16.5" x14ac:dyDescent="0.3">
      <c r="A103" s="14" t="s">
        <v>208</v>
      </c>
      <c r="B103" s="15" t="s">
        <v>150</v>
      </c>
      <c r="C103" s="24">
        <f>+VLOOKUP(B103,'INDICADORES CAPTURA'!C:N,12,FALSE)</f>
        <v>0.77765454545454549</v>
      </c>
      <c r="D103">
        <v>11</v>
      </c>
      <c r="E103">
        <v>10</v>
      </c>
      <c r="F103" s="16">
        <f t="shared" si="8"/>
        <v>0.90909090909090906</v>
      </c>
      <c r="G103">
        <v>87</v>
      </c>
      <c r="H103">
        <v>80</v>
      </c>
      <c r="I103" s="16">
        <f t="shared" si="9"/>
        <v>0.91954022988505746</v>
      </c>
      <c r="J103" s="44">
        <v>1</v>
      </c>
      <c r="K103" s="44">
        <v>1</v>
      </c>
      <c r="L103" s="44">
        <v>0.1807</v>
      </c>
      <c r="M103" s="44">
        <v>1</v>
      </c>
      <c r="N103" s="44">
        <v>0.5625</v>
      </c>
      <c r="O103" s="44">
        <v>1</v>
      </c>
      <c r="P103" s="44">
        <f t="shared" si="10"/>
        <v>0.58106666666666673</v>
      </c>
      <c r="Q103" s="47">
        <v>0.95</v>
      </c>
      <c r="R103" s="44">
        <f t="shared" si="11"/>
        <v>1</v>
      </c>
      <c r="S103">
        <v>0</v>
      </c>
      <c r="T103" s="47">
        <f t="shared" si="12"/>
        <v>0</v>
      </c>
      <c r="U103" s="47">
        <f t="shared" si="13"/>
        <v>1</v>
      </c>
      <c r="V103" s="44">
        <f t="shared" si="14"/>
        <v>1</v>
      </c>
      <c r="W103" t="s">
        <v>348</v>
      </c>
    </row>
    <row r="104" spans="1:23" ht="16.5" x14ac:dyDescent="0.3">
      <c r="A104" s="14" t="s">
        <v>205</v>
      </c>
      <c r="B104" s="15" t="s">
        <v>101</v>
      </c>
      <c r="C104" s="24">
        <f>+VLOOKUP(B104,'INDICADORES CAPTURA'!C:N,12,FALSE)</f>
        <v>0.79049090909090902</v>
      </c>
      <c r="D104">
        <v>25</v>
      </c>
      <c r="E104">
        <v>23</v>
      </c>
      <c r="F104" s="16">
        <f t="shared" si="8"/>
        <v>0.92</v>
      </c>
      <c r="G104">
        <v>137</v>
      </c>
      <c r="H104">
        <v>123</v>
      </c>
      <c r="I104" s="16">
        <f t="shared" si="9"/>
        <v>0.8978102189781022</v>
      </c>
      <c r="J104" s="44">
        <v>1</v>
      </c>
      <c r="K104" s="44">
        <v>1</v>
      </c>
      <c r="L104" s="44">
        <v>0.2422</v>
      </c>
      <c r="M104" s="44">
        <v>1</v>
      </c>
      <c r="N104" s="44">
        <v>0.89470000000000005</v>
      </c>
      <c r="O104" s="44">
        <v>1</v>
      </c>
      <c r="P104" s="44">
        <f t="shared" si="10"/>
        <v>0.71229999999999993</v>
      </c>
      <c r="Q104" s="47">
        <v>0.95</v>
      </c>
      <c r="R104" s="44">
        <f t="shared" si="11"/>
        <v>1</v>
      </c>
      <c r="S104">
        <v>11</v>
      </c>
      <c r="T104" s="47">
        <f t="shared" si="12"/>
        <v>0.44</v>
      </c>
      <c r="U104" s="47">
        <f t="shared" si="13"/>
        <v>0</v>
      </c>
      <c r="V104" s="44">
        <f t="shared" si="14"/>
        <v>0.5</v>
      </c>
      <c r="W104" t="s">
        <v>348</v>
      </c>
    </row>
    <row r="105" spans="1:23" ht="16.5" x14ac:dyDescent="0.3">
      <c r="A105" s="14" t="s">
        <v>203</v>
      </c>
      <c r="B105" s="15" t="s">
        <v>78</v>
      </c>
      <c r="C105" s="24">
        <f>+VLOOKUP(B105,'INDICADORES CAPTURA'!C:N,12,FALSE)</f>
        <v>0.85227272727272729</v>
      </c>
      <c r="D105">
        <v>25</v>
      </c>
      <c r="E105">
        <v>25</v>
      </c>
      <c r="F105" s="16">
        <f t="shared" si="8"/>
        <v>1</v>
      </c>
      <c r="G105">
        <v>127</v>
      </c>
      <c r="H105">
        <v>80</v>
      </c>
      <c r="I105" s="16">
        <f t="shared" si="9"/>
        <v>0.62992125984251968</v>
      </c>
      <c r="J105" s="44">
        <v>1</v>
      </c>
      <c r="K105" s="44">
        <v>1</v>
      </c>
      <c r="L105" s="44">
        <v>0.47499999999999998</v>
      </c>
      <c r="M105" s="44">
        <v>1</v>
      </c>
      <c r="N105" s="44">
        <v>4.1700000000000001E-2</v>
      </c>
      <c r="O105" s="44">
        <v>1</v>
      </c>
      <c r="P105" s="44">
        <f t="shared" si="10"/>
        <v>0.50556666666666672</v>
      </c>
      <c r="Q105" s="47">
        <v>0.95</v>
      </c>
      <c r="R105" s="44">
        <f t="shared" si="11"/>
        <v>1</v>
      </c>
      <c r="S105">
        <v>14</v>
      </c>
      <c r="T105" s="47">
        <f t="shared" si="12"/>
        <v>0.56000000000000005</v>
      </c>
      <c r="U105" s="47">
        <f t="shared" si="13"/>
        <v>0</v>
      </c>
      <c r="V105" s="44">
        <f t="shared" si="14"/>
        <v>0.5</v>
      </c>
      <c r="W105" t="s">
        <v>348</v>
      </c>
    </row>
    <row r="106" spans="1:23" ht="16.5" x14ac:dyDescent="0.3">
      <c r="A106" s="14" t="s">
        <v>311</v>
      </c>
      <c r="B106" s="15" t="s">
        <v>115</v>
      </c>
      <c r="C106" s="24">
        <f>+VLOOKUP(B106,'INDICADORES CAPTURA'!C:N,12,FALSE)</f>
        <v>0.75952727272727261</v>
      </c>
      <c r="D106">
        <v>15</v>
      </c>
      <c r="E106">
        <v>15</v>
      </c>
      <c r="F106" s="16">
        <f t="shared" si="8"/>
        <v>1</v>
      </c>
      <c r="G106">
        <v>71</v>
      </c>
      <c r="H106">
        <v>59</v>
      </c>
      <c r="I106" s="16">
        <f t="shared" si="9"/>
        <v>0.83098591549295775</v>
      </c>
      <c r="J106" s="44">
        <v>1</v>
      </c>
      <c r="K106" s="44">
        <v>1</v>
      </c>
      <c r="L106" s="44">
        <v>1.61E-2</v>
      </c>
      <c r="M106" s="44">
        <v>1</v>
      </c>
      <c r="N106" s="44">
        <v>7.0199999999999999E-2</v>
      </c>
      <c r="O106" s="44">
        <v>1</v>
      </c>
      <c r="P106" s="44">
        <f t="shared" si="10"/>
        <v>0.36210000000000003</v>
      </c>
      <c r="Q106" s="47">
        <v>0.95</v>
      </c>
      <c r="R106" s="44">
        <f t="shared" si="11"/>
        <v>1</v>
      </c>
      <c r="S106">
        <v>8</v>
      </c>
      <c r="T106" s="47">
        <f t="shared" si="12"/>
        <v>0.53333333333333333</v>
      </c>
      <c r="U106" s="47">
        <f t="shared" si="13"/>
        <v>0</v>
      </c>
      <c r="V106" s="44">
        <f t="shared" si="14"/>
        <v>0.5</v>
      </c>
      <c r="W106" t="s">
        <v>348</v>
      </c>
    </row>
    <row r="107" spans="1:23" ht="16.5" x14ac:dyDescent="0.3">
      <c r="A107" s="14" t="s">
        <v>203</v>
      </c>
      <c r="B107" s="15" t="s">
        <v>79</v>
      </c>
      <c r="C107" s="24">
        <f>+VLOOKUP(B107,'INDICADORES CAPTURA'!C:N,12,FALSE)</f>
        <v>0.87129090909090923</v>
      </c>
      <c r="D107">
        <v>27</v>
      </c>
      <c r="E107">
        <v>26</v>
      </c>
      <c r="F107" s="16">
        <f t="shared" si="8"/>
        <v>0.96296296296296291</v>
      </c>
      <c r="G107">
        <v>125</v>
      </c>
      <c r="H107">
        <v>83</v>
      </c>
      <c r="I107" s="16">
        <f t="shared" si="9"/>
        <v>0.66400000000000003</v>
      </c>
      <c r="J107" s="44">
        <v>1</v>
      </c>
      <c r="K107" s="44">
        <v>1</v>
      </c>
      <c r="L107" s="44">
        <v>0.59550000000000003</v>
      </c>
      <c r="M107" s="44">
        <v>1</v>
      </c>
      <c r="N107" s="44">
        <v>0.15</v>
      </c>
      <c r="O107" s="44">
        <v>1</v>
      </c>
      <c r="P107" s="44">
        <f t="shared" si="10"/>
        <v>0.58183333333333331</v>
      </c>
      <c r="Q107" s="47">
        <v>0.95</v>
      </c>
      <c r="R107" s="44">
        <f t="shared" si="11"/>
        <v>1</v>
      </c>
      <c r="S107">
        <v>12</v>
      </c>
      <c r="T107" s="47">
        <f t="shared" si="12"/>
        <v>0.44444444444444442</v>
      </c>
      <c r="U107" s="47">
        <f t="shared" si="13"/>
        <v>0</v>
      </c>
      <c r="V107" s="44">
        <f t="shared" si="14"/>
        <v>0.5</v>
      </c>
      <c r="W107" t="s">
        <v>348</v>
      </c>
    </row>
    <row r="108" spans="1:23" ht="16.5" x14ac:dyDescent="0.3">
      <c r="A108" s="14" t="s">
        <v>309</v>
      </c>
      <c r="B108" s="15" t="s">
        <v>46</v>
      </c>
      <c r="C108" s="24">
        <f>+VLOOKUP(B108,'INDICADORES CAPTURA'!C:N,12,FALSE)</f>
        <v>0.7530363636363635</v>
      </c>
      <c r="D108">
        <v>21</v>
      </c>
      <c r="E108">
        <v>20</v>
      </c>
      <c r="F108" s="16">
        <f t="shared" si="8"/>
        <v>0.95238095238095233</v>
      </c>
      <c r="G108">
        <v>124</v>
      </c>
      <c r="H108">
        <v>108</v>
      </c>
      <c r="I108" s="16">
        <f t="shared" si="9"/>
        <v>0.87096774193548387</v>
      </c>
      <c r="J108" s="44">
        <v>0.99119999999999997</v>
      </c>
      <c r="K108" s="44">
        <v>0.99119999999999997</v>
      </c>
      <c r="L108" s="44">
        <v>5.3100000000000001E-2</v>
      </c>
      <c r="M108" s="44">
        <v>0.98229999999999995</v>
      </c>
      <c r="N108" s="44">
        <v>0.43480000000000002</v>
      </c>
      <c r="O108" s="44">
        <v>0.98229999999999995</v>
      </c>
      <c r="P108" s="44">
        <f t="shared" si="10"/>
        <v>0.49006666666666665</v>
      </c>
      <c r="Q108" s="47">
        <v>0.95</v>
      </c>
      <c r="R108" s="44">
        <f t="shared" si="11"/>
        <v>0.99119999999999997</v>
      </c>
      <c r="S108">
        <v>8</v>
      </c>
      <c r="T108" s="47">
        <f t="shared" si="12"/>
        <v>0.38095238095238093</v>
      </c>
      <c r="U108" s="47">
        <f t="shared" si="13"/>
        <v>0</v>
      </c>
      <c r="V108" s="44">
        <f t="shared" si="14"/>
        <v>0.49559999999999998</v>
      </c>
      <c r="W108" t="s">
        <v>348</v>
      </c>
    </row>
    <row r="109" spans="1:23" ht="16.5" x14ac:dyDescent="0.3">
      <c r="A109" s="14" t="s">
        <v>208</v>
      </c>
      <c r="B109" s="15" t="s">
        <v>148</v>
      </c>
      <c r="C109" s="24">
        <f>+VLOOKUP(B109,'INDICADORES CAPTURA'!C:N,12,FALSE)</f>
        <v>0.76468181818181824</v>
      </c>
      <c r="D109">
        <v>15</v>
      </c>
      <c r="E109">
        <v>14</v>
      </c>
      <c r="F109" s="16">
        <f t="shared" si="8"/>
        <v>0.93333333333333335</v>
      </c>
      <c r="G109">
        <v>94</v>
      </c>
      <c r="H109">
        <v>83</v>
      </c>
      <c r="I109" s="16">
        <f t="shared" si="9"/>
        <v>0.88297872340425532</v>
      </c>
      <c r="J109" s="44">
        <v>0.98819999999999997</v>
      </c>
      <c r="K109" s="44">
        <v>0.98819999999999997</v>
      </c>
      <c r="L109" s="44">
        <v>0.14119999999999999</v>
      </c>
      <c r="M109" s="44">
        <v>0.98819999999999997</v>
      </c>
      <c r="N109" s="44">
        <v>0.95830000000000004</v>
      </c>
      <c r="O109" s="44">
        <v>0.98819999999999997</v>
      </c>
      <c r="P109" s="44">
        <f t="shared" si="10"/>
        <v>0.69589999999999996</v>
      </c>
      <c r="Q109" s="47">
        <v>0.95</v>
      </c>
      <c r="R109" s="44">
        <f t="shared" si="11"/>
        <v>0.98819999999999997</v>
      </c>
      <c r="S109">
        <v>3</v>
      </c>
      <c r="T109" s="47">
        <f t="shared" si="12"/>
        <v>0.2</v>
      </c>
      <c r="U109" s="47">
        <f t="shared" si="13"/>
        <v>0</v>
      </c>
      <c r="V109" s="44">
        <f t="shared" si="14"/>
        <v>0.49409999999999998</v>
      </c>
      <c r="W109" t="s">
        <v>348</v>
      </c>
    </row>
    <row r="110" spans="1:23" ht="16.5" x14ac:dyDescent="0.3">
      <c r="A110" s="14" t="s">
        <v>311</v>
      </c>
      <c r="B110" s="15" t="s">
        <v>119</v>
      </c>
      <c r="C110" s="24">
        <f>+VLOOKUP(B110,'INDICADORES CAPTURA'!C:N,12,FALSE)</f>
        <v>0.73012727272727274</v>
      </c>
      <c r="D110">
        <v>13</v>
      </c>
      <c r="E110">
        <v>13</v>
      </c>
      <c r="F110" s="16">
        <f t="shared" si="8"/>
        <v>1</v>
      </c>
      <c r="G110">
        <v>75</v>
      </c>
      <c r="H110">
        <v>63</v>
      </c>
      <c r="I110" s="16">
        <f t="shared" si="9"/>
        <v>0.84</v>
      </c>
      <c r="J110" s="44">
        <v>0.98440000000000005</v>
      </c>
      <c r="K110" s="44">
        <v>0.98440000000000005</v>
      </c>
      <c r="L110" s="44">
        <v>0</v>
      </c>
      <c r="M110" s="44">
        <v>0.98440000000000005</v>
      </c>
      <c r="N110" s="44">
        <v>3.6999999999999998E-2</v>
      </c>
      <c r="O110" s="44">
        <v>0.98440000000000005</v>
      </c>
      <c r="P110" s="44">
        <f t="shared" si="10"/>
        <v>0.3404666666666667</v>
      </c>
      <c r="Q110" s="47">
        <v>0.95</v>
      </c>
      <c r="R110" s="44">
        <f t="shared" si="11"/>
        <v>0.98440000000000005</v>
      </c>
      <c r="S110">
        <v>5</v>
      </c>
      <c r="T110" s="47">
        <f t="shared" si="12"/>
        <v>0.38461538461538464</v>
      </c>
      <c r="U110" s="47">
        <f t="shared" si="13"/>
        <v>0</v>
      </c>
      <c r="V110" s="44">
        <f>+R110</f>
        <v>0.98440000000000005</v>
      </c>
      <c r="W110" t="s">
        <v>348</v>
      </c>
    </row>
    <row r="111" spans="1:23" ht="16.5" x14ac:dyDescent="0.3">
      <c r="A111" s="14" t="s">
        <v>209</v>
      </c>
      <c r="B111" s="15" t="s">
        <v>167</v>
      </c>
      <c r="C111" s="24">
        <f>+VLOOKUP(B111,'INDICADORES CAPTURA'!C:N,12,FALSE)</f>
        <v>0.92803636363636377</v>
      </c>
      <c r="D111">
        <v>13</v>
      </c>
      <c r="E111">
        <v>13</v>
      </c>
      <c r="F111" s="16">
        <f t="shared" si="8"/>
        <v>1</v>
      </c>
      <c r="G111">
        <v>87</v>
      </c>
      <c r="H111">
        <v>48</v>
      </c>
      <c r="I111" s="16">
        <f t="shared" si="9"/>
        <v>0.55172413793103448</v>
      </c>
      <c r="J111" s="44">
        <v>1</v>
      </c>
      <c r="K111" s="44">
        <v>1</v>
      </c>
      <c r="L111" s="44">
        <v>0.97919999999999996</v>
      </c>
      <c r="M111" s="44">
        <v>1</v>
      </c>
      <c r="N111" s="44">
        <v>0.26090000000000002</v>
      </c>
      <c r="O111" s="44">
        <v>1</v>
      </c>
      <c r="P111" s="44">
        <f t="shared" si="10"/>
        <v>0.74670000000000003</v>
      </c>
      <c r="Q111" s="47">
        <v>0.95</v>
      </c>
      <c r="R111" s="44">
        <f t="shared" si="11"/>
        <v>1</v>
      </c>
      <c r="S111">
        <v>2</v>
      </c>
      <c r="T111" s="47">
        <f t="shared" si="12"/>
        <v>0.15384615384615385</v>
      </c>
      <c r="U111" s="47">
        <f t="shared" si="13"/>
        <v>0</v>
      </c>
      <c r="V111" s="44">
        <f t="shared" si="14"/>
        <v>0.5</v>
      </c>
      <c r="W111" t="s">
        <v>348</v>
      </c>
    </row>
    <row r="112" spans="1:23" ht="16.5" x14ac:dyDescent="0.3">
      <c r="A112" s="14" t="s">
        <v>208</v>
      </c>
      <c r="B112" s="15" t="s">
        <v>147</v>
      </c>
      <c r="C112" s="24">
        <f>+VLOOKUP(B112,'INDICADORES CAPTURA'!C:N,12,FALSE)</f>
        <v>0.7487818181818181</v>
      </c>
      <c r="D112">
        <v>13</v>
      </c>
      <c r="E112">
        <v>13</v>
      </c>
      <c r="F112" s="16">
        <f t="shared" si="8"/>
        <v>1</v>
      </c>
      <c r="G112">
        <v>88</v>
      </c>
      <c r="H112">
        <v>72</v>
      </c>
      <c r="I112" s="16">
        <f t="shared" si="9"/>
        <v>0.81818181818181823</v>
      </c>
      <c r="J112" s="44">
        <v>0.98680000000000001</v>
      </c>
      <c r="K112" s="44">
        <v>0.98680000000000001</v>
      </c>
      <c r="L112" s="44">
        <v>0</v>
      </c>
      <c r="M112" s="44">
        <v>0.98680000000000001</v>
      </c>
      <c r="N112" s="44">
        <v>0.1923</v>
      </c>
      <c r="O112" s="44">
        <v>0.98680000000000001</v>
      </c>
      <c r="P112" s="44">
        <f t="shared" si="10"/>
        <v>0.39303333333333335</v>
      </c>
      <c r="Q112" s="47">
        <v>0.95</v>
      </c>
      <c r="R112" s="44">
        <f t="shared" si="11"/>
        <v>0.98680000000000001</v>
      </c>
      <c r="S112">
        <v>0</v>
      </c>
      <c r="T112" s="47">
        <f t="shared" si="12"/>
        <v>0</v>
      </c>
      <c r="U112" s="47">
        <f t="shared" si="13"/>
        <v>1</v>
      </c>
      <c r="V112" s="44">
        <f>+R112</f>
        <v>0.98680000000000001</v>
      </c>
      <c r="W112" t="s">
        <v>348</v>
      </c>
    </row>
    <row r="113" spans="1:23" ht="16.5" x14ac:dyDescent="0.3">
      <c r="A113" s="14" t="s">
        <v>202</v>
      </c>
      <c r="B113" s="15" t="s">
        <v>61</v>
      </c>
      <c r="C113" s="24">
        <f>+VLOOKUP(B113,'INDICADORES CAPTURA'!C:N,12,FALSE)</f>
        <v>0.81584545454545454</v>
      </c>
      <c r="D113">
        <v>9</v>
      </c>
      <c r="E113">
        <v>9</v>
      </c>
      <c r="F113" s="16">
        <f t="shared" si="8"/>
        <v>1</v>
      </c>
      <c r="G113">
        <v>98</v>
      </c>
      <c r="H113">
        <v>75</v>
      </c>
      <c r="I113" s="16">
        <f t="shared" si="9"/>
        <v>0.76530612244897955</v>
      </c>
      <c r="J113" s="44">
        <v>1</v>
      </c>
      <c r="K113" s="44">
        <v>1</v>
      </c>
      <c r="L113" s="44">
        <v>0.61539999999999995</v>
      </c>
      <c r="M113" s="44">
        <v>1</v>
      </c>
      <c r="N113" s="44">
        <v>0.1053</v>
      </c>
      <c r="O113" s="44">
        <v>1</v>
      </c>
      <c r="P113" s="44">
        <f t="shared" si="10"/>
        <v>0.57356666666666667</v>
      </c>
      <c r="Q113" s="47">
        <v>0.95</v>
      </c>
      <c r="R113" s="44">
        <f t="shared" si="11"/>
        <v>1</v>
      </c>
      <c r="S113">
        <v>4</v>
      </c>
      <c r="T113" s="47">
        <f t="shared" si="12"/>
        <v>0.44444444444444442</v>
      </c>
      <c r="U113" s="47">
        <f t="shared" si="13"/>
        <v>0</v>
      </c>
      <c r="V113" s="44">
        <f t="shared" si="14"/>
        <v>0.5</v>
      </c>
      <c r="W113" t="s">
        <v>348</v>
      </c>
    </row>
    <row r="114" spans="1:23" ht="16.5" x14ac:dyDescent="0.3">
      <c r="A114" s="14" t="s">
        <v>311</v>
      </c>
      <c r="B114" s="15" t="s">
        <v>111</v>
      </c>
      <c r="C114" s="24">
        <f>+VLOOKUP(B114,'INDICADORES CAPTURA'!C:N,12,FALSE)</f>
        <v>0.78153636363636358</v>
      </c>
      <c r="D114">
        <v>13</v>
      </c>
      <c r="E114">
        <v>12</v>
      </c>
      <c r="F114" s="16">
        <f t="shared" si="8"/>
        <v>0.92307692307692313</v>
      </c>
      <c r="G114">
        <v>63</v>
      </c>
      <c r="H114">
        <v>55</v>
      </c>
      <c r="I114" s="16">
        <f t="shared" si="9"/>
        <v>0.87301587301587302</v>
      </c>
      <c r="J114" s="44">
        <v>0.98250000000000004</v>
      </c>
      <c r="K114" s="44">
        <v>0.98250000000000004</v>
      </c>
      <c r="L114" s="44">
        <v>0</v>
      </c>
      <c r="M114" s="44">
        <v>0.98250000000000004</v>
      </c>
      <c r="N114" s="44">
        <v>0.15790000000000001</v>
      </c>
      <c r="O114" s="44">
        <v>0.98250000000000004</v>
      </c>
      <c r="P114" s="44">
        <f t="shared" si="10"/>
        <v>0.38013333333333338</v>
      </c>
      <c r="Q114" s="47">
        <v>0.95</v>
      </c>
      <c r="R114" s="44">
        <f t="shared" si="11"/>
        <v>0.98250000000000004</v>
      </c>
      <c r="S114">
        <v>10</v>
      </c>
      <c r="T114" s="47">
        <f t="shared" si="12"/>
        <v>0.76923076923076927</v>
      </c>
      <c r="U114" s="47">
        <f t="shared" si="13"/>
        <v>0</v>
      </c>
      <c r="V114" s="44">
        <f>+R114</f>
        <v>0.98250000000000004</v>
      </c>
      <c r="W114" t="s">
        <v>348</v>
      </c>
    </row>
    <row r="115" spans="1:23" ht="16.5" x14ac:dyDescent="0.3">
      <c r="A115" s="14" t="s">
        <v>207</v>
      </c>
      <c r="B115" s="15" t="s">
        <v>139</v>
      </c>
      <c r="C115" s="24">
        <f>+VLOOKUP(B115,'INDICADORES CAPTURA'!C:N,12,FALSE)</f>
        <v>0.79864545454545455</v>
      </c>
      <c r="D115">
        <v>23</v>
      </c>
      <c r="E115">
        <v>22</v>
      </c>
      <c r="F115" s="16">
        <f t="shared" si="8"/>
        <v>0.95652173913043481</v>
      </c>
      <c r="G115">
        <v>130</v>
      </c>
      <c r="H115">
        <v>104</v>
      </c>
      <c r="I115" s="16">
        <f t="shared" si="9"/>
        <v>0.8</v>
      </c>
      <c r="J115" s="44">
        <v>1</v>
      </c>
      <c r="K115" s="44">
        <v>1</v>
      </c>
      <c r="L115" s="44">
        <v>4.1300000000000003E-2</v>
      </c>
      <c r="M115" s="44">
        <v>1</v>
      </c>
      <c r="N115" s="44">
        <v>0.55559999999999998</v>
      </c>
      <c r="O115" s="44">
        <v>1</v>
      </c>
      <c r="P115" s="44">
        <f t="shared" si="10"/>
        <v>0.53230000000000011</v>
      </c>
      <c r="Q115" s="47">
        <v>0.95</v>
      </c>
      <c r="R115" s="44">
        <f t="shared" si="11"/>
        <v>1</v>
      </c>
      <c r="S115">
        <v>0</v>
      </c>
      <c r="T115" s="47">
        <f t="shared" si="12"/>
        <v>0</v>
      </c>
      <c r="U115" s="47">
        <f t="shared" si="13"/>
        <v>1</v>
      </c>
      <c r="V115" s="44">
        <f t="shared" si="14"/>
        <v>1</v>
      </c>
      <c r="W115" t="s">
        <v>348</v>
      </c>
    </row>
    <row r="116" spans="1:23" ht="16.5" x14ac:dyDescent="0.3">
      <c r="A116" s="14" t="s">
        <v>307</v>
      </c>
      <c r="B116" s="15" t="s">
        <v>94</v>
      </c>
      <c r="C116" s="24">
        <f>+VLOOKUP(B116,'INDICADORES CAPTURA'!C:N,12,FALSE)</f>
        <v>0.74595454545454554</v>
      </c>
      <c r="D116">
        <v>16</v>
      </c>
      <c r="E116">
        <v>16</v>
      </c>
      <c r="F116" s="16">
        <f t="shared" si="8"/>
        <v>1</v>
      </c>
      <c r="G116">
        <v>129</v>
      </c>
      <c r="H116">
        <v>103</v>
      </c>
      <c r="I116" s="16">
        <f t="shared" si="9"/>
        <v>0.79844961240310075</v>
      </c>
      <c r="J116" s="44">
        <v>1</v>
      </c>
      <c r="K116" s="44">
        <v>1</v>
      </c>
      <c r="L116" s="44">
        <v>0.15179999999999999</v>
      </c>
      <c r="M116" s="44">
        <v>0.95540000000000003</v>
      </c>
      <c r="N116" s="44">
        <v>2.3300000000000001E-2</v>
      </c>
      <c r="O116" s="44">
        <v>0.95540000000000003</v>
      </c>
      <c r="P116" s="44">
        <f t="shared" si="10"/>
        <v>0.37683333333333335</v>
      </c>
      <c r="Q116" s="47">
        <v>0.95</v>
      </c>
      <c r="R116" s="44">
        <f t="shared" si="11"/>
        <v>1</v>
      </c>
      <c r="S116">
        <v>0</v>
      </c>
      <c r="T116" s="47">
        <f t="shared" si="12"/>
        <v>0</v>
      </c>
      <c r="U116" s="47">
        <f t="shared" si="13"/>
        <v>1</v>
      </c>
      <c r="V116" s="44">
        <f t="shared" si="14"/>
        <v>1</v>
      </c>
      <c r="W116" t="s">
        <v>348</v>
      </c>
    </row>
    <row r="117" spans="1:23" ht="16.5" x14ac:dyDescent="0.3">
      <c r="A117" s="14" t="s">
        <v>207</v>
      </c>
      <c r="B117" s="15" t="s">
        <v>140</v>
      </c>
      <c r="C117" s="24">
        <f>+VLOOKUP(B117,'INDICADORES CAPTURA'!C:N,12,FALSE)</f>
        <v>0.7474727272727274</v>
      </c>
      <c r="D117">
        <v>16</v>
      </c>
      <c r="E117">
        <v>15</v>
      </c>
      <c r="F117" s="16">
        <f t="shared" si="8"/>
        <v>0.9375</v>
      </c>
      <c r="G117">
        <v>105</v>
      </c>
      <c r="H117">
        <v>92</v>
      </c>
      <c r="I117" s="16">
        <f t="shared" si="9"/>
        <v>0.87619047619047619</v>
      </c>
      <c r="J117" s="44">
        <v>0.9798</v>
      </c>
      <c r="K117" s="44">
        <v>0.9798</v>
      </c>
      <c r="L117" s="44">
        <v>6.0600000000000001E-2</v>
      </c>
      <c r="M117" s="44">
        <v>0.9798</v>
      </c>
      <c r="N117" s="44">
        <v>0.46879999999999999</v>
      </c>
      <c r="O117" s="44">
        <v>0.9798</v>
      </c>
      <c r="P117" s="44">
        <f t="shared" si="10"/>
        <v>0.50306666666666666</v>
      </c>
      <c r="Q117" s="47">
        <v>0.95</v>
      </c>
      <c r="R117" s="44">
        <f t="shared" si="11"/>
        <v>0.9798</v>
      </c>
      <c r="S117">
        <v>0</v>
      </c>
      <c r="T117" s="47">
        <f t="shared" si="12"/>
        <v>0</v>
      </c>
      <c r="U117" s="47">
        <f t="shared" si="13"/>
        <v>1</v>
      </c>
      <c r="V117" s="44">
        <f t="shared" si="14"/>
        <v>0.9899</v>
      </c>
      <c r="W117" t="s">
        <v>348</v>
      </c>
    </row>
    <row r="118" spans="1:23" ht="16.5" x14ac:dyDescent="0.3">
      <c r="A118" s="14" t="s">
        <v>205</v>
      </c>
      <c r="B118" s="15" t="s">
        <v>107</v>
      </c>
      <c r="C118" s="24">
        <f>+VLOOKUP(B118,'INDICADORES CAPTURA'!C:N,12,FALSE)</f>
        <v>0.7662363636363636</v>
      </c>
      <c r="D118">
        <v>18</v>
      </c>
      <c r="E118">
        <v>17</v>
      </c>
      <c r="F118" s="16">
        <f t="shared" si="8"/>
        <v>0.94444444444444442</v>
      </c>
      <c r="G118">
        <v>115</v>
      </c>
      <c r="H118">
        <v>98</v>
      </c>
      <c r="I118" s="16">
        <f t="shared" si="9"/>
        <v>0.85217391304347823</v>
      </c>
      <c r="J118" s="44">
        <v>1</v>
      </c>
      <c r="K118" s="44">
        <v>1</v>
      </c>
      <c r="L118" s="44">
        <v>7.6200000000000004E-2</v>
      </c>
      <c r="M118" s="44">
        <v>1</v>
      </c>
      <c r="N118" s="44">
        <v>0.73529999999999995</v>
      </c>
      <c r="O118" s="44">
        <v>1</v>
      </c>
      <c r="P118" s="44">
        <f t="shared" si="10"/>
        <v>0.60383333333333333</v>
      </c>
      <c r="Q118" s="47">
        <v>0.95</v>
      </c>
      <c r="R118" s="44">
        <f t="shared" si="11"/>
        <v>1</v>
      </c>
      <c r="S118">
        <v>8</v>
      </c>
      <c r="T118" s="47">
        <f t="shared" si="12"/>
        <v>0.44444444444444442</v>
      </c>
      <c r="U118" s="47">
        <f t="shared" si="13"/>
        <v>0</v>
      </c>
      <c r="V118" s="44">
        <f t="shared" si="14"/>
        <v>0.5</v>
      </c>
      <c r="W118" t="s">
        <v>348</v>
      </c>
    </row>
    <row r="119" spans="1:23" ht="16.5" x14ac:dyDescent="0.3">
      <c r="A119" s="14" t="s">
        <v>308</v>
      </c>
      <c r="B119" s="15" t="s">
        <v>18</v>
      </c>
      <c r="C119" s="24">
        <f>+VLOOKUP(B119,'INDICADORES CAPTURA'!C:N,12,FALSE)</f>
        <v>0.75439999999999996</v>
      </c>
      <c r="D119">
        <v>14</v>
      </c>
      <c r="E119">
        <v>13</v>
      </c>
      <c r="F119" s="16">
        <f t="shared" si="8"/>
        <v>0.9285714285714286</v>
      </c>
      <c r="G119">
        <v>79</v>
      </c>
      <c r="H119">
        <v>62</v>
      </c>
      <c r="I119" s="16">
        <f t="shared" si="9"/>
        <v>0.78481012658227844</v>
      </c>
      <c r="J119" s="44">
        <v>0.94030000000000002</v>
      </c>
      <c r="K119" s="44">
        <v>0.95520000000000005</v>
      </c>
      <c r="L119" s="44">
        <v>0</v>
      </c>
      <c r="M119" s="44">
        <v>0.94030000000000002</v>
      </c>
      <c r="N119" s="44">
        <v>0.16669999999999999</v>
      </c>
      <c r="O119" s="44">
        <v>0.94030000000000002</v>
      </c>
      <c r="P119" s="44">
        <f t="shared" si="10"/>
        <v>0.36899999999999999</v>
      </c>
      <c r="Q119" s="47">
        <v>0.95</v>
      </c>
      <c r="R119" s="44">
        <f t="shared" si="11"/>
        <v>0.94030000000000002</v>
      </c>
      <c r="S119">
        <v>5</v>
      </c>
      <c r="T119" s="47">
        <f t="shared" si="12"/>
        <v>0.35714285714285715</v>
      </c>
      <c r="U119" s="47">
        <f t="shared" si="13"/>
        <v>0</v>
      </c>
      <c r="V119" s="44">
        <f>+R119</f>
        <v>0.94030000000000002</v>
      </c>
      <c r="W119" t="s">
        <v>348</v>
      </c>
    </row>
    <row r="120" spans="1:23" ht="16.5" x14ac:dyDescent="0.3">
      <c r="A120" s="14" t="s">
        <v>209</v>
      </c>
      <c r="B120" s="15" t="s">
        <v>163</v>
      </c>
      <c r="C120" s="24">
        <f>+VLOOKUP(B120,'INDICADORES CAPTURA'!C:N,12,FALSE)</f>
        <v>0.82155454545454554</v>
      </c>
      <c r="D120">
        <v>7</v>
      </c>
      <c r="E120">
        <v>6</v>
      </c>
      <c r="F120" s="16">
        <f t="shared" si="8"/>
        <v>0.8571428571428571</v>
      </c>
      <c r="G120">
        <v>68</v>
      </c>
      <c r="H120">
        <v>52</v>
      </c>
      <c r="I120" s="16">
        <f t="shared" si="9"/>
        <v>0.76470588235294112</v>
      </c>
      <c r="J120" s="44">
        <v>1</v>
      </c>
      <c r="K120" s="44">
        <v>1</v>
      </c>
      <c r="L120" s="44">
        <v>0.1852</v>
      </c>
      <c r="M120" s="44">
        <v>1</v>
      </c>
      <c r="N120" s="44">
        <v>0.66669999999999996</v>
      </c>
      <c r="O120" s="44">
        <v>1</v>
      </c>
      <c r="P120" s="44">
        <f t="shared" si="10"/>
        <v>0.61730000000000007</v>
      </c>
      <c r="Q120" s="47">
        <v>0.95</v>
      </c>
      <c r="R120" s="44">
        <f t="shared" si="11"/>
        <v>1</v>
      </c>
      <c r="S120">
        <v>4</v>
      </c>
      <c r="T120" s="47">
        <f t="shared" si="12"/>
        <v>0.5714285714285714</v>
      </c>
      <c r="U120" s="47">
        <f t="shared" si="13"/>
        <v>0</v>
      </c>
      <c r="V120" s="44">
        <f t="shared" si="14"/>
        <v>0.5</v>
      </c>
      <c r="W120" t="s">
        <v>348</v>
      </c>
    </row>
    <row r="121" spans="1:23" ht="16.5" x14ac:dyDescent="0.3">
      <c r="A121" s="14" t="s">
        <v>310</v>
      </c>
      <c r="B121" s="15" t="s">
        <v>196</v>
      </c>
      <c r="C121" s="24">
        <f>+VLOOKUP(B121,'INDICADORES CAPTURA'!C:N,12,FALSE)</f>
        <v>0.78591818181818196</v>
      </c>
      <c r="D121">
        <v>5</v>
      </c>
      <c r="E121">
        <v>4</v>
      </c>
      <c r="F121" s="16">
        <f t="shared" si="8"/>
        <v>0.8</v>
      </c>
      <c r="G121">
        <v>32</v>
      </c>
      <c r="H121">
        <v>30</v>
      </c>
      <c r="I121" s="16">
        <f t="shared" si="9"/>
        <v>0.9375</v>
      </c>
      <c r="J121" s="44">
        <v>1</v>
      </c>
      <c r="K121" s="44">
        <v>1</v>
      </c>
      <c r="L121" s="44">
        <v>0</v>
      </c>
      <c r="M121" s="44">
        <v>1</v>
      </c>
      <c r="N121" s="44">
        <v>0.75</v>
      </c>
      <c r="O121" s="44">
        <v>1</v>
      </c>
      <c r="P121" s="44">
        <f t="shared" si="10"/>
        <v>0.58333333333333337</v>
      </c>
      <c r="Q121" s="47">
        <v>0.95</v>
      </c>
      <c r="R121" s="44">
        <f t="shared" si="11"/>
        <v>1</v>
      </c>
      <c r="S121">
        <v>2</v>
      </c>
      <c r="T121" s="47">
        <f t="shared" si="12"/>
        <v>0.4</v>
      </c>
      <c r="U121" s="47">
        <f t="shared" si="13"/>
        <v>0</v>
      </c>
      <c r="V121" s="44">
        <f>+R121</f>
        <v>1</v>
      </c>
      <c r="W121" t="s">
        <v>348</v>
      </c>
    </row>
    <row r="122" spans="1:23" ht="16.5" x14ac:dyDescent="0.3">
      <c r="A122" s="14" t="s">
        <v>306</v>
      </c>
      <c r="B122" s="15" t="s">
        <v>31</v>
      </c>
      <c r="C122" s="24">
        <f>+VLOOKUP(B122,'INDICADORES CAPTURA'!C:N,12,FALSE)</f>
        <v>0.7612363636363636</v>
      </c>
      <c r="D122">
        <v>17</v>
      </c>
      <c r="E122">
        <v>17</v>
      </c>
      <c r="F122" s="16">
        <f t="shared" si="8"/>
        <v>1</v>
      </c>
      <c r="G122">
        <v>113</v>
      </c>
      <c r="H122">
        <v>89</v>
      </c>
      <c r="I122" s="16">
        <f t="shared" si="9"/>
        <v>0.78761061946902655</v>
      </c>
      <c r="J122" s="44">
        <v>1</v>
      </c>
      <c r="K122" s="44">
        <v>1</v>
      </c>
      <c r="L122" s="44">
        <v>3.3000000000000002E-2</v>
      </c>
      <c r="M122" s="44">
        <v>1</v>
      </c>
      <c r="N122" s="44">
        <v>0.86960000000000004</v>
      </c>
      <c r="O122" s="44">
        <v>1</v>
      </c>
      <c r="P122" s="44">
        <f t="shared" si="10"/>
        <v>0.63419999999999999</v>
      </c>
      <c r="Q122" s="47">
        <v>0.95</v>
      </c>
      <c r="R122" s="44">
        <f t="shared" si="11"/>
        <v>1</v>
      </c>
      <c r="S122">
        <v>0</v>
      </c>
      <c r="T122" s="47">
        <f t="shared" si="12"/>
        <v>0</v>
      </c>
      <c r="U122" s="47">
        <f t="shared" si="13"/>
        <v>1</v>
      </c>
      <c r="V122" s="44">
        <f t="shared" si="14"/>
        <v>1</v>
      </c>
      <c r="W122" t="s">
        <v>348</v>
      </c>
    </row>
    <row r="123" spans="1:23" ht="16.5" x14ac:dyDescent="0.3">
      <c r="A123" s="14" t="s">
        <v>306</v>
      </c>
      <c r="B123" s="15" t="s">
        <v>32</v>
      </c>
      <c r="C123" s="24">
        <f>+VLOOKUP(B123,'INDICADORES CAPTURA'!C:N,12,FALSE)</f>
        <v>0.75548181818181814</v>
      </c>
      <c r="D123">
        <v>8</v>
      </c>
      <c r="E123">
        <v>8</v>
      </c>
      <c r="F123" s="16">
        <f t="shared" si="8"/>
        <v>1</v>
      </c>
      <c r="G123">
        <v>69</v>
      </c>
      <c r="H123">
        <v>55</v>
      </c>
      <c r="I123" s="16">
        <f t="shared" si="9"/>
        <v>0.79710144927536231</v>
      </c>
      <c r="J123" s="44">
        <v>1</v>
      </c>
      <c r="K123" s="44">
        <v>1</v>
      </c>
      <c r="L123" s="44">
        <v>3.4500000000000003E-2</v>
      </c>
      <c r="M123" s="44">
        <v>1</v>
      </c>
      <c r="N123" s="44">
        <v>0.64290000000000003</v>
      </c>
      <c r="O123" s="44">
        <v>1</v>
      </c>
      <c r="P123" s="44">
        <f t="shared" si="10"/>
        <v>0.55913333333333337</v>
      </c>
      <c r="Q123" s="47">
        <v>0.95</v>
      </c>
      <c r="R123" s="44">
        <f t="shared" si="11"/>
        <v>1</v>
      </c>
      <c r="S123">
        <v>0</v>
      </c>
      <c r="T123" s="47">
        <f t="shared" si="12"/>
        <v>0</v>
      </c>
      <c r="U123" s="47">
        <f t="shared" si="13"/>
        <v>1</v>
      </c>
      <c r="V123" s="44">
        <f t="shared" si="14"/>
        <v>1</v>
      </c>
      <c r="W123" t="s">
        <v>348</v>
      </c>
    </row>
    <row r="124" spans="1:23" ht="16.5" x14ac:dyDescent="0.3">
      <c r="A124" s="14" t="s">
        <v>202</v>
      </c>
      <c r="B124" s="15" t="s">
        <v>71</v>
      </c>
      <c r="C124" s="24">
        <f>+VLOOKUP(B124,'INDICADORES CAPTURA'!C:N,12,FALSE)</f>
        <v>0.84487272727272711</v>
      </c>
      <c r="D124">
        <v>13</v>
      </c>
      <c r="E124">
        <v>12</v>
      </c>
      <c r="F124" s="16">
        <f t="shared" si="8"/>
        <v>0.92307692307692313</v>
      </c>
      <c r="G124">
        <v>106</v>
      </c>
      <c r="H124">
        <v>79</v>
      </c>
      <c r="I124" s="16">
        <f t="shared" si="9"/>
        <v>0.74528301886792447</v>
      </c>
      <c r="J124" s="44">
        <v>0.98909999999999998</v>
      </c>
      <c r="K124" s="44">
        <v>0.97829999999999995</v>
      </c>
      <c r="L124" s="44">
        <v>0.70650000000000002</v>
      </c>
      <c r="M124" s="44">
        <v>0.98909999999999998</v>
      </c>
      <c r="N124" s="44">
        <v>0.69230000000000003</v>
      </c>
      <c r="O124" s="44">
        <v>0.97829999999999995</v>
      </c>
      <c r="P124" s="44">
        <f t="shared" si="10"/>
        <v>0.79596666666666671</v>
      </c>
      <c r="Q124" s="47">
        <v>0.95</v>
      </c>
      <c r="R124" s="44">
        <f t="shared" si="11"/>
        <v>0.98909999999999998</v>
      </c>
      <c r="S124">
        <v>4</v>
      </c>
      <c r="T124" s="47">
        <f t="shared" si="12"/>
        <v>0.30769230769230771</v>
      </c>
      <c r="U124" s="47">
        <f t="shared" si="13"/>
        <v>0</v>
      </c>
      <c r="V124" s="44">
        <f t="shared" si="14"/>
        <v>0.49454999999999999</v>
      </c>
      <c r="W124" t="s">
        <v>348</v>
      </c>
    </row>
    <row r="125" spans="1:23" ht="16.5" x14ac:dyDescent="0.3">
      <c r="A125" s="14" t="s">
        <v>301</v>
      </c>
      <c r="B125" s="15" t="s">
        <v>178</v>
      </c>
      <c r="C125" s="24">
        <f>+VLOOKUP(B125,'INDICADORES CAPTURA'!C:N,12,FALSE)</f>
        <v>0.7593545454545455</v>
      </c>
      <c r="D125">
        <v>8</v>
      </c>
      <c r="E125">
        <v>7</v>
      </c>
      <c r="F125" s="16">
        <f t="shared" si="8"/>
        <v>0.875</v>
      </c>
      <c r="G125">
        <v>72</v>
      </c>
      <c r="H125">
        <v>65</v>
      </c>
      <c r="I125" s="16">
        <f t="shared" si="9"/>
        <v>0.90277777777777779</v>
      </c>
      <c r="J125" s="44">
        <v>0.98529999999999995</v>
      </c>
      <c r="K125" s="44">
        <v>1</v>
      </c>
      <c r="L125" s="44">
        <v>0.10290000000000001</v>
      </c>
      <c r="M125" s="44">
        <v>0.98529999999999995</v>
      </c>
      <c r="N125" s="44">
        <v>0.3125</v>
      </c>
      <c r="O125" s="44">
        <v>0.98529999999999995</v>
      </c>
      <c r="P125" s="44">
        <f t="shared" si="10"/>
        <v>0.46690000000000004</v>
      </c>
      <c r="Q125" s="47">
        <v>0.95</v>
      </c>
      <c r="R125" s="44">
        <f t="shared" si="11"/>
        <v>0.98529999999999995</v>
      </c>
      <c r="S125">
        <v>3</v>
      </c>
      <c r="T125" s="47">
        <f t="shared" si="12"/>
        <v>0.375</v>
      </c>
      <c r="U125" s="47">
        <f t="shared" si="13"/>
        <v>0</v>
      </c>
      <c r="V125" s="44">
        <f t="shared" si="14"/>
        <v>0.49264999999999998</v>
      </c>
      <c r="W125" t="s">
        <v>348</v>
      </c>
    </row>
    <row r="126" spans="1:23" ht="16.5" x14ac:dyDescent="0.3">
      <c r="A126" s="14" t="s">
        <v>310</v>
      </c>
      <c r="B126" s="15" t="s">
        <v>186</v>
      </c>
      <c r="C126" s="24">
        <f>+VLOOKUP(B126,'INDICADORES CAPTURA'!C:N,12,FALSE)</f>
        <v>0.77272727272727271</v>
      </c>
      <c r="D126">
        <v>17</v>
      </c>
      <c r="E126">
        <v>15</v>
      </c>
      <c r="F126" s="16">
        <f t="shared" si="8"/>
        <v>0.88235294117647056</v>
      </c>
      <c r="G126">
        <v>113</v>
      </c>
      <c r="H126">
        <v>100</v>
      </c>
      <c r="I126" s="16">
        <f t="shared" si="9"/>
        <v>0.88495575221238942</v>
      </c>
      <c r="J126" s="44">
        <v>1</v>
      </c>
      <c r="K126" s="44">
        <v>1</v>
      </c>
      <c r="L126" s="44">
        <v>0.1731</v>
      </c>
      <c r="M126" s="44">
        <v>1</v>
      </c>
      <c r="N126" s="44">
        <v>0.21820000000000001</v>
      </c>
      <c r="O126" s="44">
        <v>1</v>
      </c>
      <c r="P126" s="44">
        <f t="shared" si="10"/>
        <v>0.46376666666666666</v>
      </c>
      <c r="Q126" s="47">
        <v>0.95</v>
      </c>
      <c r="R126" s="44">
        <f t="shared" si="11"/>
        <v>1</v>
      </c>
      <c r="S126">
        <v>5</v>
      </c>
      <c r="T126" s="47">
        <f t="shared" si="12"/>
        <v>0.29411764705882354</v>
      </c>
      <c r="U126" s="47">
        <f t="shared" si="13"/>
        <v>0</v>
      </c>
      <c r="V126" s="44">
        <f t="shared" si="14"/>
        <v>0.5</v>
      </c>
      <c r="W126" t="s">
        <v>348</v>
      </c>
    </row>
    <row r="127" spans="1:23" ht="16.5" x14ac:dyDescent="0.3">
      <c r="A127" s="14" t="s">
        <v>301</v>
      </c>
      <c r="B127" s="15" t="s">
        <v>180</v>
      </c>
      <c r="C127" s="24">
        <f>+VLOOKUP(B127,'INDICADORES CAPTURA'!C:N,12,FALSE)</f>
        <v>0.71885454545454541</v>
      </c>
      <c r="D127">
        <v>7</v>
      </c>
      <c r="E127">
        <v>6</v>
      </c>
      <c r="F127" s="16">
        <f t="shared" si="8"/>
        <v>0.8571428571428571</v>
      </c>
      <c r="G127">
        <v>55</v>
      </c>
      <c r="H127">
        <v>51</v>
      </c>
      <c r="I127" s="16">
        <f t="shared" si="9"/>
        <v>0.92727272727272725</v>
      </c>
      <c r="J127" s="44">
        <v>0.94440000000000002</v>
      </c>
      <c r="K127" s="44">
        <v>0.92589999999999995</v>
      </c>
      <c r="L127" s="44">
        <v>0.46300000000000002</v>
      </c>
      <c r="M127" s="44">
        <v>0.88890000000000002</v>
      </c>
      <c r="N127" s="44">
        <v>0.875</v>
      </c>
      <c r="O127" s="44">
        <v>0.90739999999999998</v>
      </c>
      <c r="P127" s="44">
        <f t="shared" si="10"/>
        <v>0.74230000000000007</v>
      </c>
      <c r="Q127" s="47">
        <v>0.95</v>
      </c>
      <c r="R127" s="44">
        <f t="shared" si="11"/>
        <v>0.94440000000000002</v>
      </c>
      <c r="S127">
        <v>3</v>
      </c>
      <c r="T127" s="47">
        <f t="shared" si="12"/>
        <v>0.42857142857142855</v>
      </c>
      <c r="U127" s="47">
        <f t="shared" si="13"/>
        <v>0</v>
      </c>
      <c r="V127" s="44">
        <f t="shared" si="14"/>
        <v>0.47220000000000001</v>
      </c>
      <c r="W127" t="s">
        <v>348</v>
      </c>
    </row>
    <row r="128" spans="1:23" ht="16.5" x14ac:dyDescent="0.3">
      <c r="A128" s="14" t="s">
        <v>307</v>
      </c>
      <c r="B128" s="15" t="s">
        <v>91</v>
      </c>
      <c r="C128" s="24">
        <f>+VLOOKUP(B128,'INDICADORES CAPTURA'!C:N,12,FALSE)</f>
        <v>0.79571818181818188</v>
      </c>
      <c r="D128">
        <v>17</v>
      </c>
      <c r="E128">
        <v>16</v>
      </c>
      <c r="F128" s="16">
        <f t="shared" si="8"/>
        <v>0.94117647058823528</v>
      </c>
      <c r="G128">
        <v>106</v>
      </c>
      <c r="H128">
        <v>83</v>
      </c>
      <c r="I128" s="16">
        <f t="shared" si="9"/>
        <v>0.78301886792452835</v>
      </c>
      <c r="J128" s="44">
        <v>1</v>
      </c>
      <c r="K128" s="44">
        <v>1</v>
      </c>
      <c r="L128" s="44">
        <v>8.9899999999999994E-2</v>
      </c>
      <c r="M128" s="44">
        <v>1</v>
      </c>
      <c r="N128" s="44">
        <v>0.2</v>
      </c>
      <c r="O128" s="44">
        <v>1</v>
      </c>
      <c r="P128" s="44">
        <f t="shared" si="10"/>
        <v>0.42996666666666666</v>
      </c>
      <c r="Q128" s="47">
        <v>0.95</v>
      </c>
      <c r="R128" s="44">
        <f t="shared" si="11"/>
        <v>1</v>
      </c>
      <c r="S128">
        <v>0</v>
      </c>
      <c r="T128" s="47">
        <f t="shared" si="12"/>
        <v>0</v>
      </c>
      <c r="U128" s="47">
        <f t="shared" si="13"/>
        <v>1</v>
      </c>
      <c r="V128" s="44">
        <f t="shared" si="14"/>
        <v>1</v>
      </c>
      <c r="W128" t="s">
        <v>348</v>
      </c>
    </row>
    <row r="129" spans="1:23" ht="16.5" x14ac:dyDescent="0.3">
      <c r="A129" s="14" t="s">
        <v>308</v>
      </c>
      <c r="B129" s="15" t="s">
        <v>25</v>
      </c>
      <c r="C129" s="24">
        <f>+VLOOKUP(B129,'INDICADORES CAPTURA'!C:N,12,FALSE)</f>
        <v>0.74007272727272733</v>
      </c>
      <c r="D129">
        <v>6</v>
      </c>
      <c r="E129">
        <v>5</v>
      </c>
      <c r="F129" s="16">
        <f t="shared" si="8"/>
        <v>0.83333333333333337</v>
      </c>
      <c r="G129">
        <v>66</v>
      </c>
      <c r="H129">
        <v>61</v>
      </c>
      <c r="I129" s="16">
        <f t="shared" si="9"/>
        <v>0.9242424242424242</v>
      </c>
      <c r="J129" s="44">
        <v>0.98440000000000005</v>
      </c>
      <c r="K129" s="44">
        <v>0.98440000000000005</v>
      </c>
      <c r="L129" s="44">
        <v>1.5599999999999999E-2</v>
      </c>
      <c r="M129" s="44">
        <v>0.98440000000000005</v>
      </c>
      <c r="N129" s="44">
        <v>0</v>
      </c>
      <c r="O129" s="44">
        <v>0.98440000000000005</v>
      </c>
      <c r="P129" s="44">
        <f t="shared" si="10"/>
        <v>0.33333333333333331</v>
      </c>
      <c r="Q129" s="47">
        <v>0.95</v>
      </c>
      <c r="R129" s="44">
        <f t="shared" si="11"/>
        <v>0.98440000000000005</v>
      </c>
      <c r="S129">
        <v>3</v>
      </c>
      <c r="T129" s="47">
        <f t="shared" si="12"/>
        <v>0.5</v>
      </c>
      <c r="U129" s="47">
        <f t="shared" si="13"/>
        <v>0</v>
      </c>
      <c r="V129" s="44">
        <f t="shared" si="14"/>
        <v>0.49220000000000003</v>
      </c>
      <c r="W129" t="s">
        <v>348</v>
      </c>
    </row>
    <row r="130" spans="1:23" ht="16.5" x14ac:dyDescent="0.3">
      <c r="A130" s="14" t="s">
        <v>203</v>
      </c>
      <c r="B130" s="15" t="s">
        <v>77</v>
      </c>
      <c r="C130" s="24">
        <f>+VLOOKUP(B130,'INDICADORES CAPTURA'!C:N,12,FALSE)</f>
        <v>0.76715454545454553</v>
      </c>
      <c r="D130">
        <v>27</v>
      </c>
      <c r="E130">
        <v>24</v>
      </c>
      <c r="F130" s="16">
        <f t="shared" si="8"/>
        <v>0.88888888888888884</v>
      </c>
      <c r="G130">
        <v>133</v>
      </c>
      <c r="H130">
        <v>110</v>
      </c>
      <c r="I130" s="16">
        <f t="shared" si="9"/>
        <v>0.82706766917293228</v>
      </c>
      <c r="J130" s="44">
        <v>1</v>
      </c>
      <c r="K130" s="44">
        <v>1</v>
      </c>
      <c r="L130" s="44">
        <v>0</v>
      </c>
      <c r="M130" s="44">
        <v>1</v>
      </c>
      <c r="N130" s="44">
        <v>0.33329999999999999</v>
      </c>
      <c r="O130" s="44">
        <v>1</v>
      </c>
      <c r="P130" s="44">
        <f t="shared" si="10"/>
        <v>0.44443333333333329</v>
      </c>
      <c r="Q130" s="47">
        <v>0.95</v>
      </c>
      <c r="R130" s="44">
        <f t="shared" si="11"/>
        <v>1</v>
      </c>
      <c r="S130">
        <v>11</v>
      </c>
      <c r="T130" s="47">
        <f t="shared" si="12"/>
        <v>0.40740740740740738</v>
      </c>
      <c r="U130" s="47">
        <f t="shared" si="13"/>
        <v>0</v>
      </c>
      <c r="V130" s="44">
        <f>+R130</f>
        <v>1</v>
      </c>
      <c r="W130" t="s">
        <v>348</v>
      </c>
    </row>
    <row r="131" spans="1:23" ht="16.5" x14ac:dyDescent="0.3">
      <c r="A131" s="14" t="s">
        <v>202</v>
      </c>
      <c r="B131" s="15" t="s">
        <v>68</v>
      </c>
      <c r="C131" s="24">
        <f>+VLOOKUP(B131,'INDICADORES CAPTURA'!C:N,12,FALSE)</f>
        <v>0.79154545454545444</v>
      </c>
      <c r="D131">
        <v>17</v>
      </c>
      <c r="E131">
        <v>14</v>
      </c>
      <c r="F131" s="16">
        <f t="shared" ref="F131:F189" si="16">+E131/D131</f>
        <v>0.82352941176470584</v>
      </c>
      <c r="G131">
        <v>106</v>
      </c>
      <c r="H131">
        <v>94</v>
      </c>
      <c r="I131" s="16">
        <f t="shared" ref="I131:I189" si="17">+H131/G131</f>
        <v>0.8867924528301887</v>
      </c>
      <c r="J131" s="44">
        <v>1</v>
      </c>
      <c r="K131" s="44">
        <v>1</v>
      </c>
      <c r="L131" s="44">
        <v>0.2828</v>
      </c>
      <c r="M131" s="44">
        <v>1</v>
      </c>
      <c r="N131" s="44">
        <v>9.0899999999999995E-2</v>
      </c>
      <c r="O131" s="44">
        <v>1</v>
      </c>
      <c r="P131" s="44">
        <f t="shared" ref="P131:P189" si="18">+AVERAGE(L131,M131,N131)</f>
        <v>0.45789999999999997</v>
      </c>
      <c r="Q131" s="47">
        <v>0.95</v>
      </c>
      <c r="R131" s="44">
        <f t="shared" ref="R131:R189" si="19">+J131</f>
        <v>1</v>
      </c>
      <c r="S131">
        <v>2</v>
      </c>
      <c r="T131" s="47">
        <f t="shared" ref="T131:T189" si="20">+S131/D131</f>
        <v>0.11764705882352941</v>
      </c>
      <c r="U131" s="47">
        <f t="shared" ref="U131:U189" si="21">+IF(T131&lt;3%,100%,0)</f>
        <v>0</v>
      </c>
      <c r="V131" s="44">
        <f t="shared" ref="V131:V186" si="22">+AVERAGE(R131,U131)</f>
        <v>0.5</v>
      </c>
      <c r="W131" t="s">
        <v>348</v>
      </c>
    </row>
    <row r="132" spans="1:23" ht="16.5" x14ac:dyDescent="0.3">
      <c r="A132" s="14" t="s">
        <v>208</v>
      </c>
      <c r="B132" s="15" t="s">
        <v>158</v>
      </c>
      <c r="C132" s="24">
        <f>+VLOOKUP(B132,'INDICADORES CAPTURA'!C:N,12,FALSE)</f>
        <v>0.77338181818181806</v>
      </c>
      <c r="D132">
        <v>15</v>
      </c>
      <c r="E132">
        <v>15</v>
      </c>
      <c r="F132" s="16">
        <f t="shared" si="16"/>
        <v>1</v>
      </c>
      <c r="G132">
        <v>92</v>
      </c>
      <c r="H132">
        <v>67</v>
      </c>
      <c r="I132" s="16">
        <f t="shared" si="17"/>
        <v>0.72826086956521741</v>
      </c>
      <c r="J132" s="44">
        <v>1</v>
      </c>
      <c r="K132" s="44">
        <v>0.98550000000000004</v>
      </c>
      <c r="L132" s="44">
        <v>1.4500000000000001E-2</v>
      </c>
      <c r="M132" s="44">
        <v>1</v>
      </c>
      <c r="N132" s="44">
        <v>0.8</v>
      </c>
      <c r="O132" s="44">
        <v>1</v>
      </c>
      <c r="P132" s="44">
        <f t="shared" si="18"/>
        <v>0.60483333333333333</v>
      </c>
      <c r="Q132" s="47">
        <v>0.95</v>
      </c>
      <c r="R132" s="44">
        <f t="shared" si="19"/>
        <v>1</v>
      </c>
      <c r="S132">
        <v>0</v>
      </c>
      <c r="T132" s="47">
        <f t="shared" si="20"/>
        <v>0</v>
      </c>
      <c r="U132" s="47">
        <f t="shared" si="21"/>
        <v>1</v>
      </c>
      <c r="V132" s="44">
        <f t="shared" si="22"/>
        <v>1</v>
      </c>
      <c r="W132" t="s">
        <v>348</v>
      </c>
    </row>
    <row r="133" spans="1:23" ht="16.5" x14ac:dyDescent="0.3">
      <c r="A133" s="14" t="s">
        <v>202</v>
      </c>
      <c r="B133" s="15" t="s">
        <v>65</v>
      </c>
      <c r="C133" s="24">
        <f>+VLOOKUP(B133,'INDICADORES CAPTURA'!C:N,12,FALSE)</f>
        <v>0.76489090909090907</v>
      </c>
      <c r="D133">
        <v>13</v>
      </c>
      <c r="E133">
        <v>12</v>
      </c>
      <c r="F133" s="16">
        <f t="shared" si="16"/>
        <v>0.92307692307692313</v>
      </c>
      <c r="G133">
        <v>101</v>
      </c>
      <c r="H133">
        <v>82</v>
      </c>
      <c r="I133" s="16">
        <f t="shared" si="17"/>
        <v>0.81188118811881194</v>
      </c>
      <c r="J133" s="44">
        <v>1</v>
      </c>
      <c r="K133" s="44">
        <v>1</v>
      </c>
      <c r="L133" s="44">
        <v>1.15E-2</v>
      </c>
      <c r="M133" s="44">
        <v>1</v>
      </c>
      <c r="N133" s="44">
        <v>0.5</v>
      </c>
      <c r="O133" s="44">
        <v>1</v>
      </c>
      <c r="P133" s="44">
        <f t="shared" si="18"/>
        <v>0.50383333333333336</v>
      </c>
      <c r="Q133" s="47">
        <v>0.95</v>
      </c>
      <c r="R133" s="44">
        <f t="shared" si="19"/>
        <v>1</v>
      </c>
      <c r="S133">
        <v>8</v>
      </c>
      <c r="T133" s="47">
        <f t="shared" si="20"/>
        <v>0.61538461538461542</v>
      </c>
      <c r="U133" s="47">
        <f t="shared" si="21"/>
        <v>0</v>
      </c>
      <c r="V133" s="44">
        <f t="shared" si="22"/>
        <v>0.5</v>
      </c>
      <c r="W133" t="s">
        <v>348</v>
      </c>
    </row>
    <row r="134" spans="1:23" ht="16.5" x14ac:dyDescent="0.3">
      <c r="A134" s="14" t="s">
        <v>307</v>
      </c>
      <c r="B134" s="15" t="s">
        <v>100</v>
      </c>
      <c r="C134" s="24">
        <f>+VLOOKUP(B134,'INDICADORES CAPTURA'!C:N,12,FALSE)</f>
        <v>0.54912727272727269</v>
      </c>
      <c r="D134">
        <v>20</v>
      </c>
      <c r="E134">
        <v>20</v>
      </c>
      <c r="F134" s="16">
        <f t="shared" si="16"/>
        <v>1</v>
      </c>
      <c r="G134">
        <v>158</v>
      </c>
      <c r="H134">
        <v>135</v>
      </c>
      <c r="I134" s="16">
        <f t="shared" si="17"/>
        <v>0.85443037974683544</v>
      </c>
      <c r="J134" s="44">
        <v>0.60399999999999998</v>
      </c>
      <c r="K134" s="44">
        <v>1</v>
      </c>
      <c r="L134" s="44">
        <v>3.3599999999999998E-2</v>
      </c>
      <c r="M134" s="44">
        <v>0.87250000000000005</v>
      </c>
      <c r="N134" s="44">
        <v>5.8799999999999998E-2</v>
      </c>
      <c r="O134" s="44">
        <v>0.4027</v>
      </c>
      <c r="P134" s="44">
        <f t="shared" si="18"/>
        <v>0.32163333333333333</v>
      </c>
      <c r="Q134" s="47">
        <v>0.95</v>
      </c>
      <c r="R134" s="44">
        <f t="shared" si="19"/>
        <v>0.60399999999999998</v>
      </c>
      <c r="S134">
        <v>0</v>
      </c>
      <c r="T134" s="47">
        <f t="shared" si="20"/>
        <v>0</v>
      </c>
      <c r="U134" s="47">
        <f t="shared" si="21"/>
        <v>1</v>
      </c>
      <c r="V134" s="44">
        <f t="shared" si="22"/>
        <v>0.80200000000000005</v>
      </c>
      <c r="W134" t="s">
        <v>348</v>
      </c>
    </row>
    <row r="135" spans="1:23" ht="16.5" x14ac:dyDescent="0.3">
      <c r="A135" s="14" t="s">
        <v>202</v>
      </c>
      <c r="B135" s="15" t="s">
        <v>59</v>
      </c>
      <c r="C135" s="24">
        <f>+VLOOKUP(B135,'INDICADORES CAPTURA'!C:N,12,FALSE)</f>
        <v>0.75942727272727273</v>
      </c>
      <c r="D135">
        <v>10</v>
      </c>
      <c r="E135">
        <v>10</v>
      </c>
      <c r="F135" s="16">
        <f t="shared" si="16"/>
        <v>1</v>
      </c>
      <c r="G135">
        <v>99</v>
      </c>
      <c r="H135">
        <v>72</v>
      </c>
      <c r="I135" s="16">
        <f t="shared" si="17"/>
        <v>0.72727272727272729</v>
      </c>
      <c r="J135" s="44">
        <v>1</v>
      </c>
      <c r="K135" s="44">
        <v>1</v>
      </c>
      <c r="L135" s="44">
        <v>0</v>
      </c>
      <c r="M135" s="44">
        <v>1</v>
      </c>
      <c r="N135" s="44">
        <v>0.56759999999999999</v>
      </c>
      <c r="O135" s="44">
        <v>1</v>
      </c>
      <c r="P135" s="44">
        <f t="shared" si="18"/>
        <v>0.52253333333333341</v>
      </c>
      <c r="Q135" s="47">
        <v>0.95</v>
      </c>
      <c r="R135" s="44">
        <f t="shared" si="19"/>
        <v>1</v>
      </c>
      <c r="S135">
        <v>2</v>
      </c>
      <c r="T135" s="47">
        <f t="shared" si="20"/>
        <v>0.2</v>
      </c>
      <c r="U135" s="47">
        <f t="shared" si="21"/>
        <v>0</v>
      </c>
      <c r="V135" s="44">
        <f t="shared" ref="V135:V137" si="23">+R135</f>
        <v>1</v>
      </c>
      <c r="W135" t="s">
        <v>348</v>
      </c>
    </row>
    <row r="136" spans="1:23" ht="16.5" x14ac:dyDescent="0.3">
      <c r="A136" s="14" t="s">
        <v>311</v>
      </c>
      <c r="B136" s="15" t="s">
        <v>123</v>
      </c>
      <c r="C136" s="24">
        <f>+VLOOKUP(B136,'INDICADORES CAPTURA'!C:N,12,FALSE)</f>
        <v>0.75828181818181806</v>
      </c>
      <c r="D136">
        <v>4</v>
      </c>
      <c r="E136">
        <v>4</v>
      </c>
      <c r="F136" s="16">
        <f t="shared" si="16"/>
        <v>1</v>
      </c>
      <c r="G136">
        <v>57</v>
      </c>
      <c r="H136">
        <v>42</v>
      </c>
      <c r="I136" s="16">
        <f t="shared" si="17"/>
        <v>0.73684210526315785</v>
      </c>
      <c r="J136" s="44">
        <v>0.97729999999999995</v>
      </c>
      <c r="K136" s="44">
        <v>0.97729999999999995</v>
      </c>
      <c r="L136" s="44">
        <v>0</v>
      </c>
      <c r="M136" s="44">
        <v>0.97729999999999995</v>
      </c>
      <c r="N136" s="44">
        <v>3.0300000000000001E-2</v>
      </c>
      <c r="O136" s="44">
        <v>0.97729999999999995</v>
      </c>
      <c r="P136" s="44">
        <f t="shared" si="18"/>
        <v>0.3358666666666667</v>
      </c>
      <c r="Q136" s="47">
        <v>0.95</v>
      </c>
      <c r="R136" s="44">
        <f t="shared" si="19"/>
        <v>0.97729999999999995</v>
      </c>
      <c r="S136">
        <v>0</v>
      </c>
      <c r="T136" s="47">
        <f t="shared" si="20"/>
        <v>0</v>
      </c>
      <c r="U136" s="47">
        <f t="shared" si="21"/>
        <v>1</v>
      </c>
      <c r="V136" s="44">
        <f t="shared" si="23"/>
        <v>0.97729999999999995</v>
      </c>
      <c r="W136" t="s">
        <v>348</v>
      </c>
    </row>
    <row r="137" spans="1:23" ht="16.5" x14ac:dyDescent="0.3">
      <c r="A137" s="14" t="s">
        <v>311</v>
      </c>
      <c r="B137" s="15" t="s">
        <v>122</v>
      </c>
      <c r="C137" s="24">
        <f>+VLOOKUP(B137,'INDICADORES CAPTURA'!C:N,12,FALSE)</f>
        <v>0.81191818181818176</v>
      </c>
      <c r="D137">
        <v>18</v>
      </c>
      <c r="E137">
        <v>18</v>
      </c>
      <c r="F137" s="16">
        <f t="shared" si="16"/>
        <v>1</v>
      </c>
      <c r="G137">
        <v>79</v>
      </c>
      <c r="H137">
        <v>55</v>
      </c>
      <c r="I137" s="16">
        <f t="shared" si="17"/>
        <v>0.69620253164556967</v>
      </c>
      <c r="J137" s="44">
        <v>1</v>
      </c>
      <c r="K137" s="44">
        <v>1</v>
      </c>
      <c r="L137" s="44">
        <v>0</v>
      </c>
      <c r="M137" s="44">
        <v>1</v>
      </c>
      <c r="N137" s="44">
        <v>0.39290000000000003</v>
      </c>
      <c r="O137" s="44">
        <v>1</v>
      </c>
      <c r="P137" s="44">
        <f t="shared" si="18"/>
        <v>0.46429999999999999</v>
      </c>
      <c r="Q137" s="47">
        <v>0.95</v>
      </c>
      <c r="R137" s="44">
        <f t="shared" si="19"/>
        <v>1</v>
      </c>
      <c r="S137">
        <v>0</v>
      </c>
      <c r="T137" s="47">
        <f t="shared" si="20"/>
        <v>0</v>
      </c>
      <c r="U137" s="47">
        <f t="shared" si="21"/>
        <v>1</v>
      </c>
      <c r="V137" s="44">
        <f t="shared" si="23"/>
        <v>1</v>
      </c>
      <c r="W137" t="s">
        <v>348</v>
      </c>
    </row>
    <row r="138" spans="1:23" ht="16.5" x14ac:dyDescent="0.3">
      <c r="A138" s="14" t="s">
        <v>309</v>
      </c>
      <c r="B138" s="15" t="s">
        <v>51</v>
      </c>
      <c r="C138" s="24">
        <f>+VLOOKUP(B138,'INDICADORES CAPTURA'!C:N,12,FALSE)</f>
        <v>0.7218181818181818</v>
      </c>
      <c r="D138">
        <v>6</v>
      </c>
      <c r="E138">
        <v>6</v>
      </c>
      <c r="F138" s="16">
        <f t="shared" si="16"/>
        <v>1</v>
      </c>
      <c r="G138">
        <v>66</v>
      </c>
      <c r="H138">
        <v>48</v>
      </c>
      <c r="I138" s="16">
        <f t="shared" si="17"/>
        <v>0.72727272727272729</v>
      </c>
      <c r="J138" s="44">
        <v>0.96</v>
      </c>
      <c r="K138" s="44">
        <v>0.96</v>
      </c>
      <c r="L138" s="44">
        <v>0.02</v>
      </c>
      <c r="M138" s="44">
        <v>0.96</v>
      </c>
      <c r="N138" s="44">
        <v>0</v>
      </c>
      <c r="O138" s="44">
        <v>0.96</v>
      </c>
      <c r="P138" s="44">
        <f t="shared" si="18"/>
        <v>0.32666666666666666</v>
      </c>
      <c r="Q138" s="47">
        <v>0.95</v>
      </c>
      <c r="R138" s="44">
        <f t="shared" si="19"/>
        <v>0.96</v>
      </c>
      <c r="S138">
        <v>4</v>
      </c>
      <c r="T138" s="47">
        <f t="shared" si="20"/>
        <v>0.66666666666666663</v>
      </c>
      <c r="U138" s="47">
        <f t="shared" si="21"/>
        <v>0</v>
      </c>
      <c r="V138" s="44">
        <f t="shared" si="22"/>
        <v>0.48</v>
      </c>
      <c r="W138" t="s">
        <v>348</v>
      </c>
    </row>
    <row r="139" spans="1:23" ht="16.5" x14ac:dyDescent="0.3">
      <c r="A139" s="14" t="s">
        <v>311</v>
      </c>
      <c r="B139" s="15" t="s">
        <v>116</v>
      </c>
      <c r="C139" s="24">
        <f>+VLOOKUP(B139,'INDICADORES CAPTURA'!C:N,12,FALSE)</f>
        <v>0.74268181818181811</v>
      </c>
      <c r="D139">
        <v>11</v>
      </c>
      <c r="E139">
        <v>11</v>
      </c>
      <c r="F139" s="16">
        <f t="shared" si="16"/>
        <v>1</v>
      </c>
      <c r="G139">
        <v>76</v>
      </c>
      <c r="H139">
        <v>56</v>
      </c>
      <c r="I139" s="16">
        <f t="shared" si="17"/>
        <v>0.73684210526315785</v>
      </c>
      <c r="J139" s="44">
        <v>0.96609999999999996</v>
      </c>
      <c r="K139" s="44">
        <v>0.98309999999999997</v>
      </c>
      <c r="L139" s="44">
        <v>3.39E-2</v>
      </c>
      <c r="M139" s="44">
        <v>0.96609999999999996</v>
      </c>
      <c r="N139" s="44">
        <v>0.45</v>
      </c>
      <c r="O139" s="44">
        <v>0.96609999999999996</v>
      </c>
      <c r="P139" s="44">
        <f t="shared" si="18"/>
        <v>0.48333333333333334</v>
      </c>
      <c r="Q139" s="47">
        <v>0.95</v>
      </c>
      <c r="R139" s="44">
        <f t="shared" si="19"/>
        <v>0.96609999999999996</v>
      </c>
      <c r="S139">
        <v>6</v>
      </c>
      <c r="T139" s="47">
        <f t="shared" si="20"/>
        <v>0.54545454545454541</v>
      </c>
      <c r="U139" s="47">
        <f t="shared" si="21"/>
        <v>0</v>
      </c>
      <c r="V139" s="44">
        <f t="shared" si="22"/>
        <v>0.48304999999999998</v>
      </c>
      <c r="W139" t="s">
        <v>348</v>
      </c>
    </row>
    <row r="140" spans="1:23" ht="16.5" x14ac:dyDescent="0.3">
      <c r="A140" s="14" t="s">
        <v>301</v>
      </c>
      <c r="B140" s="15" t="s">
        <v>174</v>
      </c>
      <c r="C140" s="24">
        <f>+VLOOKUP(B140,'INDICADORES CAPTURA'!C:N,12,FALSE)</f>
        <v>0.72473636363636362</v>
      </c>
      <c r="D140">
        <v>15</v>
      </c>
      <c r="E140">
        <v>15</v>
      </c>
      <c r="F140" s="16">
        <f t="shared" si="16"/>
        <v>1</v>
      </c>
      <c r="G140">
        <v>119</v>
      </c>
      <c r="H140">
        <v>88</v>
      </c>
      <c r="I140" s="16">
        <f t="shared" si="17"/>
        <v>0.73949579831932777</v>
      </c>
      <c r="J140" s="44">
        <v>0.86919999999999997</v>
      </c>
      <c r="K140" s="44">
        <v>1</v>
      </c>
      <c r="L140" s="44">
        <v>0.1308</v>
      </c>
      <c r="M140" s="44">
        <v>0.86919999999999997</v>
      </c>
      <c r="N140" s="44">
        <v>0.39579999999999999</v>
      </c>
      <c r="O140" s="44">
        <v>0.86919999999999997</v>
      </c>
      <c r="P140" s="44">
        <f t="shared" si="18"/>
        <v>0.46526666666666666</v>
      </c>
      <c r="Q140" s="47">
        <v>0.95</v>
      </c>
      <c r="R140" s="44">
        <f t="shared" si="19"/>
        <v>0.86919999999999997</v>
      </c>
      <c r="S140">
        <v>7</v>
      </c>
      <c r="T140" s="47">
        <f t="shared" si="20"/>
        <v>0.46666666666666667</v>
      </c>
      <c r="U140" s="47">
        <f t="shared" si="21"/>
        <v>0</v>
      </c>
      <c r="V140" s="44">
        <f t="shared" si="22"/>
        <v>0.43459999999999999</v>
      </c>
      <c r="W140" t="s">
        <v>348</v>
      </c>
    </row>
    <row r="141" spans="1:23" ht="16.5" x14ac:dyDescent="0.3">
      <c r="A141" s="14" t="s">
        <v>309</v>
      </c>
      <c r="B141" s="15" t="s">
        <v>44</v>
      </c>
      <c r="C141" s="24">
        <f>+VLOOKUP(B141,'INDICADORES CAPTURA'!C:N,12,FALSE)</f>
        <v>0.78246363636363625</v>
      </c>
      <c r="D141">
        <v>15</v>
      </c>
      <c r="E141">
        <v>14</v>
      </c>
      <c r="F141" s="16">
        <f t="shared" si="16"/>
        <v>0.93333333333333335</v>
      </c>
      <c r="G141">
        <v>106</v>
      </c>
      <c r="H141">
        <v>82</v>
      </c>
      <c r="I141" s="16">
        <f t="shared" si="17"/>
        <v>0.77358490566037741</v>
      </c>
      <c r="J141" s="44">
        <v>1</v>
      </c>
      <c r="K141" s="44">
        <v>1</v>
      </c>
      <c r="L141" s="44">
        <v>0.21429999999999999</v>
      </c>
      <c r="M141" s="44">
        <v>1</v>
      </c>
      <c r="N141" s="44">
        <v>0.96150000000000002</v>
      </c>
      <c r="O141" s="44">
        <v>1</v>
      </c>
      <c r="P141" s="44">
        <f t="shared" si="18"/>
        <v>0.72526666666666662</v>
      </c>
      <c r="Q141" s="47">
        <v>0.95</v>
      </c>
      <c r="R141" s="44">
        <f t="shared" si="19"/>
        <v>1</v>
      </c>
      <c r="S141">
        <v>7</v>
      </c>
      <c r="T141" s="47">
        <f t="shared" si="20"/>
        <v>0.46666666666666667</v>
      </c>
      <c r="U141" s="47">
        <f t="shared" si="21"/>
        <v>0</v>
      </c>
      <c r="V141" s="44">
        <f t="shared" si="22"/>
        <v>0.5</v>
      </c>
      <c r="W141" t="s">
        <v>348</v>
      </c>
    </row>
    <row r="142" spans="1:23" ht="16.5" x14ac:dyDescent="0.3">
      <c r="A142" s="14" t="s">
        <v>205</v>
      </c>
      <c r="B142" s="15" t="s">
        <v>104</v>
      </c>
      <c r="C142" s="24">
        <f>+VLOOKUP(B142,'INDICADORES CAPTURA'!C:N,12,FALSE)</f>
        <v>0.53720909090909086</v>
      </c>
      <c r="D142">
        <v>1</v>
      </c>
      <c r="E142">
        <v>1</v>
      </c>
      <c r="F142" s="16">
        <f t="shared" si="16"/>
        <v>1</v>
      </c>
      <c r="G142">
        <v>26</v>
      </c>
      <c r="H142">
        <v>21</v>
      </c>
      <c r="I142" s="16">
        <f t="shared" si="17"/>
        <v>0.80769230769230771</v>
      </c>
      <c r="J142" s="44">
        <v>0.72729999999999995</v>
      </c>
      <c r="K142" s="44">
        <v>0.63639999999999997</v>
      </c>
      <c r="L142" s="44">
        <v>0</v>
      </c>
      <c r="M142" s="44">
        <v>0.72729999999999995</v>
      </c>
      <c r="N142" s="44">
        <v>1</v>
      </c>
      <c r="O142" s="44">
        <v>0.63639999999999997</v>
      </c>
      <c r="P142" s="44">
        <f t="shared" si="18"/>
        <v>0.57576666666666665</v>
      </c>
      <c r="Q142" s="47">
        <v>0.95</v>
      </c>
      <c r="R142" s="44">
        <f t="shared" si="19"/>
        <v>0.72729999999999995</v>
      </c>
      <c r="S142">
        <v>1</v>
      </c>
      <c r="T142" s="47">
        <f t="shared" si="20"/>
        <v>1</v>
      </c>
      <c r="U142" s="47">
        <f t="shared" si="21"/>
        <v>0</v>
      </c>
      <c r="V142" s="44">
        <f>+R142</f>
        <v>0.72729999999999995</v>
      </c>
      <c r="W142" t="s">
        <v>348</v>
      </c>
    </row>
    <row r="143" spans="1:23" ht="16.5" x14ac:dyDescent="0.3">
      <c r="A143" s="14" t="s">
        <v>203</v>
      </c>
      <c r="B143" s="15" t="s">
        <v>83</v>
      </c>
      <c r="C143" s="24">
        <f>+VLOOKUP(B143,'INDICADORES CAPTURA'!C:N,12,FALSE)</f>
        <v>0.79361818181818211</v>
      </c>
      <c r="D143">
        <v>25</v>
      </c>
      <c r="E143">
        <v>25</v>
      </c>
      <c r="F143" s="16">
        <f t="shared" si="16"/>
        <v>1</v>
      </c>
      <c r="G143">
        <v>95</v>
      </c>
      <c r="H143">
        <v>60</v>
      </c>
      <c r="I143" s="16">
        <f t="shared" si="17"/>
        <v>0.63157894736842102</v>
      </c>
      <c r="J143" s="44">
        <v>0.98650000000000004</v>
      </c>
      <c r="K143" s="44">
        <v>0.98650000000000004</v>
      </c>
      <c r="L143" s="44">
        <v>2.7E-2</v>
      </c>
      <c r="M143" s="44">
        <v>0.98650000000000004</v>
      </c>
      <c r="N143" s="44">
        <v>0.24</v>
      </c>
      <c r="O143" s="44">
        <v>0.98650000000000004</v>
      </c>
      <c r="P143" s="44">
        <f t="shared" si="18"/>
        <v>0.41783333333333333</v>
      </c>
      <c r="Q143" s="47">
        <v>0.95</v>
      </c>
      <c r="R143" s="44">
        <f t="shared" si="19"/>
        <v>0.98650000000000004</v>
      </c>
      <c r="S143">
        <v>0</v>
      </c>
      <c r="T143" s="47">
        <f t="shared" si="20"/>
        <v>0</v>
      </c>
      <c r="U143" s="47">
        <f t="shared" si="21"/>
        <v>1</v>
      </c>
      <c r="V143" s="44">
        <f t="shared" si="22"/>
        <v>0.99324999999999997</v>
      </c>
      <c r="W143" t="s">
        <v>348</v>
      </c>
    </row>
    <row r="144" spans="1:23" ht="16.5" x14ac:dyDescent="0.3">
      <c r="A144" s="14" t="s">
        <v>205</v>
      </c>
      <c r="B144" s="15" t="s">
        <v>102</v>
      </c>
      <c r="C144" s="24">
        <f>+VLOOKUP(B144,'INDICADORES CAPTURA'!C:N,12,FALSE)</f>
        <v>0.80227272727272725</v>
      </c>
      <c r="D144">
        <v>20</v>
      </c>
      <c r="E144">
        <v>18</v>
      </c>
      <c r="F144" s="16">
        <f t="shared" si="16"/>
        <v>0.9</v>
      </c>
      <c r="G144">
        <v>150</v>
      </c>
      <c r="H144">
        <v>115</v>
      </c>
      <c r="I144" s="16">
        <f t="shared" si="17"/>
        <v>0.76666666666666672</v>
      </c>
      <c r="J144" s="44">
        <v>1</v>
      </c>
      <c r="K144" s="44">
        <v>1</v>
      </c>
      <c r="L144" s="44">
        <v>0.3</v>
      </c>
      <c r="M144" s="44">
        <v>1</v>
      </c>
      <c r="N144" s="44">
        <v>0.84750000000000003</v>
      </c>
      <c r="O144" s="44">
        <v>1</v>
      </c>
      <c r="P144" s="44">
        <f t="shared" si="18"/>
        <v>0.71583333333333332</v>
      </c>
      <c r="Q144" s="47">
        <v>0.95</v>
      </c>
      <c r="R144" s="44">
        <f t="shared" si="19"/>
        <v>1</v>
      </c>
      <c r="S144">
        <v>10</v>
      </c>
      <c r="T144" s="47">
        <f t="shared" si="20"/>
        <v>0.5</v>
      </c>
      <c r="U144" s="47">
        <f t="shared" si="21"/>
        <v>0</v>
      </c>
      <c r="V144" s="44">
        <f t="shared" si="22"/>
        <v>0.5</v>
      </c>
      <c r="W144" t="s">
        <v>348</v>
      </c>
    </row>
    <row r="145" spans="1:23" ht="16.5" x14ac:dyDescent="0.3">
      <c r="A145" s="14" t="s">
        <v>307</v>
      </c>
      <c r="B145" s="15" t="s">
        <v>88</v>
      </c>
      <c r="C145" s="24">
        <f>+VLOOKUP(B145,'INDICADORES CAPTURA'!C:N,12,FALSE)</f>
        <v>0.78275454545454548</v>
      </c>
      <c r="D145">
        <v>8</v>
      </c>
      <c r="E145">
        <v>7</v>
      </c>
      <c r="F145" s="16">
        <f t="shared" si="16"/>
        <v>0.875</v>
      </c>
      <c r="G145">
        <v>86</v>
      </c>
      <c r="H145">
        <v>69</v>
      </c>
      <c r="I145" s="16">
        <f t="shared" si="17"/>
        <v>0.80232558139534882</v>
      </c>
      <c r="J145" s="44">
        <v>1</v>
      </c>
      <c r="K145" s="44">
        <v>1</v>
      </c>
      <c r="L145" s="44">
        <v>0.1169</v>
      </c>
      <c r="M145" s="44">
        <v>1</v>
      </c>
      <c r="N145" s="44">
        <v>0.1</v>
      </c>
      <c r="O145" s="44">
        <v>1</v>
      </c>
      <c r="P145" s="44">
        <f t="shared" si="18"/>
        <v>0.40563333333333335</v>
      </c>
      <c r="Q145" s="47">
        <v>0.95</v>
      </c>
      <c r="R145" s="44">
        <f t="shared" si="19"/>
        <v>1</v>
      </c>
      <c r="S145">
        <v>0</v>
      </c>
      <c r="T145" s="47">
        <f t="shared" si="20"/>
        <v>0</v>
      </c>
      <c r="U145" s="47">
        <f t="shared" si="21"/>
        <v>1</v>
      </c>
      <c r="V145" s="44">
        <f t="shared" si="22"/>
        <v>1</v>
      </c>
      <c r="W145" t="s">
        <v>348</v>
      </c>
    </row>
    <row r="146" spans="1:23" ht="16.5" x14ac:dyDescent="0.3">
      <c r="A146" s="14" t="s">
        <v>308</v>
      </c>
      <c r="B146" s="15" t="s">
        <v>16</v>
      </c>
      <c r="C146" s="24">
        <f>+VLOOKUP(B146,'INDICADORES CAPTURA'!C:N,12,FALSE)</f>
        <v>0.4869</v>
      </c>
      <c r="D146">
        <v>3</v>
      </c>
      <c r="E146">
        <v>3</v>
      </c>
      <c r="F146" s="16">
        <f t="shared" si="16"/>
        <v>1</v>
      </c>
      <c r="G146">
        <v>61</v>
      </c>
      <c r="H146">
        <v>53</v>
      </c>
      <c r="I146" s="16">
        <f t="shared" si="17"/>
        <v>0.86885245901639341</v>
      </c>
      <c r="J146" s="44">
        <v>0.77969999999999995</v>
      </c>
      <c r="K146" s="44">
        <v>1</v>
      </c>
      <c r="L146" s="44">
        <v>3.39E-2</v>
      </c>
      <c r="M146" s="44">
        <v>0.42370000000000002</v>
      </c>
      <c r="N146" s="44">
        <v>0.44440000000000002</v>
      </c>
      <c r="O146" s="44">
        <v>8.4699999999999998E-2</v>
      </c>
      <c r="P146" s="44">
        <f t="shared" si="18"/>
        <v>0.30066666666666669</v>
      </c>
      <c r="Q146" s="47">
        <v>0.95</v>
      </c>
      <c r="R146" s="44">
        <f t="shared" si="19"/>
        <v>0.77969999999999995</v>
      </c>
      <c r="S146">
        <v>2</v>
      </c>
      <c r="T146" s="47">
        <f t="shared" si="20"/>
        <v>0.66666666666666663</v>
      </c>
      <c r="U146" s="47">
        <f t="shared" si="21"/>
        <v>0</v>
      </c>
      <c r="V146" s="44">
        <f t="shared" si="22"/>
        <v>0.38984999999999997</v>
      </c>
      <c r="W146" t="s">
        <v>348</v>
      </c>
    </row>
    <row r="147" spans="1:23" ht="16.5" x14ac:dyDescent="0.3">
      <c r="A147" s="14" t="s">
        <v>311</v>
      </c>
      <c r="B147" s="15" t="s">
        <v>114</v>
      </c>
      <c r="C147" s="24">
        <f>+VLOOKUP(B147,'INDICADORES CAPTURA'!C:N,12,FALSE)</f>
        <v>0.77181818181818196</v>
      </c>
      <c r="D147">
        <v>7</v>
      </c>
      <c r="E147">
        <v>7</v>
      </c>
      <c r="F147" s="16">
        <f t="shared" si="16"/>
        <v>1</v>
      </c>
      <c r="G147">
        <v>67</v>
      </c>
      <c r="H147">
        <v>45</v>
      </c>
      <c r="I147" s="16">
        <f t="shared" si="17"/>
        <v>0.67164179104477617</v>
      </c>
      <c r="J147" s="44">
        <v>1</v>
      </c>
      <c r="K147" s="44">
        <v>0.95920000000000005</v>
      </c>
      <c r="L147" s="44">
        <v>0</v>
      </c>
      <c r="M147" s="44">
        <v>0.97960000000000003</v>
      </c>
      <c r="N147" s="44">
        <v>0.25929999999999997</v>
      </c>
      <c r="O147" s="44">
        <v>0.95920000000000005</v>
      </c>
      <c r="P147" s="44">
        <f t="shared" si="18"/>
        <v>0.4129666666666667</v>
      </c>
      <c r="Q147" s="47">
        <v>0.95</v>
      </c>
      <c r="R147" s="44">
        <f t="shared" si="19"/>
        <v>1</v>
      </c>
      <c r="S147">
        <v>3</v>
      </c>
      <c r="T147" s="47">
        <f t="shared" si="20"/>
        <v>0.42857142857142855</v>
      </c>
      <c r="U147" s="47">
        <f t="shared" si="21"/>
        <v>0</v>
      </c>
      <c r="V147" s="44">
        <f t="shared" ref="V147:V150" si="24">+R147</f>
        <v>1</v>
      </c>
      <c r="W147" t="s">
        <v>348</v>
      </c>
    </row>
    <row r="148" spans="1:23" ht="16.5" x14ac:dyDescent="0.3">
      <c r="A148" s="14" t="s">
        <v>309</v>
      </c>
      <c r="B148" s="15" t="s">
        <v>52</v>
      </c>
      <c r="C148" s="24">
        <f>+VLOOKUP(B148,'INDICADORES CAPTURA'!C:N,12,FALSE)</f>
        <v>0.3695</v>
      </c>
      <c r="D148">
        <v>5</v>
      </c>
      <c r="E148">
        <v>5</v>
      </c>
      <c r="F148" s="16">
        <f t="shared" si="16"/>
        <v>1</v>
      </c>
      <c r="G148">
        <v>65</v>
      </c>
      <c r="H148">
        <v>60</v>
      </c>
      <c r="I148" s="16">
        <f t="shared" si="17"/>
        <v>0.92307692307692313</v>
      </c>
      <c r="J148" s="44">
        <v>0.9839</v>
      </c>
      <c r="K148" s="44">
        <v>1</v>
      </c>
      <c r="L148" s="44">
        <v>0</v>
      </c>
      <c r="M148" s="44">
        <v>3.2300000000000002E-2</v>
      </c>
      <c r="N148" s="44">
        <v>0.28129999999999999</v>
      </c>
      <c r="O148" s="44">
        <v>1.61E-2</v>
      </c>
      <c r="P148" s="44">
        <f t="shared" si="18"/>
        <v>0.10453333333333333</v>
      </c>
      <c r="Q148" s="47">
        <v>0.95</v>
      </c>
      <c r="R148" s="44">
        <f t="shared" si="19"/>
        <v>0.9839</v>
      </c>
      <c r="S148">
        <v>3</v>
      </c>
      <c r="T148" s="47">
        <f t="shared" si="20"/>
        <v>0.6</v>
      </c>
      <c r="U148" s="47">
        <f t="shared" si="21"/>
        <v>0</v>
      </c>
      <c r="V148" s="44">
        <f t="shared" si="24"/>
        <v>0.9839</v>
      </c>
      <c r="W148" t="s">
        <v>348</v>
      </c>
    </row>
    <row r="149" spans="1:23" ht="16.5" x14ac:dyDescent="0.3">
      <c r="A149" s="14" t="s">
        <v>310</v>
      </c>
      <c r="B149" s="15" t="s">
        <v>189</v>
      </c>
      <c r="C149" s="24">
        <f>+VLOOKUP(B149,'INDICADORES CAPTURA'!C:N,12,FALSE)</f>
        <v>0.75151818181818186</v>
      </c>
      <c r="D149">
        <v>6</v>
      </c>
      <c r="E149">
        <v>6</v>
      </c>
      <c r="F149" s="16">
        <f t="shared" si="16"/>
        <v>1</v>
      </c>
      <c r="G149">
        <v>44</v>
      </c>
      <c r="H149">
        <v>29</v>
      </c>
      <c r="I149" s="16">
        <f t="shared" si="17"/>
        <v>0.65909090909090906</v>
      </c>
      <c r="J149" s="44">
        <v>1</v>
      </c>
      <c r="K149" s="44">
        <v>1</v>
      </c>
      <c r="L149" s="44">
        <v>0</v>
      </c>
      <c r="M149" s="44">
        <v>1</v>
      </c>
      <c r="N149" s="44">
        <v>0.375</v>
      </c>
      <c r="O149" s="44">
        <v>1</v>
      </c>
      <c r="P149" s="44">
        <f t="shared" si="18"/>
        <v>0.45833333333333331</v>
      </c>
      <c r="Q149" s="47">
        <v>0.95</v>
      </c>
      <c r="R149" s="44">
        <f t="shared" si="19"/>
        <v>1</v>
      </c>
      <c r="S149">
        <v>4</v>
      </c>
      <c r="T149" s="47">
        <f t="shared" si="20"/>
        <v>0.66666666666666663</v>
      </c>
      <c r="U149" s="47">
        <f t="shared" si="21"/>
        <v>0</v>
      </c>
      <c r="V149" s="44">
        <f t="shared" si="24"/>
        <v>1</v>
      </c>
      <c r="W149" t="s">
        <v>348</v>
      </c>
    </row>
    <row r="150" spans="1:23" ht="16.5" x14ac:dyDescent="0.3">
      <c r="A150" s="14" t="s">
        <v>311</v>
      </c>
      <c r="B150" s="15" t="s">
        <v>120</v>
      </c>
      <c r="C150" s="24">
        <f>+VLOOKUP(B150,'INDICADORES CAPTURA'!C:N,12,FALSE)</f>
        <v>0.76107272727272735</v>
      </c>
      <c r="D150">
        <v>9</v>
      </c>
      <c r="E150">
        <v>8</v>
      </c>
      <c r="F150" s="16">
        <f t="shared" si="16"/>
        <v>0.88888888888888884</v>
      </c>
      <c r="G150">
        <v>57</v>
      </c>
      <c r="H150">
        <v>43</v>
      </c>
      <c r="I150" s="16">
        <f t="shared" si="17"/>
        <v>0.75438596491228072</v>
      </c>
      <c r="J150" s="44">
        <v>0.97670000000000001</v>
      </c>
      <c r="K150" s="44">
        <v>0.97670000000000001</v>
      </c>
      <c r="L150" s="44">
        <v>0</v>
      </c>
      <c r="M150" s="44">
        <v>0.97670000000000001</v>
      </c>
      <c r="N150" s="44">
        <v>0.59089999999999998</v>
      </c>
      <c r="O150" s="44">
        <v>0.97670000000000001</v>
      </c>
      <c r="P150" s="44">
        <f t="shared" si="18"/>
        <v>0.52253333333333341</v>
      </c>
      <c r="Q150" s="47">
        <v>0.95</v>
      </c>
      <c r="R150" s="44">
        <f t="shared" si="19"/>
        <v>0.97670000000000001</v>
      </c>
      <c r="S150">
        <v>5</v>
      </c>
      <c r="T150" s="47">
        <f t="shared" si="20"/>
        <v>0.55555555555555558</v>
      </c>
      <c r="U150" s="47">
        <f t="shared" si="21"/>
        <v>0</v>
      </c>
      <c r="V150" s="44">
        <f t="shared" si="24"/>
        <v>0.97670000000000001</v>
      </c>
      <c r="W150" t="s">
        <v>348</v>
      </c>
    </row>
    <row r="151" spans="1:23" ht="16.5" x14ac:dyDescent="0.3">
      <c r="A151" s="14" t="s">
        <v>309</v>
      </c>
      <c r="B151" s="15" t="s">
        <v>45</v>
      </c>
      <c r="C151" s="24">
        <f>+VLOOKUP(B151,'INDICADORES CAPTURA'!C:N,12,FALSE)</f>
        <v>0.37843636363636352</v>
      </c>
      <c r="D151">
        <v>12</v>
      </c>
      <c r="E151">
        <v>12</v>
      </c>
      <c r="F151" s="16">
        <f t="shared" si="16"/>
        <v>1</v>
      </c>
      <c r="G151">
        <v>93</v>
      </c>
      <c r="H151">
        <v>84</v>
      </c>
      <c r="I151" s="16">
        <f t="shared" si="17"/>
        <v>0.90322580645161288</v>
      </c>
      <c r="J151" s="44">
        <v>0.98839999999999995</v>
      </c>
      <c r="K151" s="44">
        <v>0.98839999999999995</v>
      </c>
      <c r="L151" s="44">
        <v>1.1599999999999999E-2</v>
      </c>
      <c r="M151" s="44">
        <v>0.1512</v>
      </c>
      <c r="N151" s="44">
        <v>0</v>
      </c>
      <c r="O151" s="44">
        <v>5.8099999999999999E-2</v>
      </c>
      <c r="P151" s="44">
        <f t="shared" si="18"/>
        <v>5.4266666666666664E-2</v>
      </c>
      <c r="Q151" s="47">
        <v>0.95</v>
      </c>
      <c r="R151" s="44">
        <f t="shared" si="19"/>
        <v>0.98839999999999995</v>
      </c>
      <c r="S151">
        <v>4</v>
      </c>
      <c r="T151" s="47">
        <f t="shared" si="20"/>
        <v>0.33333333333333331</v>
      </c>
      <c r="U151" s="47">
        <f t="shared" si="21"/>
        <v>0</v>
      </c>
      <c r="V151" s="44">
        <f t="shared" si="22"/>
        <v>0.49419999999999997</v>
      </c>
      <c r="W151" t="s">
        <v>348</v>
      </c>
    </row>
    <row r="152" spans="1:23" ht="16.5" x14ac:dyDescent="0.3">
      <c r="A152" s="14" t="s">
        <v>208</v>
      </c>
      <c r="B152" s="15" t="s">
        <v>154</v>
      </c>
      <c r="C152" s="24">
        <f>+VLOOKUP(B152,'INDICADORES CAPTURA'!C:N,12,FALSE)</f>
        <v>0.81150000000000011</v>
      </c>
      <c r="D152">
        <v>11</v>
      </c>
      <c r="E152">
        <v>11</v>
      </c>
      <c r="F152" s="16">
        <f t="shared" si="16"/>
        <v>1</v>
      </c>
      <c r="G152">
        <v>98</v>
      </c>
      <c r="H152">
        <v>52</v>
      </c>
      <c r="I152" s="16">
        <f t="shared" si="17"/>
        <v>0.53061224489795922</v>
      </c>
      <c r="J152" s="44">
        <v>1</v>
      </c>
      <c r="K152" s="44">
        <v>1</v>
      </c>
      <c r="L152" s="44">
        <v>0.26469999999999999</v>
      </c>
      <c r="M152" s="44">
        <v>1</v>
      </c>
      <c r="N152" s="44">
        <v>1</v>
      </c>
      <c r="O152" s="44">
        <v>1</v>
      </c>
      <c r="P152" s="44">
        <f t="shared" si="18"/>
        <v>0.75490000000000002</v>
      </c>
      <c r="Q152" s="47">
        <v>0.95</v>
      </c>
      <c r="R152" s="44">
        <f t="shared" si="19"/>
        <v>1</v>
      </c>
      <c r="S152">
        <v>1</v>
      </c>
      <c r="T152" s="47">
        <f t="shared" si="20"/>
        <v>9.0909090909090912E-2</v>
      </c>
      <c r="U152" s="47">
        <f t="shared" si="21"/>
        <v>0</v>
      </c>
      <c r="V152" s="44">
        <f t="shared" si="22"/>
        <v>0.5</v>
      </c>
      <c r="W152" t="s">
        <v>348</v>
      </c>
    </row>
    <row r="153" spans="1:23" ht="16.5" x14ac:dyDescent="0.3">
      <c r="A153" s="14" t="s">
        <v>301</v>
      </c>
      <c r="B153" s="15" t="s">
        <v>182</v>
      </c>
      <c r="C153" s="24">
        <f>+VLOOKUP(B153,'INDICADORES CAPTURA'!C:N,12,FALSE)</f>
        <v>0.80380909090909103</v>
      </c>
      <c r="D153">
        <v>21</v>
      </c>
      <c r="E153">
        <v>18</v>
      </c>
      <c r="F153" s="16">
        <f t="shared" si="16"/>
        <v>0.8571428571428571</v>
      </c>
      <c r="G153">
        <v>142</v>
      </c>
      <c r="H153">
        <v>103</v>
      </c>
      <c r="I153" s="16">
        <f t="shared" si="17"/>
        <v>0.72535211267605637</v>
      </c>
      <c r="J153" s="44">
        <v>0.99170000000000003</v>
      </c>
      <c r="K153" s="44">
        <v>0.99170000000000003</v>
      </c>
      <c r="L153" s="44">
        <v>0.1583</v>
      </c>
      <c r="M153" s="44">
        <v>0.99170000000000003</v>
      </c>
      <c r="N153" s="44">
        <v>0.49280000000000002</v>
      </c>
      <c r="O153" s="44">
        <v>0.99170000000000003</v>
      </c>
      <c r="P153" s="44">
        <f t="shared" si="18"/>
        <v>0.54759999999999998</v>
      </c>
      <c r="Q153" s="47">
        <v>0.95</v>
      </c>
      <c r="R153" s="44">
        <f t="shared" si="19"/>
        <v>0.99170000000000003</v>
      </c>
      <c r="S153">
        <v>8</v>
      </c>
      <c r="T153" s="47">
        <f t="shared" si="20"/>
        <v>0.38095238095238093</v>
      </c>
      <c r="U153" s="47">
        <f t="shared" si="21"/>
        <v>0</v>
      </c>
      <c r="V153" s="44">
        <f t="shared" si="22"/>
        <v>0.49585000000000001</v>
      </c>
      <c r="W153" t="s">
        <v>348</v>
      </c>
    </row>
    <row r="154" spans="1:23" ht="16.5" x14ac:dyDescent="0.3">
      <c r="A154" s="14" t="s">
        <v>205</v>
      </c>
      <c r="B154" s="15" t="s">
        <v>105</v>
      </c>
      <c r="C154" s="24">
        <f>+VLOOKUP(B154,'INDICADORES CAPTURA'!C:N,12,FALSE)</f>
        <v>0.78260909090909081</v>
      </c>
      <c r="D154">
        <v>17</v>
      </c>
      <c r="E154">
        <v>15</v>
      </c>
      <c r="F154" s="16">
        <f t="shared" si="16"/>
        <v>0.88235294117647056</v>
      </c>
      <c r="G154">
        <v>89</v>
      </c>
      <c r="H154">
        <v>60</v>
      </c>
      <c r="I154" s="16">
        <f t="shared" si="17"/>
        <v>0.6741573033707865</v>
      </c>
      <c r="J154" s="44">
        <v>1</v>
      </c>
      <c r="K154" s="44">
        <v>1</v>
      </c>
      <c r="L154" s="44">
        <v>2.9000000000000001E-2</v>
      </c>
      <c r="M154" s="44">
        <v>1</v>
      </c>
      <c r="N154" s="44">
        <v>0.52</v>
      </c>
      <c r="O154" s="44">
        <v>1</v>
      </c>
      <c r="P154" s="44">
        <f t="shared" si="18"/>
        <v>0.51633333333333331</v>
      </c>
      <c r="Q154" s="47">
        <v>0.95</v>
      </c>
      <c r="R154" s="44">
        <f t="shared" si="19"/>
        <v>1</v>
      </c>
      <c r="S154">
        <v>9</v>
      </c>
      <c r="T154" s="47">
        <f t="shared" si="20"/>
        <v>0.52941176470588236</v>
      </c>
      <c r="U154" s="47">
        <f t="shared" si="21"/>
        <v>0</v>
      </c>
      <c r="V154" s="44">
        <f t="shared" si="22"/>
        <v>0.5</v>
      </c>
      <c r="W154" t="s">
        <v>348</v>
      </c>
    </row>
    <row r="155" spans="1:23" ht="16.5" x14ac:dyDescent="0.3">
      <c r="A155" s="14" t="s">
        <v>310</v>
      </c>
      <c r="B155" s="15" t="s">
        <v>20</v>
      </c>
      <c r="C155" s="24">
        <f>+VLOOKUP(B155,'INDICADORES CAPTURA'!C:N,12,FALSE)</f>
        <v>0.27650909090909087</v>
      </c>
      <c r="D155">
        <v>1</v>
      </c>
      <c r="E155">
        <v>1</v>
      </c>
      <c r="F155" s="16">
        <f t="shared" si="16"/>
        <v>1</v>
      </c>
      <c r="G155">
        <v>25</v>
      </c>
      <c r="H155">
        <v>23</v>
      </c>
      <c r="I155" s="16">
        <f t="shared" si="17"/>
        <v>0.92</v>
      </c>
      <c r="J155" s="44">
        <v>0.375</v>
      </c>
      <c r="K155" s="44">
        <v>0.41670000000000001</v>
      </c>
      <c r="L155" s="44">
        <v>0</v>
      </c>
      <c r="M155" s="44">
        <v>0.33329999999999999</v>
      </c>
      <c r="N155" s="44">
        <v>0</v>
      </c>
      <c r="O155" s="44">
        <v>0.33329999999999999</v>
      </c>
      <c r="P155" s="44">
        <f t="shared" si="18"/>
        <v>0.11109999999999999</v>
      </c>
      <c r="Q155" s="47">
        <v>0.95</v>
      </c>
      <c r="R155" s="44">
        <f t="shared" si="19"/>
        <v>0.375</v>
      </c>
      <c r="S155">
        <v>0</v>
      </c>
      <c r="T155" s="47">
        <f t="shared" si="20"/>
        <v>0</v>
      </c>
      <c r="U155" s="47">
        <f t="shared" si="21"/>
        <v>1</v>
      </c>
      <c r="V155" s="44">
        <f>+R155</f>
        <v>0.375</v>
      </c>
      <c r="W155" t="s">
        <v>348</v>
      </c>
    </row>
    <row r="156" spans="1:23" ht="16.5" x14ac:dyDescent="0.3">
      <c r="A156" s="14" t="s">
        <v>310</v>
      </c>
      <c r="B156" s="15" t="s">
        <v>190</v>
      </c>
      <c r="C156" s="24">
        <f>+VLOOKUP(B156,'INDICADORES CAPTURA'!C:N,12,FALSE)</f>
        <v>0.75196363636363628</v>
      </c>
      <c r="D156">
        <v>13</v>
      </c>
      <c r="E156">
        <v>11</v>
      </c>
      <c r="F156" s="16">
        <f t="shared" si="16"/>
        <v>0.84615384615384615</v>
      </c>
      <c r="G156">
        <v>101</v>
      </c>
      <c r="H156">
        <v>79</v>
      </c>
      <c r="I156" s="16">
        <f t="shared" si="17"/>
        <v>0.78217821782178221</v>
      </c>
      <c r="J156" s="44">
        <v>1</v>
      </c>
      <c r="K156" s="44">
        <v>1</v>
      </c>
      <c r="L156" s="44">
        <v>1.23E-2</v>
      </c>
      <c r="M156" s="44">
        <v>1</v>
      </c>
      <c r="N156" s="44">
        <v>0</v>
      </c>
      <c r="O156" s="44">
        <v>1</v>
      </c>
      <c r="P156" s="44">
        <f t="shared" si="18"/>
        <v>0.33743333333333331</v>
      </c>
      <c r="Q156" s="47">
        <v>0.95</v>
      </c>
      <c r="R156" s="44">
        <f t="shared" si="19"/>
        <v>1</v>
      </c>
      <c r="S156">
        <v>7</v>
      </c>
      <c r="T156" s="47">
        <f t="shared" si="20"/>
        <v>0.53846153846153844</v>
      </c>
      <c r="U156" s="47">
        <f t="shared" si="21"/>
        <v>0</v>
      </c>
      <c r="V156" s="44">
        <f t="shared" si="22"/>
        <v>0.5</v>
      </c>
      <c r="W156" t="s">
        <v>348</v>
      </c>
    </row>
    <row r="157" spans="1:23" ht="16.5" x14ac:dyDescent="0.3">
      <c r="A157" s="14" t="s">
        <v>208</v>
      </c>
      <c r="B157" s="15" t="s">
        <v>146</v>
      </c>
      <c r="C157" s="24">
        <f>+VLOOKUP(B157,'INDICADORES CAPTURA'!C:N,12,FALSE)</f>
        <v>0.76564545454545463</v>
      </c>
      <c r="D157">
        <v>13</v>
      </c>
      <c r="E157">
        <v>13</v>
      </c>
      <c r="F157" s="16">
        <f t="shared" si="16"/>
        <v>1</v>
      </c>
      <c r="G157">
        <v>102</v>
      </c>
      <c r="H157">
        <v>61</v>
      </c>
      <c r="I157" s="16">
        <f t="shared" si="17"/>
        <v>0.59803921568627449</v>
      </c>
      <c r="J157" s="44">
        <v>0.98440000000000005</v>
      </c>
      <c r="K157" s="44">
        <v>0.98440000000000005</v>
      </c>
      <c r="L157" s="44">
        <v>0</v>
      </c>
      <c r="M157" s="44">
        <v>0.98440000000000005</v>
      </c>
      <c r="N157" s="44">
        <v>0.23080000000000001</v>
      </c>
      <c r="O157" s="44">
        <v>0.98440000000000005</v>
      </c>
      <c r="P157" s="44">
        <f t="shared" si="18"/>
        <v>0.40506666666666669</v>
      </c>
      <c r="Q157" s="47">
        <v>0.95</v>
      </c>
      <c r="R157" s="44">
        <f t="shared" si="19"/>
        <v>0.98440000000000005</v>
      </c>
      <c r="S157">
        <v>1</v>
      </c>
      <c r="T157" s="47">
        <f t="shared" si="20"/>
        <v>7.6923076923076927E-2</v>
      </c>
      <c r="U157" s="47">
        <f t="shared" si="21"/>
        <v>0</v>
      </c>
      <c r="V157" s="44">
        <f>+R157</f>
        <v>0.98440000000000005</v>
      </c>
      <c r="W157" t="s">
        <v>348</v>
      </c>
    </row>
    <row r="158" spans="1:23" ht="16.5" x14ac:dyDescent="0.3">
      <c r="A158" s="14" t="s">
        <v>301</v>
      </c>
      <c r="B158" s="15" t="s">
        <v>179</v>
      </c>
      <c r="C158" s="24">
        <f>+VLOOKUP(B158,'INDICADORES CAPTURA'!C:N,12,FALSE)</f>
        <v>0.8062454545454546</v>
      </c>
      <c r="D158">
        <v>7</v>
      </c>
      <c r="E158">
        <v>6</v>
      </c>
      <c r="F158" s="16">
        <f t="shared" si="16"/>
        <v>0.8571428571428571</v>
      </c>
      <c r="G158">
        <v>82</v>
      </c>
      <c r="H158">
        <v>59</v>
      </c>
      <c r="I158" s="16">
        <f t="shared" si="17"/>
        <v>0.71951219512195119</v>
      </c>
      <c r="J158" s="44">
        <v>0.98360000000000003</v>
      </c>
      <c r="K158" s="44">
        <v>0.96719999999999995</v>
      </c>
      <c r="L158" s="44">
        <v>0.54100000000000004</v>
      </c>
      <c r="M158" s="44">
        <v>0.98360000000000003</v>
      </c>
      <c r="N158" s="44">
        <v>0.66669999999999996</v>
      </c>
      <c r="O158" s="44">
        <v>0.96719999999999995</v>
      </c>
      <c r="P158" s="44">
        <f t="shared" si="18"/>
        <v>0.73043333333333338</v>
      </c>
      <c r="Q158" s="47">
        <v>0.95</v>
      </c>
      <c r="R158" s="44">
        <f t="shared" si="19"/>
        <v>0.98360000000000003</v>
      </c>
      <c r="S158">
        <v>3</v>
      </c>
      <c r="T158" s="47">
        <f t="shared" si="20"/>
        <v>0.42857142857142855</v>
      </c>
      <c r="U158" s="47">
        <f t="shared" si="21"/>
        <v>0</v>
      </c>
      <c r="V158" s="44">
        <f t="shared" si="22"/>
        <v>0.49180000000000001</v>
      </c>
      <c r="W158" t="s">
        <v>348</v>
      </c>
    </row>
    <row r="159" spans="1:23" ht="16.5" x14ac:dyDescent="0.3">
      <c r="A159" s="14" t="s">
        <v>307</v>
      </c>
      <c r="B159" s="15" t="s">
        <v>90</v>
      </c>
      <c r="C159" s="24">
        <f>+VLOOKUP(B159,'INDICADORES CAPTURA'!C:N,12,FALSE)</f>
        <v>0.74503636363636361</v>
      </c>
      <c r="D159">
        <v>17</v>
      </c>
      <c r="E159">
        <v>16</v>
      </c>
      <c r="F159" s="16">
        <f t="shared" si="16"/>
        <v>0.94117647058823528</v>
      </c>
      <c r="G159">
        <v>128</v>
      </c>
      <c r="H159">
        <v>82</v>
      </c>
      <c r="I159" s="16">
        <f t="shared" si="17"/>
        <v>0.640625</v>
      </c>
      <c r="J159" s="44">
        <v>1</v>
      </c>
      <c r="K159" s="44">
        <v>1</v>
      </c>
      <c r="L159" s="44">
        <v>0</v>
      </c>
      <c r="M159" s="44">
        <v>1</v>
      </c>
      <c r="N159" s="44">
        <v>0</v>
      </c>
      <c r="O159" s="44">
        <v>1</v>
      </c>
      <c r="P159" s="44">
        <f t="shared" si="18"/>
        <v>0.33333333333333331</v>
      </c>
      <c r="Q159" s="47">
        <v>0.95</v>
      </c>
      <c r="R159" s="44">
        <f t="shared" si="19"/>
        <v>1</v>
      </c>
      <c r="S159">
        <v>0</v>
      </c>
      <c r="T159" s="47">
        <f t="shared" si="20"/>
        <v>0</v>
      </c>
      <c r="U159" s="47">
        <f t="shared" si="21"/>
        <v>1</v>
      </c>
      <c r="V159" s="44">
        <f>+R159</f>
        <v>1</v>
      </c>
      <c r="W159" t="s">
        <v>348</v>
      </c>
    </row>
    <row r="160" spans="1:23" ht="16.5" x14ac:dyDescent="0.3">
      <c r="A160" s="14" t="s">
        <v>310</v>
      </c>
      <c r="B160" s="15" t="s">
        <v>198</v>
      </c>
      <c r="C160" s="24">
        <f>+VLOOKUP(B160,'INDICADORES CAPTURA'!C:N,12,FALSE)</f>
        <v>0.78000000000000014</v>
      </c>
      <c r="D160">
        <v>11</v>
      </c>
      <c r="E160">
        <v>11</v>
      </c>
      <c r="F160" s="16">
        <f t="shared" si="16"/>
        <v>1</v>
      </c>
      <c r="G160">
        <v>87</v>
      </c>
      <c r="H160">
        <v>48</v>
      </c>
      <c r="I160" s="16">
        <f t="shared" si="17"/>
        <v>0.55172413793103448</v>
      </c>
      <c r="J160" s="44">
        <v>0.98</v>
      </c>
      <c r="K160" s="44">
        <v>0.98</v>
      </c>
      <c r="L160" s="44">
        <v>0.16</v>
      </c>
      <c r="M160" s="44">
        <v>0.98</v>
      </c>
      <c r="N160" s="44">
        <v>0.32</v>
      </c>
      <c r="O160" s="44">
        <v>0.98</v>
      </c>
      <c r="P160" s="44">
        <f t="shared" si="18"/>
        <v>0.48666666666666664</v>
      </c>
      <c r="Q160" s="47">
        <v>0.95</v>
      </c>
      <c r="R160" s="44">
        <f t="shared" si="19"/>
        <v>0.98</v>
      </c>
      <c r="S160">
        <v>6</v>
      </c>
      <c r="T160" s="47">
        <f t="shared" si="20"/>
        <v>0.54545454545454541</v>
      </c>
      <c r="U160" s="47">
        <f t="shared" si="21"/>
        <v>0</v>
      </c>
      <c r="V160" s="44">
        <f t="shared" si="22"/>
        <v>0.49</v>
      </c>
      <c r="W160" t="s">
        <v>348</v>
      </c>
    </row>
    <row r="161" spans="1:23" ht="16.5" x14ac:dyDescent="0.3">
      <c r="A161" s="14" t="s">
        <v>209</v>
      </c>
      <c r="B161" s="15" t="s">
        <v>166</v>
      </c>
      <c r="C161" s="24">
        <f>+VLOOKUP(B161,'INDICADORES CAPTURA'!C:N,12,FALSE)</f>
        <v>0.800009090909091</v>
      </c>
      <c r="D161">
        <v>12</v>
      </c>
      <c r="E161">
        <v>12</v>
      </c>
      <c r="F161" s="16">
        <f t="shared" si="16"/>
        <v>1</v>
      </c>
      <c r="G161">
        <v>87</v>
      </c>
      <c r="H161">
        <v>45</v>
      </c>
      <c r="I161" s="16">
        <f t="shared" si="17"/>
        <v>0.51724137931034486</v>
      </c>
      <c r="J161" s="44">
        <v>1</v>
      </c>
      <c r="K161" s="44">
        <v>1</v>
      </c>
      <c r="L161" s="44">
        <v>0</v>
      </c>
      <c r="M161" s="44">
        <v>1</v>
      </c>
      <c r="N161" s="44">
        <v>0.27660000000000001</v>
      </c>
      <c r="O161" s="44">
        <v>1</v>
      </c>
      <c r="P161" s="44">
        <f t="shared" si="18"/>
        <v>0.42553333333333332</v>
      </c>
      <c r="Q161" s="47">
        <v>0.95</v>
      </c>
      <c r="R161" s="44">
        <f t="shared" si="19"/>
        <v>1</v>
      </c>
      <c r="S161">
        <v>5</v>
      </c>
      <c r="T161" s="47">
        <f t="shared" si="20"/>
        <v>0.41666666666666669</v>
      </c>
      <c r="U161" s="47">
        <f t="shared" si="21"/>
        <v>0</v>
      </c>
      <c r="V161" s="44">
        <f t="shared" ref="V161:V162" si="25">+R161</f>
        <v>1</v>
      </c>
      <c r="W161" t="s">
        <v>348</v>
      </c>
    </row>
    <row r="162" spans="1:23" ht="16.5" x14ac:dyDescent="0.3">
      <c r="A162" s="14" t="s">
        <v>311</v>
      </c>
      <c r="B162" s="15" t="s">
        <v>117</v>
      </c>
      <c r="C162" s="24">
        <f>+VLOOKUP(B162,'INDICADORES CAPTURA'!C:N,12,FALSE)</f>
        <v>0.76329999999999998</v>
      </c>
      <c r="D162">
        <v>15</v>
      </c>
      <c r="E162">
        <v>12</v>
      </c>
      <c r="F162" s="16">
        <f t="shared" si="16"/>
        <v>0.8</v>
      </c>
      <c r="G162">
        <v>77</v>
      </c>
      <c r="H162">
        <v>50</v>
      </c>
      <c r="I162" s="16">
        <f t="shared" si="17"/>
        <v>0.64935064935064934</v>
      </c>
      <c r="J162" s="44">
        <v>1</v>
      </c>
      <c r="K162" s="44">
        <v>1</v>
      </c>
      <c r="L162" s="44">
        <v>0</v>
      </c>
      <c r="M162" s="44">
        <v>1</v>
      </c>
      <c r="N162" s="44">
        <v>0</v>
      </c>
      <c r="O162" s="44">
        <v>1</v>
      </c>
      <c r="P162" s="44">
        <f t="shared" si="18"/>
        <v>0.33333333333333331</v>
      </c>
      <c r="Q162" s="47">
        <v>0.95</v>
      </c>
      <c r="R162" s="44">
        <f t="shared" si="19"/>
        <v>1</v>
      </c>
      <c r="S162">
        <v>11</v>
      </c>
      <c r="T162" s="47">
        <f t="shared" si="20"/>
        <v>0.73333333333333328</v>
      </c>
      <c r="U162" s="47">
        <f t="shared" si="21"/>
        <v>0</v>
      </c>
      <c r="V162" s="44">
        <f t="shared" si="25"/>
        <v>1</v>
      </c>
      <c r="W162" t="s">
        <v>348</v>
      </c>
    </row>
    <row r="163" spans="1:23" ht="16.5" x14ac:dyDescent="0.3">
      <c r="A163" s="14" t="s">
        <v>208</v>
      </c>
      <c r="B163" s="15" t="s">
        <v>153</v>
      </c>
      <c r="C163" s="24">
        <f>+VLOOKUP(B163,'INDICADORES CAPTURA'!C:N,12,FALSE)</f>
        <v>0.77709090909090905</v>
      </c>
      <c r="D163">
        <v>16</v>
      </c>
      <c r="E163">
        <v>15</v>
      </c>
      <c r="F163" s="16">
        <f t="shared" si="16"/>
        <v>0.9375</v>
      </c>
      <c r="G163">
        <v>109</v>
      </c>
      <c r="H163">
        <v>61</v>
      </c>
      <c r="I163" s="16">
        <f t="shared" si="17"/>
        <v>0.55963302752293576</v>
      </c>
      <c r="J163" s="44">
        <v>1</v>
      </c>
      <c r="K163" s="44">
        <v>1</v>
      </c>
      <c r="L163" s="44">
        <v>0.2019</v>
      </c>
      <c r="M163" s="44">
        <v>1</v>
      </c>
      <c r="N163" s="44">
        <v>1</v>
      </c>
      <c r="O163" s="44">
        <v>1</v>
      </c>
      <c r="P163" s="44">
        <f t="shared" si="18"/>
        <v>0.73396666666666677</v>
      </c>
      <c r="Q163" s="47">
        <v>0.95</v>
      </c>
      <c r="R163" s="44">
        <f t="shared" si="19"/>
        <v>1</v>
      </c>
      <c r="S163">
        <v>3</v>
      </c>
      <c r="T163" s="47">
        <f t="shared" si="20"/>
        <v>0.1875</v>
      </c>
      <c r="U163" s="47">
        <f t="shared" si="21"/>
        <v>0</v>
      </c>
      <c r="V163" s="44">
        <f t="shared" si="22"/>
        <v>0.5</v>
      </c>
      <c r="W163" t="s">
        <v>348</v>
      </c>
    </row>
    <row r="164" spans="1:23" ht="16.5" x14ac:dyDescent="0.3">
      <c r="A164" s="14" t="s">
        <v>307</v>
      </c>
      <c r="B164" s="15" t="s">
        <v>99</v>
      </c>
      <c r="C164" s="24">
        <f>+VLOOKUP(B164,'INDICADORES CAPTURA'!C:N,12,FALSE)</f>
        <v>0.79091818181818185</v>
      </c>
      <c r="D164">
        <v>10</v>
      </c>
      <c r="E164">
        <v>9</v>
      </c>
      <c r="F164" s="16">
        <f t="shared" si="16"/>
        <v>0.9</v>
      </c>
      <c r="G164">
        <v>134</v>
      </c>
      <c r="H164">
        <v>79</v>
      </c>
      <c r="I164" s="16">
        <f t="shared" si="17"/>
        <v>0.58955223880597019</v>
      </c>
      <c r="J164" s="44">
        <v>1</v>
      </c>
      <c r="K164" s="44">
        <v>0.9889</v>
      </c>
      <c r="L164" s="44">
        <v>0</v>
      </c>
      <c r="M164" s="44">
        <v>1</v>
      </c>
      <c r="N164" s="44">
        <v>0</v>
      </c>
      <c r="O164" s="44">
        <v>1</v>
      </c>
      <c r="P164" s="44">
        <f t="shared" si="18"/>
        <v>0.33333333333333331</v>
      </c>
      <c r="Q164" s="47">
        <v>0.95</v>
      </c>
      <c r="R164" s="44">
        <f t="shared" si="19"/>
        <v>1</v>
      </c>
      <c r="S164">
        <v>0</v>
      </c>
      <c r="T164" s="47">
        <f t="shared" si="20"/>
        <v>0</v>
      </c>
      <c r="U164" s="47">
        <f t="shared" si="21"/>
        <v>1</v>
      </c>
      <c r="V164" s="44">
        <f>+R164</f>
        <v>1</v>
      </c>
      <c r="W164" t="s">
        <v>348</v>
      </c>
    </row>
    <row r="165" spans="1:23" ht="16.5" x14ac:dyDescent="0.3">
      <c r="A165" s="14" t="s">
        <v>308</v>
      </c>
      <c r="B165" s="15" t="s">
        <v>14</v>
      </c>
      <c r="C165" s="24">
        <f>+VLOOKUP(B165,'INDICADORES CAPTURA'!C:N,12,FALSE)</f>
        <v>0.70937272727272738</v>
      </c>
      <c r="D165">
        <v>23</v>
      </c>
      <c r="E165">
        <v>19</v>
      </c>
      <c r="F165" s="16">
        <f t="shared" si="16"/>
        <v>0.82608695652173914</v>
      </c>
      <c r="G165">
        <v>72</v>
      </c>
      <c r="H165">
        <v>53</v>
      </c>
      <c r="I165" s="16">
        <f t="shared" si="17"/>
        <v>0.73611111111111116</v>
      </c>
      <c r="J165" s="44">
        <v>0.93940000000000001</v>
      </c>
      <c r="K165" s="44">
        <v>0.93940000000000001</v>
      </c>
      <c r="L165" s="44">
        <v>0.1212</v>
      </c>
      <c r="M165" s="44">
        <v>0.93940000000000001</v>
      </c>
      <c r="N165" s="44">
        <v>0</v>
      </c>
      <c r="O165" s="44">
        <v>0.93940000000000001</v>
      </c>
      <c r="P165" s="44">
        <f t="shared" si="18"/>
        <v>0.35353333333333331</v>
      </c>
      <c r="Q165" s="47">
        <v>0.95</v>
      </c>
      <c r="R165" s="44">
        <f t="shared" si="19"/>
        <v>0.93940000000000001</v>
      </c>
      <c r="S165">
        <v>10</v>
      </c>
      <c r="T165" s="47">
        <f t="shared" si="20"/>
        <v>0.43478260869565216</v>
      </c>
      <c r="U165" s="47">
        <f t="shared" si="21"/>
        <v>0</v>
      </c>
      <c r="V165" s="44">
        <f t="shared" si="22"/>
        <v>0.46970000000000001</v>
      </c>
      <c r="W165" t="s">
        <v>348</v>
      </c>
    </row>
    <row r="166" spans="1:23" ht="16.5" x14ac:dyDescent="0.3">
      <c r="A166" s="14" t="s">
        <v>207</v>
      </c>
      <c r="B166" s="15" t="s">
        <v>135</v>
      </c>
      <c r="C166" s="24">
        <f>+VLOOKUP(B166,'INDICADORES CAPTURA'!C:N,12,FALSE)</f>
        <v>0.76290909090909098</v>
      </c>
      <c r="D166">
        <v>9</v>
      </c>
      <c r="E166">
        <v>7</v>
      </c>
      <c r="F166" s="16">
        <f t="shared" si="16"/>
        <v>0.77777777777777779</v>
      </c>
      <c r="G166">
        <v>94</v>
      </c>
      <c r="H166">
        <v>70</v>
      </c>
      <c r="I166" s="16">
        <f t="shared" si="17"/>
        <v>0.74468085106382975</v>
      </c>
      <c r="J166" s="44">
        <v>0.98650000000000004</v>
      </c>
      <c r="K166" s="44">
        <v>0.98650000000000004</v>
      </c>
      <c r="L166" s="44">
        <v>4.0500000000000001E-2</v>
      </c>
      <c r="M166" s="44">
        <v>0.98650000000000004</v>
      </c>
      <c r="N166" s="44">
        <v>0.2414</v>
      </c>
      <c r="O166" s="44">
        <v>0.98650000000000004</v>
      </c>
      <c r="P166" s="44">
        <f t="shared" si="18"/>
        <v>0.42280000000000006</v>
      </c>
      <c r="Q166" s="47">
        <v>0.95</v>
      </c>
      <c r="R166" s="44">
        <f t="shared" si="19"/>
        <v>0.98650000000000004</v>
      </c>
      <c r="S166">
        <v>0</v>
      </c>
      <c r="T166" s="47">
        <f t="shared" si="20"/>
        <v>0</v>
      </c>
      <c r="U166" s="47">
        <f t="shared" si="21"/>
        <v>1</v>
      </c>
      <c r="V166" s="44">
        <f t="shared" si="22"/>
        <v>0.99324999999999997</v>
      </c>
      <c r="W166" t="s">
        <v>348</v>
      </c>
    </row>
    <row r="167" spans="1:23" ht="16.5" x14ac:dyDescent="0.3">
      <c r="A167" s="14" t="s">
        <v>310</v>
      </c>
      <c r="B167" s="15" t="s">
        <v>197</v>
      </c>
      <c r="C167" s="24">
        <f>+VLOOKUP(B167,'INDICADORES CAPTURA'!C:N,12,FALSE)</f>
        <v>0.69778181818181817</v>
      </c>
      <c r="D167">
        <v>11</v>
      </c>
      <c r="E167">
        <v>8</v>
      </c>
      <c r="F167" s="16">
        <f t="shared" si="16"/>
        <v>0.72727272727272729</v>
      </c>
      <c r="G167">
        <v>84</v>
      </c>
      <c r="H167">
        <v>70</v>
      </c>
      <c r="I167" s="16">
        <f t="shared" si="17"/>
        <v>0.83333333333333337</v>
      </c>
      <c r="J167" s="44">
        <v>0.91890000000000005</v>
      </c>
      <c r="K167" s="44">
        <v>0.91890000000000005</v>
      </c>
      <c r="L167" s="44">
        <v>8.1100000000000005E-2</v>
      </c>
      <c r="M167" s="44">
        <v>0.91890000000000005</v>
      </c>
      <c r="N167" s="44">
        <v>0.2903</v>
      </c>
      <c r="O167" s="44">
        <v>0.91890000000000005</v>
      </c>
      <c r="P167" s="44">
        <f t="shared" si="18"/>
        <v>0.43009999999999998</v>
      </c>
      <c r="Q167" s="47">
        <v>0.95</v>
      </c>
      <c r="R167" s="44">
        <f t="shared" si="19"/>
        <v>0.91890000000000005</v>
      </c>
      <c r="S167">
        <v>6</v>
      </c>
      <c r="T167" s="47">
        <f t="shared" si="20"/>
        <v>0.54545454545454541</v>
      </c>
      <c r="U167" s="47">
        <f t="shared" si="21"/>
        <v>0</v>
      </c>
      <c r="V167" s="44">
        <f t="shared" si="22"/>
        <v>0.45945000000000003</v>
      </c>
      <c r="W167" t="s">
        <v>348</v>
      </c>
    </row>
    <row r="168" spans="1:23" ht="16.5" x14ac:dyDescent="0.3">
      <c r="A168" s="14" t="s">
        <v>311</v>
      </c>
      <c r="B168" s="15" t="s">
        <v>121</v>
      </c>
      <c r="C168" s="24">
        <f>+VLOOKUP(B168,'INDICADORES CAPTURA'!C:N,12,FALSE)</f>
        <v>0.81439090909090905</v>
      </c>
      <c r="D168">
        <v>18</v>
      </c>
      <c r="E168">
        <v>15</v>
      </c>
      <c r="F168" s="16">
        <f t="shared" si="16"/>
        <v>0.83333333333333337</v>
      </c>
      <c r="G168">
        <v>92</v>
      </c>
      <c r="H168">
        <v>57</v>
      </c>
      <c r="I168" s="16">
        <f t="shared" si="17"/>
        <v>0.61956521739130432</v>
      </c>
      <c r="J168" s="44">
        <v>1</v>
      </c>
      <c r="K168" s="44">
        <v>1</v>
      </c>
      <c r="L168" s="44">
        <v>2.7799999999999998E-2</v>
      </c>
      <c r="M168" s="44">
        <v>1</v>
      </c>
      <c r="N168" s="44">
        <v>0.21149999999999999</v>
      </c>
      <c r="O168" s="44">
        <v>1</v>
      </c>
      <c r="P168" s="44">
        <f t="shared" si="18"/>
        <v>0.41310000000000002</v>
      </c>
      <c r="Q168" s="47">
        <v>0.95</v>
      </c>
      <c r="R168" s="44">
        <f t="shared" si="19"/>
        <v>1</v>
      </c>
      <c r="S168">
        <v>11</v>
      </c>
      <c r="T168" s="47">
        <f t="shared" si="20"/>
        <v>0.61111111111111116</v>
      </c>
      <c r="U168" s="47">
        <f t="shared" si="21"/>
        <v>0</v>
      </c>
      <c r="V168" s="44">
        <f t="shared" si="22"/>
        <v>0.5</v>
      </c>
      <c r="W168" t="s">
        <v>348</v>
      </c>
    </row>
    <row r="169" spans="1:23" ht="16.5" x14ac:dyDescent="0.3">
      <c r="A169" s="14" t="s">
        <v>307</v>
      </c>
      <c r="B169" s="15" t="s">
        <v>87</v>
      </c>
      <c r="C169" s="24">
        <f>+VLOOKUP(B169,'INDICADORES CAPTURA'!C:N,12,FALSE)</f>
        <v>0.74914545454545456</v>
      </c>
      <c r="D169">
        <v>12</v>
      </c>
      <c r="E169">
        <v>11</v>
      </c>
      <c r="F169" s="16">
        <f t="shared" si="16"/>
        <v>0.91666666666666663</v>
      </c>
      <c r="G169">
        <v>119</v>
      </c>
      <c r="H169">
        <v>71</v>
      </c>
      <c r="I169" s="16">
        <f t="shared" si="17"/>
        <v>0.59663865546218486</v>
      </c>
      <c r="J169" s="44">
        <v>0.96199999999999997</v>
      </c>
      <c r="K169" s="44">
        <v>0.97470000000000001</v>
      </c>
      <c r="L169" s="44">
        <v>0</v>
      </c>
      <c r="M169" s="44">
        <v>0.97470000000000001</v>
      </c>
      <c r="N169" s="44">
        <v>0.20830000000000001</v>
      </c>
      <c r="O169" s="44">
        <v>0.97470000000000001</v>
      </c>
      <c r="P169" s="44">
        <f t="shared" si="18"/>
        <v>0.39433333333333337</v>
      </c>
      <c r="Q169" s="47">
        <v>0.95</v>
      </c>
      <c r="R169" s="44">
        <f t="shared" si="19"/>
        <v>0.96199999999999997</v>
      </c>
      <c r="S169">
        <v>0</v>
      </c>
      <c r="T169" s="47">
        <f t="shared" si="20"/>
        <v>0</v>
      </c>
      <c r="U169" s="47">
        <f t="shared" si="21"/>
        <v>1</v>
      </c>
      <c r="V169" s="44">
        <f>+R169</f>
        <v>0.96199999999999997</v>
      </c>
      <c r="W169" t="s">
        <v>348</v>
      </c>
    </row>
    <row r="170" spans="1:23" ht="16.5" x14ac:dyDescent="0.3">
      <c r="A170" s="14" t="s">
        <v>307</v>
      </c>
      <c r="B170" s="15" t="s">
        <v>85</v>
      </c>
      <c r="C170" s="24">
        <f>+VLOOKUP(B170,'INDICADORES CAPTURA'!C:N,12,FALSE)</f>
        <v>0.76119999999999988</v>
      </c>
      <c r="D170">
        <v>18</v>
      </c>
      <c r="E170">
        <v>14</v>
      </c>
      <c r="F170" s="16">
        <f t="shared" si="16"/>
        <v>0.77777777777777779</v>
      </c>
      <c r="G170">
        <v>92</v>
      </c>
      <c r="H170">
        <v>59</v>
      </c>
      <c r="I170" s="16">
        <f t="shared" si="17"/>
        <v>0.64130434782608692</v>
      </c>
      <c r="J170" s="44">
        <v>0.98509999999999998</v>
      </c>
      <c r="K170" s="44">
        <v>0.97009999999999996</v>
      </c>
      <c r="L170" s="44">
        <v>1.49E-2</v>
      </c>
      <c r="M170" s="44">
        <v>0.98509999999999998</v>
      </c>
      <c r="N170" s="44">
        <v>8.3299999999999999E-2</v>
      </c>
      <c r="O170" s="44">
        <v>0.98509999999999998</v>
      </c>
      <c r="P170" s="44">
        <f t="shared" si="18"/>
        <v>0.36109999999999998</v>
      </c>
      <c r="Q170" s="47">
        <v>0.95</v>
      </c>
      <c r="R170" s="44">
        <f t="shared" si="19"/>
        <v>0.98509999999999998</v>
      </c>
      <c r="S170">
        <v>0</v>
      </c>
      <c r="T170" s="47">
        <f t="shared" si="20"/>
        <v>0</v>
      </c>
      <c r="U170" s="47">
        <f t="shared" si="21"/>
        <v>1</v>
      </c>
      <c r="V170" s="44">
        <f t="shared" si="22"/>
        <v>0.99255000000000004</v>
      </c>
      <c r="W170" t="s">
        <v>348</v>
      </c>
    </row>
    <row r="171" spans="1:23" ht="16.5" x14ac:dyDescent="0.3">
      <c r="A171" s="14" t="s">
        <v>209</v>
      </c>
      <c r="B171" s="15" t="s">
        <v>165</v>
      </c>
      <c r="C171" s="24">
        <f>+VLOOKUP(B171,'INDICADORES CAPTURA'!C:N,12,FALSE)</f>
        <v>0.75681818181818172</v>
      </c>
      <c r="D171">
        <v>11</v>
      </c>
      <c r="E171">
        <v>10</v>
      </c>
      <c r="F171" s="16">
        <f t="shared" si="16"/>
        <v>0.90909090909090906</v>
      </c>
      <c r="G171">
        <v>68</v>
      </c>
      <c r="H171">
        <v>40</v>
      </c>
      <c r="I171" s="16">
        <f t="shared" si="17"/>
        <v>0.58823529411764708</v>
      </c>
      <c r="J171" s="44">
        <v>1</v>
      </c>
      <c r="K171" s="44">
        <v>1</v>
      </c>
      <c r="L171" s="44">
        <v>0</v>
      </c>
      <c r="M171" s="44">
        <v>1</v>
      </c>
      <c r="N171" s="44">
        <v>0.2258</v>
      </c>
      <c r="O171" s="44">
        <v>1</v>
      </c>
      <c r="P171" s="44">
        <f t="shared" si="18"/>
        <v>0.40860000000000002</v>
      </c>
      <c r="Q171" s="47">
        <v>0.95</v>
      </c>
      <c r="R171" s="44">
        <f t="shared" si="19"/>
        <v>1</v>
      </c>
      <c r="S171">
        <v>8</v>
      </c>
      <c r="T171" s="47">
        <f t="shared" si="20"/>
        <v>0.72727272727272729</v>
      </c>
      <c r="U171" s="47">
        <f t="shared" si="21"/>
        <v>0</v>
      </c>
      <c r="V171" s="44">
        <f>+R171</f>
        <v>1</v>
      </c>
      <c r="W171" t="s">
        <v>348</v>
      </c>
    </row>
    <row r="172" spans="1:23" ht="16.5" x14ac:dyDescent="0.3">
      <c r="A172" s="14" t="s">
        <v>308</v>
      </c>
      <c r="B172" s="15" t="s">
        <v>24</v>
      </c>
      <c r="C172" s="24">
        <f>+VLOOKUP(B172,'INDICADORES CAPTURA'!C:N,12,FALSE)</f>
        <v>0.77872727272727282</v>
      </c>
      <c r="D172">
        <v>9</v>
      </c>
      <c r="E172">
        <v>6</v>
      </c>
      <c r="F172" s="16">
        <f t="shared" si="16"/>
        <v>0.66666666666666663</v>
      </c>
      <c r="G172">
        <v>61</v>
      </c>
      <c r="H172">
        <v>49</v>
      </c>
      <c r="I172" s="16">
        <f t="shared" si="17"/>
        <v>0.80327868852459017</v>
      </c>
      <c r="J172" s="44">
        <v>1</v>
      </c>
      <c r="K172" s="44">
        <v>1</v>
      </c>
      <c r="L172" s="44">
        <v>0.24529999999999999</v>
      </c>
      <c r="M172" s="44">
        <v>1</v>
      </c>
      <c r="N172" s="44">
        <v>0.75</v>
      </c>
      <c r="O172" s="44">
        <v>1</v>
      </c>
      <c r="P172" s="44">
        <f t="shared" si="18"/>
        <v>0.66510000000000002</v>
      </c>
      <c r="Q172" s="47">
        <v>0.95</v>
      </c>
      <c r="R172" s="44">
        <f t="shared" si="19"/>
        <v>1</v>
      </c>
      <c r="S172">
        <v>3</v>
      </c>
      <c r="T172" s="47">
        <f t="shared" si="20"/>
        <v>0.33333333333333331</v>
      </c>
      <c r="U172" s="47">
        <f t="shared" si="21"/>
        <v>0</v>
      </c>
      <c r="V172" s="44">
        <f t="shared" si="22"/>
        <v>0.5</v>
      </c>
      <c r="W172" t="s">
        <v>348</v>
      </c>
    </row>
    <row r="173" spans="1:23" ht="16.5" x14ac:dyDescent="0.3">
      <c r="A173" s="14" t="s">
        <v>209</v>
      </c>
      <c r="B173" s="15" t="s">
        <v>169</v>
      </c>
      <c r="C173" s="24">
        <f>+VLOOKUP(B173,'INDICADORES CAPTURA'!C:N,12,FALSE)</f>
        <v>0.73587272727272712</v>
      </c>
      <c r="D173">
        <v>16</v>
      </c>
      <c r="E173">
        <v>14</v>
      </c>
      <c r="F173" s="16">
        <f t="shared" si="16"/>
        <v>0.875</v>
      </c>
      <c r="G173">
        <v>92</v>
      </c>
      <c r="H173">
        <v>51</v>
      </c>
      <c r="I173" s="16">
        <f t="shared" si="17"/>
        <v>0.55434782608695654</v>
      </c>
      <c r="J173" s="44">
        <v>0.90569999999999995</v>
      </c>
      <c r="K173" s="44">
        <v>0.90569999999999995</v>
      </c>
      <c r="L173" s="44">
        <v>0.47170000000000001</v>
      </c>
      <c r="M173" s="44">
        <v>0.90569999999999995</v>
      </c>
      <c r="N173" s="44">
        <v>0.1429</v>
      </c>
      <c r="O173" s="44">
        <v>0.90569999999999995</v>
      </c>
      <c r="P173" s="44">
        <f t="shared" si="18"/>
        <v>0.5067666666666667</v>
      </c>
      <c r="Q173" s="47">
        <v>0.95</v>
      </c>
      <c r="R173" s="44">
        <f t="shared" si="19"/>
        <v>0.90569999999999995</v>
      </c>
      <c r="S173">
        <v>10</v>
      </c>
      <c r="T173" s="47">
        <f t="shared" si="20"/>
        <v>0.625</v>
      </c>
      <c r="U173" s="47">
        <f t="shared" si="21"/>
        <v>0</v>
      </c>
      <c r="V173" s="44">
        <f t="shared" si="22"/>
        <v>0.45284999999999997</v>
      </c>
      <c r="W173" t="s">
        <v>348</v>
      </c>
    </row>
    <row r="174" spans="1:23" ht="16.5" x14ac:dyDescent="0.3">
      <c r="A174" s="14" t="s">
        <v>307</v>
      </c>
      <c r="B174" s="15" t="s">
        <v>95</v>
      </c>
      <c r="C174" s="24">
        <f>+VLOOKUP(B174,'INDICADORES CAPTURA'!C:N,12,FALSE)</f>
        <v>0.67727272727272714</v>
      </c>
      <c r="D174">
        <v>7</v>
      </c>
      <c r="E174">
        <v>7</v>
      </c>
      <c r="F174" s="16">
        <f t="shared" si="16"/>
        <v>1</v>
      </c>
      <c r="G174">
        <v>80</v>
      </c>
      <c r="H174">
        <v>37</v>
      </c>
      <c r="I174" s="16">
        <f t="shared" si="17"/>
        <v>0.46250000000000002</v>
      </c>
      <c r="J174" s="44">
        <v>0.97499999999999998</v>
      </c>
      <c r="K174" s="44">
        <v>0.97499999999999998</v>
      </c>
      <c r="L174" s="44">
        <v>0</v>
      </c>
      <c r="M174" s="44">
        <v>0.85</v>
      </c>
      <c r="N174" s="44">
        <v>8.3299999999999999E-2</v>
      </c>
      <c r="O174" s="44">
        <v>0.85</v>
      </c>
      <c r="P174" s="44">
        <f t="shared" si="18"/>
        <v>0.31109999999999999</v>
      </c>
      <c r="Q174" s="47">
        <v>0.95</v>
      </c>
      <c r="R174" s="44">
        <f t="shared" si="19"/>
        <v>0.97499999999999998</v>
      </c>
      <c r="S174">
        <v>0</v>
      </c>
      <c r="T174" s="47">
        <f t="shared" si="20"/>
        <v>0</v>
      </c>
      <c r="U174" s="47">
        <f t="shared" si="21"/>
        <v>1</v>
      </c>
      <c r="V174" s="44">
        <f>+R174</f>
        <v>0.97499999999999998</v>
      </c>
      <c r="W174" t="s">
        <v>348</v>
      </c>
    </row>
    <row r="175" spans="1:23" ht="16.5" x14ac:dyDescent="0.3">
      <c r="A175" s="14" t="s">
        <v>310</v>
      </c>
      <c r="B175" s="15" t="s">
        <v>194</v>
      </c>
      <c r="C175" s="24">
        <f>+VLOOKUP(B175,'INDICADORES CAPTURA'!C:N,12,FALSE)</f>
        <v>0.74380000000000013</v>
      </c>
      <c r="D175">
        <v>13</v>
      </c>
      <c r="E175">
        <v>10</v>
      </c>
      <c r="F175" s="16">
        <f t="shared" si="16"/>
        <v>0.76923076923076927</v>
      </c>
      <c r="G175">
        <v>81</v>
      </c>
      <c r="H175">
        <v>51</v>
      </c>
      <c r="I175" s="16">
        <f t="shared" si="17"/>
        <v>0.62962962962962965</v>
      </c>
      <c r="J175" s="44">
        <v>1</v>
      </c>
      <c r="K175" s="44">
        <v>1</v>
      </c>
      <c r="L175" s="44">
        <v>1.8200000000000001E-2</v>
      </c>
      <c r="M175" s="44">
        <v>1</v>
      </c>
      <c r="N175" s="44">
        <v>0</v>
      </c>
      <c r="O175" s="44">
        <v>1</v>
      </c>
      <c r="P175" s="44">
        <f t="shared" si="18"/>
        <v>0.33939999999999998</v>
      </c>
      <c r="Q175" s="47">
        <v>0.95</v>
      </c>
      <c r="R175" s="44">
        <f t="shared" si="19"/>
        <v>1</v>
      </c>
      <c r="S175">
        <v>2</v>
      </c>
      <c r="T175" s="47">
        <f t="shared" si="20"/>
        <v>0.15384615384615385</v>
      </c>
      <c r="U175" s="47">
        <f t="shared" si="21"/>
        <v>0</v>
      </c>
      <c r="V175" s="44">
        <f t="shared" si="22"/>
        <v>0.5</v>
      </c>
      <c r="W175" t="s">
        <v>348</v>
      </c>
    </row>
    <row r="176" spans="1:23" ht="16.5" x14ac:dyDescent="0.3">
      <c r="A176" s="14" t="s">
        <v>208</v>
      </c>
      <c r="B176" s="15" t="s">
        <v>155</v>
      </c>
      <c r="C176" s="24">
        <f>+VLOOKUP(B176,'INDICADORES CAPTURA'!C:N,12,FALSE)</f>
        <v>0.81819090909090919</v>
      </c>
      <c r="D176">
        <v>19</v>
      </c>
      <c r="E176">
        <v>17</v>
      </c>
      <c r="F176" s="16">
        <f t="shared" si="16"/>
        <v>0.89473684210526316</v>
      </c>
      <c r="G176">
        <v>101</v>
      </c>
      <c r="H176">
        <v>36</v>
      </c>
      <c r="I176" s="16">
        <f t="shared" si="17"/>
        <v>0.35643564356435642</v>
      </c>
      <c r="J176" s="44">
        <v>1</v>
      </c>
      <c r="K176" s="44">
        <v>1</v>
      </c>
      <c r="L176" s="44">
        <v>0.39760000000000001</v>
      </c>
      <c r="M176" s="44">
        <v>1</v>
      </c>
      <c r="N176" s="44">
        <v>0.76919999999999999</v>
      </c>
      <c r="O176" s="44">
        <v>1</v>
      </c>
      <c r="P176" s="44">
        <f t="shared" si="18"/>
        <v>0.72226666666666661</v>
      </c>
      <c r="Q176" s="47">
        <v>0.95</v>
      </c>
      <c r="R176" s="44">
        <f t="shared" si="19"/>
        <v>1</v>
      </c>
      <c r="S176">
        <v>0</v>
      </c>
      <c r="T176" s="47">
        <f t="shared" si="20"/>
        <v>0</v>
      </c>
      <c r="U176" s="47">
        <f t="shared" si="21"/>
        <v>1</v>
      </c>
      <c r="V176" s="44">
        <f t="shared" si="22"/>
        <v>1</v>
      </c>
      <c r="W176" t="s">
        <v>348</v>
      </c>
    </row>
    <row r="177" spans="1:23" ht="16.5" x14ac:dyDescent="0.3">
      <c r="A177" s="14" t="s">
        <v>310</v>
      </c>
      <c r="B177" s="15" t="s">
        <v>195</v>
      </c>
      <c r="C177" s="24">
        <f>+VLOOKUP(B177,'INDICADORES CAPTURA'!C:N,12,FALSE)</f>
        <v>0.61128181818181815</v>
      </c>
      <c r="D177">
        <v>3</v>
      </c>
      <c r="E177">
        <v>2</v>
      </c>
      <c r="F177" s="16">
        <f t="shared" si="16"/>
        <v>0.66666666666666663</v>
      </c>
      <c r="G177">
        <v>37</v>
      </c>
      <c r="H177">
        <v>28</v>
      </c>
      <c r="I177" s="16">
        <f t="shared" si="17"/>
        <v>0.7567567567567568</v>
      </c>
      <c r="J177" s="44">
        <v>0.8276</v>
      </c>
      <c r="K177" s="44">
        <v>0.75860000000000005</v>
      </c>
      <c r="L177" s="44">
        <v>3.4500000000000003E-2</v>
      </c>
      <c r="M177" s="44">
        <v>0.79310000000000003</v>
      </c>
      <c r="N177" s="44">
        <v>0.3</v>
      </c>
      <c r="O177" s="44">
        <v>0.79310000000000003</v>
      </c>
      <c r="P177" s="44">
        <f t="shared" si="18"/>
        <v>0.37586666666666663</v>
      </c>
      <c r="Q177" s="47">
        <v>0.95</v>
      </c>
      <c r="R177" s="44">
        <f t="shared" si="19"/>
        <v>0.8276</v>
      </c>
      <c r="S177">
        <v>0</v>
      </c>
      <c r="T177" s="47">
        <f t="shared" si="20"/>
        <v>0</v>
      </c>
      <c r="U177" s="47">
        <f t="shared" si="21"/>
        <v>1</v>
      </c>
      <c r="V177" s="44">
        <f t="shared" si="22"/>
        <v>0.91379999999999995</v>
      </c>
      <c r="W177" t="s">
        <v>348</v>
      </c>
    </row>
    <row r="178" spans="1:23" ht="16.5" x14ac:dyDescent="0.3">
      <c r="A178" s="14" t="s">
        <v>310</v>
      </c>
      <c r="B178" s="15" t="s">
        <v>19</v>
      </c>
      <c r="C178" s="24">
        <f>+VLOOKUP(B178,'INDICADORES CAPTURA'!C:N,12,FALSE)</f>
        <v>0.73967272727272726</v>
      </c>
      <c r="D178">
        <v>2</v>
      </c>
      <c r="E178">
        <v>1</v>
      </c>
      <c r="F178" s="16">
        <f t="shared" si="16"/>
        <v>0.5</v>
      </c>
      <c r="G178">
        <v>27</v>
      </c>
      <c r="H178">
        <v>20</v>
      </c>
      <c r="I178" s="16">
        <f t="shared" si="17"/>
        <v>0.7407407407407407</v>
      </c>
      <c r="J178" s="44">
        <v>0.81820000000000004</v>
      </c>
      <c r="K178" s="44">
        <v>0.81820000000000004</v>
      </c>
      <c r="L178" s="44">
        <v>0.5</v>
      </c>
      <c r="M178" s="44">
        <v>0.81820000000000004</v>
      </c>
      <c r="N178" s="44">
        <v>0.66669999999999996</v>
      </c>
      <c r="O178" s="44">
        <v>0.81820000000000004</v>
      </c>
      <c r="P178" s="44">
        <f t="shared" si="18"/>
        <v>0.66163333333333341</v>
      </c>
      <c r="Q178" s="47">
        <v>0.95</v>
      </c>
      <c r="R178" s="44">
        <f t="shared" si="19"/>
        <v>0.81820000000000004</v>
      </c>
      <c r="S178">
        <v>1</v>
      </c>
      <c r="T178" s="47">
        <f t="shared" si="20"/>
        <v>0.5</v>
      </c>
      <c r="U178" s="47">
        <f t="shared" si="21"/>
        <v>0</v>
      </c>
      <c r="V178" s="44">
        <f t="shared" si="22"/>
        <v>0.40910000000000002</v>
      </c>
      <c r="W178" t="s">
        <v>348</v>
      </c>
    </row>
    <row r="179" spans="1:23" ht="16.5" x14ac:dyDescent="0.3">
      <c r="A179" s="14" t="s">
        <v>307</v>
      </c>
      <c r="B179" s="15" t="s">
        <v>96</v>
      </c>
      <c r="C179" s="24">
        <f>+VLOOKUP(B179,'INDICADORES CAPTURA'!C:N,12,FALSE)</f>
        <v>0.38425454545454546</v>
      </c>
      <c r="D179">
        <v>17</v>
      </c>
      <c r="E179">
        <v>15</v>
      </c>
      <c r="F179" s="16">
        <f t="shared" si="16"/>
        <v>0.88235294117647056</v>
      </c>
      <c r="G179">
        <v>85</v>
      </c>
      <c r="H179">
        <v>56</v>
      </c>
      <c r="I179" s="16">
        <f t="shared" si="17"/>
        <v>0.6588235294117647</v>
      </c>
      <c r="J179" s="44">
        <v>0.89329999999999998</v>
      </c>
      <c r="K179" s="44">
        <v>0.94669999999999999</v>
      </c>
      <c r="L179" s="44">
        <v>0.08</v>
      </c>
      <c r="M179" s="44">
        <v>6.6699999999999995E-2</v>
      </c>
      <c r="N179" s="44">
        <v>0.36840000000000001</v>
      </c>
      <c r="O179" s="44">
        <v>0.04</v>
      </c>
      <c r="P179" s="44">
        <f t="shared" si="18"/>
        <v>0.17169999999999999</v>
      </c>
      <c r="Q179" s="47">
        <v>0.95</v>
      </c>
      <c r="R179" s="44">
        <f t="shared" si="19"/>
        <v>0.89329999999999998</v>
      </c>
      <c r="S179">
        <v>0</v>
      </c>
      <c r="T179" s="47">
        <f t="shared" si="20"/>
        <v>0</v>
      </c>
      <c r="U179" s="47">
        <f t="shared" si="21"/>
        <v>1</v>
      </c>
      <c r="V179" s="44">
        <f t="shared" si="22"/>
        <v>0.94664999999999999</v>
      </c>
      <c r="W179" t="s">
        <v>348</v>
      </c>
    </row>
    <row r="180" spans="1:23" ht="16.5" x14ac:dyDescent="0.3">
      <c r="A180" s="14" t="s">
        <v>208</v>
      </c>
      <c r="B180" s="15" t="s">
        <v>156</v>
      </c>
      <c r="C180" s="24">
        <f>+VLOOKUP(B180,'INDICADORES CAPTURA'!C:N,12,FALSE)</f>
        <v>0.77070000000000005</v>
      </c>
      <c r="D180">
        <v>18</v>
      </c>
      <c r="E180">
        <v>15</v>
      </c>
      <c r="F180" s="16">
        <f t="shared" si="16"/>
        <v>0.83333333333333337</v>
      </c>
      <c r="G180">
        <v>99</v>
      </c>
      <c r="H180">
        <v>43</v>
      </c>
      <c r="I180" s="16">
        <f t="shared" si="17"/>
        <v>0.43434343434343436</v>
      </c>
      <c r="J180" s="44">
        <v>1</v>
      </c>
      <c r="K180" s="44">
        <v>1</v>
      </c>
      <c r="L180" s="44">
        <v>4.48E-2</v>
      </c>
      <c r="M180" s="44">
        <v>1</v>
      </c>
      <c r="N180" s="44">
        <v>0.84619999999999995</v>
      </c>
      <c r="O180" s="44">
        <v>1</v>
      </c>
      <c r="P180" s="44">
        <f t="shared" si="18"/>
        <v>0.6303333333333333</v>
      </c>
      <c r="Q180" s="47">
        <v>0.95</v>
      </c>
      <c r="R180" s="44">
        <f t="shared" si="19"/>
        <v>1</v>
      </c>
      <c r="S180">
        <v>6</v>
      </c>
      <c r="T180" s="47">
        <f t="shared" si="20"/>
        <v>0.33333333333333331</v>
      </c>
      <c r="U180" s="47">
        <f t="shared" si="21"/>
        <v>0</v>
      </c>
      <c r="V180" s="44">
        <f t="shared" si="22"/>
        <v>0.5</v>
      </c>
      <c r="W180" t="s">
        <v>348</v>
      </c>
    </row>
    <row r="181" spans="1:23" ht="16.5" x14ac:dyDescent="0.3">
      <c r="A181" s="14" t="s">
        <v>311</v>
      </c>
      <c r="B181" s="15" t="s">
        <v>118</v>
      </c>
      <c r="C181" s="24">
        <f>+VLOOKUP(B181,'INDICADORES CAPTURA'!C:N,12,FALSE)</f>
        <v>0.48588181818181814</v>
      </c>
      <c r="D181">
        <v>5</v>
      </c>
      <c r="E181">
        <v>3</v>
      </c>
      <c r="F181" s="16">
        <f t="shared" si="16"/>
        <v>0.6</v>
      </c>
      <c r="G181">
        <v>36</v>
      </c>
      <c r="H181">
        <v>28</v>
      </c>
      <c r="I181" s="16">
        <f t="shared" si="17"/>
        <v>0.77777777777777779</v>
      </c>
      <c r="J181" s="44">
        <v>0.58620000000000005</v>
      </c>
      <c r="K181" s="44">
        <v>0.58620000000000005</v>
      </c>
      <c r="L181" s="44">
        <v>0</v>
      </c>
      <c r="M181" s="44">
        <v>0.58620000000000005</v>
      </c>
      <c r="N181" s="44">
        <v>0.84619999999999995</v>
      </c>
      <c r="O181" s="44">
        <v>0.58620000000000005</v>
      </c>
      <c r="P181" s="44">
        <f t="shared" si="18"/>
        <v>0.47746666666666665</v>
      </c>
      <c r="Q181" s="47">
        <v>0.95</v>
      </c>
      <c r="R181" s="44">
        <f t="shared" si="19"/>
        <v>0.58620000000000005</v>
      </c>
      <c r="S181">
        <v>4</v>
      </c>
      <c r="T181" s="47">
        <f t="shared" si="20"/>
        <v>0.8</v>
      </c>
      <c r="U181" s="47">
        <f t="shared" si="21"/>
        <v>0</v>
      </c>
      <c r="V181" s="44">
        <f t="shared" ref="V181:V182" si="26">+R181</f>
        <v>0.58620000000000005</v>
      </c>
      <c r="W181" t="s">
        <v>348</v>
      </c>
    </row>
    <row r="182" spans="1:23" ht="16.5" x14ac:dyDescent="0.3">
      <c r="A182" s="14" t="s">
        <v>307</v>
      </c>
      <c r="B182" s="15" t="s">
        <v>89</v>
      </c>
      <c r="C182" s="24">
        <f>+VLOOKUP(B182,'INDICADORES CAPTURA'!C:N,12,FALSE)</f>
        <v>0.72260000000000002</v>
      </c>
      <c r="D182">
        <v>15</v>
      </c>
      <c r="E182">
        <v>12</v>
      </c>
      <c r="F182" s="16">
        <f t="shared" si="16"/>
        <v>0.8</v>
      </c>
      <c r="G182">
        <v>104</v>
      </c>
      <c r="H182">
        <v>50</v>
      </c>
      <c r="I182" s="16">
        <f t="shared" si="17"/>
        <v>0.48076923076923078</v>
      </c>
      <c r="J182" s="44">
        <v>0.98280000000000001</v>
      </c>
      <c r="K182" s="44">
        <v>0.98280000000000001</v>
      </c>
      <c r="L182" s="44">
        <v>0</v>
      </c>
      <c r="M182" s="44">
        <v>0.98280000000000001</v>
      </c>
      <c r="N182" s="44">
        <v>0</v>
      </c>
      <c r="O182" s="44">
        <v>0.98280000000000001</v>
      </c>
      <c r="P182" s="44">
        <f t="shared" si="18"/>
        <v>0.3276</v>
      </c>
      <c r="Q182" s="47">
        <v>0.95</v>
      </c>
      <c r="R182" s="44">
        <f t="shared" si="19"/>
        <v>0.98280000000000001</v>
      </c>
      <c r="S182">
        <v>0</v>
      </c>
      <c r="T182" s="47">
        <f t="shared" si="20"/>
        <v>0</v>
      </c>
      <c r="U182" s="47">
        <f t="shared" si="21"/>
        <v>1</v>
      </c>
      <c r="V182" s="44">
        <f t="shared" si="26"/>
        <v>0.98280000000000001</v>
      </c>
      <c r="W182" t="s">
        <v>348</v>
      </c>
    </row>
    <row r="183" spans="1:23" ht="16.5" x14ac:dyDescent="0.3">
      <c r="A183" s="14" t="s">
        <v>310</v>
      </c>
      <c r="B183" s="15" t="s">
        <v>187</v>
      </c>
      <c r="C183" s="24">
        <f>+VLOOKUP(B183,'INDICADORES CAPTURA'!C:N,12,FALSE)</f>
        <v>0.78738181818181829</v>
      </c>
      <c r="D183">
        <v>22</v>
      </c>
      <c r="E183">
        <v>15</v>
      </c>
      <c r="F183" s="16">
        <f t="shared" si="16"/>
        <v>0.68181818181818177</v>
      </c>
      <c r="G183">
        <v>119</v>
      </c>
      <c r="H183">
        <v>59</v>
      </c>
      <c r="I183" s="16">
        <f t="shared" si="17"/>
        <v>0.49579831932773111</v>
      </c>
      <c r="J183" s="44">
        <v>1</v>
      </c>
      <c r="K183" s="44">
        <v>1</v>
      </c>
      <c r="L183" s="44">
        <v>0.129</v>
      </c>
      <c r="M183" s="44">
        <v>1</v>
      </c>
      <c r="N183" s="44">
        <v>0.125</v>
      </c>
      <c r="O183" s="44">
        <v>1</v>
      </c>
      <c r="P183" s="44">
        <f t="shared" si="18"/>
        <v>0.41799999999999998</v>
      </c>
      <c r="Q183" s="47">
        <v>0.95</v>
      </c>
      <c r="R183" s="44">
        <f t="shared" si="19"/>
        <v>1</v>
      </c>
      <c r="S183">
        <v>14</v>
      </c>
      <c r="T183" s="47">
        <f t="shared" si="20"/>
        <v>0.63636363636363635</v>
      </c>
      <c r="U183" s="47">
        <f t="shared" si="21"/>
        <v>0</v>
      </c>
      <c r="V183" s="44">
        <f t="shared" si="22"/>
        <v>0.5</v>
      </c>
      <c r="W183" t="s">
        <v>348</v>
      </c>
    </row>
    <row r="184" spans="1:23" ht="16.5" x14ac:dyDescent="0.3">
      <c r="A184" s="14" t="s">
        <v>310</v>
      </c>
      <c r="B184" s="15" t="s">
        <v>184</v>
      </c>
      <c r="C184" s="24">
        <f>+VLOOKUP(B184,'INDICADORES CAPTURA'!C:N,12,FALSE)</f>
        <v>0.75001818181818181</v>
      </c>
      <c r="D184">
        <v>12</v>
      </c>
      <c r="E184">
        <v>8</v>
      </c>
      <c r="F184" s="16">
        <f t="shared" si="16"/>
        <v>0.66666666666666663</v>
      </c>
      <c r="G184">
        <v>86</v>
      </c>
      <c r="H184">
        <v>48</v>
      </c>
      <c r="I184" s="16">
        <f t="shared" si="17"/>
        <v>0.55813953488372092</v>
      </c>
      <c r="J184" s="44">
        <v>0.97919999999999996</v>
      </c>
      <c r="K184" s="44">
        <v>0.97919999999999996</v>
      </c>
      <c r="L184" s="44">
        <v>2.0799999999999999E-2</v>
      </c>
      <c r="M184" s="44">
        <v>0.97919999999999996</v>
      </c>
      <c r="N184" s="44">
        <v>7.1400000000000005E-2</v>
      </c>
      <c r="O184" s="44">
        <v>0.97919999999999996</v>
      </c>
      <c r="P184" s="44">
        <f t="shared" si="18"/>
        <v>0.3571333333333333</v>
      </c>
      <c r="Q184" s="47">
        <v>0.95</v>
      </c>
      <c r="R184" s="44">
        <f t="shared" si="19"/>
        <v>0.97919999999999996</v>
      </c>
      <c r="S184">
        <v>3</v>
      </c>
      <c r="T184" s="47">
        <f t="shared" si="20"/>
        <v>0.25</v>
      </c>
      <c r="U184" s="47">
        <f t="shared" si="21"/>
        <v>0</v>
      </c>
      <c r="V184" s="44">
        <f t="shared" si="22"/>
        <v>0.48959999999999998</v>
      </c>
      <c r="W184" t="s">
        <v>348</v>
      </c>
    </row>
    <row r="185" spans="1:23" ht="16.5" x14ac:dyDescent="0.3">
      <c r="A185" s="14" t="s">
        <v>310</v>
      </c>
      <c r="B185" s="15" t="s">
        <v>191</v>
      </c>
      <c r="C185" s="24">
        <f>+VLOOKUP(B185,'INDICADORES CAPTURA'!C:N,12,FALSE)</f>
        <v>0.65192727272727269</v>
      </c>
      <c r="D185">
        <v>8</v>
      </c>
      <c r="E185">
        <v>6</v>
      </c>
      <c r="F185" s="16">
        <f t="shared" si="16"/>
        <v>0.75</v>
      </c>
      <c r="G185">
        <v>81</v>
      </c>
      <c r="H185">
        <v>33</v>
      </c>
      <c r="I185" s="16">
        <f t="shared" si="17"/>
        <v>0.40740740740740738</v>
      </c>
      <c r="J185" s="44">
        <v>0.88570000000000004</v>
      </c>
      <c r="K185" s="44">
        <v>0.85709999999999997</v>
      </c>
      <c r="L185" s="44">
        <v>0</v>
      </c>
      <c r="M185" s="44">
        <v>0.9143</v>
      </c>
      <c r="N185" s="44">
        <v>5.5599999999999997E-2</v>
      </c>
      <c r="O185" s="44">
        <v>0.85709999999999997</v>
      </c>
      <c r="P185" s="44">
        <f t="shared" si="18"/>
        <v>0.32329999999999998</v>
      </c>
      <c r="Q185" s="47">
        <v>0.95</v>
      </c>
      <c r="R185" s="44">
        <f t="shared" si="19"/>
        <v>0.88570000000000004</v>
      </c>
      <c r="S185">
        <v>5</v>
      </c>
      <c r="T185" s="47">
        <f t="shared" si="20"/>
        <v>0.625</v>
      </c>
      <c r="U185" s="47">
        <f t="shared" si="21"/>
        <v>0</v>
      </c>
      <c r="V185" s="44">
        <f>+R185</f>
        <v>0.88570000000000004</v>
      </c>
      <c r="W185" t="s">
        <v>348</v>
      </c>
    </row>
    <row r="186" spans="1:23" ht="16.5" x14ac:dyDescent="0.3">
      <c r="A186" s="14" t="s">
        <v>308</v>
      </c>
      <c r="B186" s="15" t="s">
        <v>13</v>
      </c>
      <c r="C186" s="24">
        <f>+VLOOKUP(B186,'INDICADORES CAPTURA'!C:N,12,FALSE)</f>
        <v>0.7582181818181819</v>
      </c>
      <c r="D186">
        <v>18</v>
      </c>
      <c r="E186">
        <v>8</v>
      </c>
      <c r="F186" s="16">
        <f t="shared" si="16"/>
        <v>0.44444444444444442</v>
      </c>
      <c r="G186">
        <v>81</v>
      </c>
      <c r="H186">
        <v>40</v>
      </c>
      <c r="I186" s="16">
        <f t="shared" si="17"/>
        <v>0.49382716049382713</v>
      </c>
      <c r="J186" s="44">
        <v>0.97870000000000001</v>
      </c>
      <c r="K186" s="44">
        <v>1</v>
      </c>
      <c r="L186" s="44">
        <v>0.10639999999999999</v>
      </c>
      <c r="M186" s="44">
        <v>1</v>
      </c>
      <c r="N186" s="44">
        <v>8.3299999999999999E-2</v>
      </c>
      <c r="O186" s="44">
        <v>1</v>
      </c>
      <c r="P186" s="44">
        <f t="shared" si="18"/>
        <v>0.39656666666666668</v>
      </c>
      <c r="Q186" s="47">
        <v>0.95</v>
      </c>
      <c r="R186" s="44">
        <f t="shared" si="19"/>
        <v>0.97870000000000001</v>
      </c>
      <c r="S186">
        <v>4</v>
      </c>
      <c r="T186" s="47">
        <f t="shared" si="20"/>
        <v>0.22222222222222221</v>
      </c>
      <c r="U186" s="47">
        <f t="shared" si="21"/>
        <v>0</v>
      </c>
      <c r="V186" s="44">
        <f t="shared" si="22"/>
        <v>0.48935000000000001</v>
      </c>
      <c r="W186" t="s">
        <v>348</v>
      </c>
    </row>
    <row r="187" spans="1:23" ht="16.5" x14ac:dyDescent="0.3">
      <c r="A187" s="14" t="s">
        <v>310</v>
      </c>
      <c r="B187" s="15" t="s">
        <v>185</v>
      </c>
      <c r="C187" s="24">
        <f>+VLOOKUP(B187,'INDICADORES CAPTURA'!C:N,12,FALSE)</f>
        <v>0.81818181818181823</v>
      </c>
      <c r="D187">
        <v>4</v>
      </c>
      <c r="E187">
        <v>2</v>
      </c>
      <c r="F187" s="16">
        <f t="shared" si="16"/>
        <v>0.5</v>
      </c>
      <c r="G187">
        <v>43</v>
      </c>
      <c r="H187">
        <v>8</v>
      </c>
      <c r="I187" s="16">
        <f t="shared" si="17"/>
        <v>0.18604651162790697</v>
      </c>
      <c r="J187" s="44">
        <v>1</v>
      </c>
      <c r="K187" s="44">
        <v>1</v>
      </c>
      <c r="L187" s="44">
        <v>0</v>
      </c>
      <c r="M187" s="44">
        <v>1</v>
      </c>
      <c r="N187" s="44">
        <v>0</v>
      </c>
      <c r="O187" s="44">
        <v>1</v>
      </c>
      <c r="P187" s="44">
        <f t="shared" si="18"/>
        <v>0.33333333333333331</v>
      </c>
      <c r="Q187" s="47">
        <v>0.95</v>
      </c>
      <c r="R187" s="44">
        <f t="shared" si="19"/>
        <v>1</v>
      </c>
      <c r="S187">
        <v>3</v>
      </c>
      <c r="T187" s="47">
        <f t="shared" si="20"/>
        <v>0.75</v>
      </c>
      <c r="U187" s="47">
        <f t="shared" si="21"/>
        <v>0</v>
      </c>
      <c r="V187" s="44">
        <f t="shared" ref="V187:V189" si="27">+R187</f>
        <v>1</v>
      </c>
      <c r="W187" t="s">
        <v>348</v>
      </c>
    </row>
    <row r="188" spans="1:23" ht="16.5" x14ac:dyDescent="0.3">
      <c r="A188" s="14" t="s">
        <v>209</v>
      </c>
      <c r="B188" s="15" t="s">
        <v>161</v>
      </c>
      <c r="C188" s="24">
        <f>+VLOOKUP(B188,'INDICADORES CAPTURA'!C:N,12,FALSE)</f>
        <v>0.70810909090909102</v>
      </c>
      <c r="D188">
        <v>12</v>
      </c>
      <c r="E188">
        <v>7</v>
      </c>
      <c r="F188" s="16">
        <f t="shared" si="16"/>
        <v>0.58333333333333337</v>
      </c>
      <c r="G188">
        <v>83</v>
      </c>
      <c r="H188">
        <v>17</v>
      </c>
      <c r="I188" s="16">
        <f t="shared" si="17"/>
        <v>0.20481927710843373</v>
      </c>
      <c r="J188" s="44">
        <v>0.89470000000000005</v>
      </c>
      <c r="K188" s="44">
        <v>0.89470000000000005</v>
      </c>
      <c r="L188" s="44">
        <v>0</v>
      </c>
      <c r="M188" s="44">
        <v>0.89470000000000005</v>
      </c>
      <c r="N188" s="44">
        <v>0</v>
      </c>
      <c r="O188" s="44">
        <v>0.89470000000000005</v>
      </c>
      <c r="P188" s="44">
        <f t="shared" si="18"/>
        <v>0.29823333333333335</v>
      </c>
      <c r="Q188" s="47">
        <v>0.95</v>
      </c>
      <c r="R188" s="44">
        <f t="shared" si="19"/>
        <v>0.89470000000000005</v>
      </c>
      <c r="S188">
        <v>6</v>
      </c>
      <c r="T188" s="47">
        <f t="shared" si="20"/>
        <v>0.5</v>
      </c>
      <c r="U188" s="47">
        <f t="shared" si="21"/>
        <v>0</v>
      </c>
      <c r="V188" s="44">
        <f t="shared" si="27"/>
        <v>0.89470000000000005</v>
      </c>
      <c r="W188" t="s">
        <v>348</v>
      </c>
    </row>
    <row r="189" spans="1:23" ht="17.25" thickBot="1" x14ac:dyDescent="0.35">
      <c r="A189" s="14" t="s">
        <v>311</v>
      </c>
      <c r="B189" s="15" t="s">
        <v>112</v>
      </c>
      <c r="C189" s="24">
        <f>+VLOOKUP(B189,'INDICADORES CAPTURA'!C:N,12,FALSE)</f>
        <v>0.73636363636363633</v>
      </c>
      <c r="D189">
        <v>6</v>
      </c>
      <c r="E189">
        <v>4</v>
      </c>
      <c r="F189" s="16">
        <f t="shared" si="16"/>
        <v>0.66666666666666663</v>
      </c>
      <c r="G189">
        <v>57</v>
      </c>
      <c r="H189">
        <v>10</v>
      </c>
      <c r="I189" s="16">
        <f t="shared" si="17"/>
        <v>0.17543859649122806</v>
      </c>
      <c r="J189" s="44">
        <v>1</v>
      </c>
      <c r="K189" s="44">
        <v>1</v>
      </c>
      <c r="L189" s="44">
        <v>0</v>
      </c>
      <c r="M189" s="44">
        <v>1</v>
      </c>
      <c r="N189" s="44">
        <v>8.3299999999999999E-2</v>
      </c>
      <c r="O189" s="44">
        <v>1</v>
      </c>
      <c r="P189" s="44">
        <f t="shared" si="18"/>
        <v>0.36109999999999998</v>
      </c>
      <c r="Q189" s="47">
        <v>0.95</v>
      </c>
      <c r="R189" s="44">
        <f t="shared" si="19"/>
        <v>1</v>
      </c>
      <c r="S189">
        <v>4</v>
      </c>
      <c r="T189" s="47">
        <f t="shared" si="20"/>
        <v>0.66666666666666663</v>
      </c>
      <c r="U189" s="47">
        <f t="shared" si="21"/>
        <v>0</v>
      </c>
      <c r="V189" s="44">
        <f t="shared" si="27"/>
        <v>1</v>
      </c>
      <c r="W189" t="s">
        <v>348</v>
      </c>
    </row>
    <row r="190" spans="1:23" ht="15.75" thickTop="1" x14ac:dyDescent="0.25">
      <c r="A190" s="17"/>
      <c r="B190" s="17"/>
      <c r="C190" s="25"/>
      <c r="D190" s="19"/>
      <c r="E190" s="19"/>
      <c r="F190" s="18"/>
      <c r="G190" s="19"/>
      <c r="H190" s="19"/>
      <c r="I190" s="18"/>
    </row>
  </sheetData>
  <conditionalFormatting sqref="C2:C190">
    <cfRule type="iconSet" priority="4">
      <iconSet iconSet="3Symbols">
        <cfvo type="percent" val="0"/>
        <cfvo type="num" val="0.5"/>
        <cfvo type="num" val="0.9"/>
      </iconSet>
    </cfRule>
  </conditionalFormatting>
  <conditionalFormatting sqref="F2:F190">
    <cfRule type="iconSet" priority="5">
      <iconSet iconSet="3Symbols">
        <cfvo type="percent" val="0"/>
        <cfvo type="num" val="0.5"/>
        <cfvo type="num" val="0.9"/>
      </iconSet>
    </cfRule>
  </conditionalFormatting>
  <conditionalFormatting sqref="I2:I190">
    <cfRule type="iconSet" priority="6">
      <iconSet iconSet="3Symbols">
        <cfvo type="percent" val="0"/>
        <cfvo type="num" val="0.5"/>
        <cfvo type="num" val="0.9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87D0-A3C0-463C-A7BB-F9BECE463208}">
  <dimension ref="A1:D172"/>
  <sheetViews>
    <sheetView workbookViewId="0">
      <selection activeCell="I18" sqref="I18"/>
    </sheetView>
  </sheetViews>
  <sheetFormatPr baseColWidth="10" defaultRowHeight="15" x14ac:dyDescent="0.25"/>
  <sheetData>
    <row r="1" spans="1:4" x14ac:dyDescent="0.25">
      <c r="A1" t="s">
        <v>248</v>
      </c>
      <c r="B1" t="s">
        <v>278</v>
      </c>
      <c r="C1" t="s">
        <v>267</v>
      </c>
      <c r="D1" t="s">
        <v>279</v>
      </c>
    </row>
    <row r="2" spans="1:4" x14ac:dyDescent="0.25">
      <c r="A2" t="s">
        <v>101</v>
      </c>
      <c r="B2">
        <v>233413305</v>
      </c>
      <c r="C2">
        <v>231696745</v>
      </c>
      <c r="D2" s="47">
        <f>+C2/B2</f>
        <v>0.99264583482076996</v>
      </c>
    </row>
    <row r="3" spans="1:4" x14ac:dyDescent="0.25">
      <c r="A3" t="s">
        <v>102</v>
      </c>
      <c r="B3">
        <v>277724546</v>
      </c>
      <c r="C3">
        <v>232819405</v>
      </c>
      <c r="D3" s="47">
        <f t="shared" ref="D3:D66" si="0">+C3/B3</f>
        <v>0.83831050713104771</v>
      </c>
    </row>
    <row r="4" spans="1:4" x14ac:dyDescent="0.25">
      <c r="A4" t="s">
        <v>73</v>
      </c>
      <c r="B4">
        <v>232865770</v>
      </c>
      <c r="C4">
        <v>224851148</v>
      </c>
      <c r="D4" s="47">
        <f t="shared" si="0"/>
        <v>0.96558265304514268</v>
      </c>
    </row>
    <row r="5" spans="1:4" x14ac:dyDescent="0.25">
      <c r="A5" t="s">
        <v>74</v>
      </c>
      <c r="B5">
        <v>224082471</v>
      </c>
      <c r="C5">
        <v>203984069</v>
      </c>
      <c r="D5" s="47">
        <f t="shared" si="0"/>
        <v>0.9103080133385355</v>
      </c>
    </row>
    <row r="6" spans="1:4" x14ac:dyDescent="0.25">
      <c r="A6" t="s">
        <v>75</v>
      </c>
      <c r="B6">
        <v>160316546</v>
      </c>
      <c r="C6">
        <v>144895970</v>
      </c>
      <c r="D6" s="47">
        <f t="shared" si="0"/>
        <v>0.90381170013480705</v>
      </c>
    </row>
    <row r="7" spans="1:4" x14ac:dyDescent="0.25">
      <c r="A7" t="s">
        <v>76</v>
      </c>
      <c r="B7">
        <v>141051614</v>
      </c>
      <c r="C7">
        <v>132186869</v>
      </c>
      <c r="D7" s="47">
        <f t="shared" si="0"/>
        <v>0.93715247384549605</v>
      </c>
    </row>
    <row r="8" spans="1:4" x14ac:dyDescent="0.25">
      <c r="A8" t="s">
        <v>77</v>
      </c>
      <c r="B8">
        <v>128456388</v>
      </c>
      <c r="C8">
        <v>138858125</v>
      </c>
      <c r="D8" s="47">
        <f t="shared" si="0"/>
        <v>1.0809748519474174</v>
      </c>
    </row>
    <row r="9" spans="1:4" x14ac:dyDescent="0.25">
      <c r="A9" t="s">
        <v>172</v>
      </c>
      <c r="B9">
        <v>235319678</v>
      </c>
      <c r="C9">
        <v>224836342</v>
      </c>
      <c r="D9" s="47">
        <f t="shared" si="0"/>
        <v>0.9554506614614694</v>
      </c>
    </row>
    <row r="10" spans="1:4" x14ac:dyDescent="0.25">
      <c r="A10" t="s">
        <v>173</v>
      </c>
      <c r="B10">
        <v>271817836</v>
      </c>
      <c r="C10">
        <v>288160096</v>
      </c>
      <c r="D10" s="47">
        <f t="shared" si="0"/>
        <v>1.0601221032456458</v>
      </c>
    </row>
    <row r="11" spans="1:4" x14ac:dyDescent="0.25">
      <c r="A11" t="s">
        <v>148</v>
      </c>
      <c r="B11">
        <v>9564589</v>
      </c>
      <c r="C11">
        <v>0</v>
      </c>
      <c r="D11" s="47">
        <f t="shared" si="0"/>
        <v>0</v>
      </c>
    </row>
    <row r="12" spans="1:4" x14ac:dyDescent="0.25">
      <c r="A12" t="s">
        <v>111</v>
      </c>
      <c r="B12">
        <v>157599050</v>
      </c>
      <c r="C12">
        <v>146068728</v>
      </c>
      <c r="D12" s="47">
        <f t="shared" si="0"/>
        <v>0.92683761735873404</v>
      </c>
    </row>
    <row r="13" spans="1:4" x14ac:dyDescent="0.25">
      <c r="A13" t="s">
        <v>59</v>
      </c>
      <c r="B13">
        <v>174516361</v>
      </c>
      <c r="C13">
        <v>147976745</v>
      </c>
      <c r="D13" s="47">
        <f t="shared" si="0"/>
        <v>0.84792476849777998</v>
      </c>
    </row>
    <row r="14" spans="1:4" x14ac:dyDescent="0.25">
      <c r="A14" t="s">
        <v>112</v>
      </c>
      <c r="B14">
        <v>388554973</v>
      </c>
      <c r="C14">
        <v>315513720</v>
      </c>
      <c r="D14" s="47">
        <f t="shared" si="0"/>
        <v>0.81201822631157006</v>
      </c>
    </row>
    <row r="15" spans="1:4" x14ac:dyDescent="0.25">
      <c r="A15" t="s">
        <v>159</v>
      </c>
      <c r="B15">
        <v>246086571</v>
      </c>
      <c r="C15">
        <v>305168900</v>
      </c>
      <c r="D15" s="47">
        <f t="shared" si="0"/>
        <v>1.2400875787732439</v>
      </c>
    </row>
    <row r="16" spans="1:4" x14ac:dyDescent="0.25">
      <c r="A16" t="s">
        <v>160</v>
      </c>
      <c r="B16">
        <v>185571157</v>
      </c>
      <c r="C16">
        <v>242720473</v>
      </c>
      <c r="D16" s="47">
        <f t="shared" si="0"/>
        <v>1.3079644322096886</v>
      </c>
    </row>
    <row r="17" spans="1:4" x14ac:dyDescent="0.25">
      <c r="A17" t="s">
        <v>161</v>
      </c>
      <c r="B17">
        <v>348461972</v>
      </c>
      <c r="C17">
        <v>375093870</v>
      </c>
      <c r="D17" s="47">
        <f t="shared" si="0"/>
        <v>1.0764269852665587</v>
      </c>
    </row>
    <row r="18" spans="1:4" x14ac:dyDescent="0.25">
      <c r="A18" t="s">
        <v>162</v>
      </c>
      <c r="B18">
        <v>358333881</v>
      </c>
      <c r="C18">
        <v>337101236</v>
      </c>
      <c r="D18" s="47">
        <f t="shared" si="0"/>
        <v>0.94074619753860222</v>
      </c>
    </row>
    <row r="19" spans="1:4" x14ac:dyDescent="0.25">
      <c r="A19" t="s">
        <v>113</v>
      </c>
      <c r="B19">
        <v>284692420</v>
      </c>
      <c r="C19">
        <v>328988632</v>
      </c>
      <c r="D19" s="47">
        <f t="shared" si="0"/>
        <v>1.1555932258400137</v>
      </c>
    </row>
    <row r="20" spans="1:4" x14ac:dyDescent="0.25">
      <c r="A20" t="s">
        <v>163</v>
      </c>
      <c r="B20">
        <v>371392627</v>
      </c>
      <c r="C20">
        <v>386410661</v>
      </c>
      <c r="D20" s="47">
        <f t="shared" si="0"/>
        <v>1.0404370816979089</v>
      </c>
    </row>
    <row r="21" spans="1:4" x14ac:dyDescent="0.25">
      <c r="A21" t="s">
        <v>164</v>
      </c>
      <c r="B21">
        <v>207655274</v>
      </c>
      <c r="C21">
        <v>217799674</v>
      </c>
      <c r="D21" s="47">
        <f t="shared" si="0"/>
        <v>1.0488521182467054</v>
      </c>
    </row>
    <row r="22" spans="1:4" x14ac:dyDescent="0.25">
      <c r="A22" t="s">
        <v>165</v>
      </c>
      <c r="B22">
        <v>163523237</v>
      </c>
      <c r="C22">
        <v>191852070</v>
      </c>
      <c r="D22" s="47">
        <f t="shared" si="0"/>
        <v>1.173240412309108</v>
      </c>
    </row>
    <row r="23" spans="1:4" x14ac:dyDescent="0.25">
      <c r="A23" t="s">
        <v>166</v>
      </c>
      <c r="B23">
        <v>121980239</v>
      </c>
      <c r="C23">
        <v>115858948</v>
      </c>
      <c r="D23" s="47">
        <f t="shared" si="0"/>
        <v>0.94981735525210764</v>
      </c>
    </row>
    <row r="24" spans="1:4" x14ac:dyDescent="0.25">
      <c r="A24" t="s">
        <v>167</v>
      </c>
      <c r="B24">
        <v>216381425</v>
      </c>
      <c r="C24">
        <v>252541345</v>
      </c>
      <c r="D24" s="47">
        <f t="shared" si="0"/>
        <v>1.1671119413323023</v>
      </c>
    </row>
    <row r="25" spans="1:4" x14ac:dyDescent="0.25">
      <c r="A25" t="s">
        <v>114</v>
      </c>
      <c r="B25">
        <v>330496003</v>
      </c>
      <c r="C25">
        <v>249982112</v>
      </c>
      <c r="D25" s="47">
        <f t="shared" si="0"/>
        <v>0.75638467555082656</v>
      </c>
    </row>
    <row r="26" spans="1:4" x14ac:dyDescent="0.25">
      <c r="A26" t="s">
        <v>169</v>
      </c>
      <c r="B26">
        <v>211330804</v>
      </c>
      <c r="C26">
        <v>201375763</v>
      </c>
      <c r="D26" s="47">
        <f t="shared" si="0"/>
        <v>0.95289356396902747</v>
      </c>
    </row>
    <row r="27" spans="1:4" x14ac:dyDescent="0.25">
      <c r="A27" t="s">
        <v>115</v>
      </c>
      <c r="B27">
        <v>301380750</v>
      </c>
      <c r="C27">
        <v>223326150</v>
      </c>
      <c r="D27" s="47">
        <f t="shared" si="0"/>
        <v>0.74101000146824236</v>
      </c>
    </row>
    <row r="28" spans="1:4" x14ac:dyDescent="0.25">
      <c r="A28" t="s">
        <v>116</v>
      </c>
      <c r="B28">
        <v>175433531</v>
      </c>
      <c r="C28">
        <v>195533763</v>
      </c>
      <c r="D28" s="47">
        <f t="shared" si="0"/>
        <v>1.1145746305476802</v>
      </c>
    </row>
    <row r="29" spans="1:4" x14ac:dyDescent="0.25">
      <c r="A29" t="s">
        <v>117</v>
      </c>
      <c r="B29">
        <v>110708662</v>
      </c>
      <c r="C29">
        <v>116816128</v>
      </c>
      <c r="D29" s="47">
        <f t="shared" si="0"/>
        <v>1.0551670112316958</v>
      </c>
    </row>
    <row r="30" spans="1:4" x14ac:dyDescent="0.25">
      <c r="A30" t="s">
        <v>170</v>
      </c>
      <c r="B30">
        <v>35793799</v>
      </c>
      <c r="C30">
        <v>37620741</v>
      </c>
      <c r="D30" s="47">
        <f t="shared" si="0"/>
        <v>1.0510407403248814</v>
      </c>
    </row>
    <row r="31" spans="1:4" x14ac:dyDescent="0.25">
      <c r="A31" t="s">
        <v>118</v>
      </c>
      <c r="B31">
        <v>15767892</v>
      </c>
      <c r="C31">
        <v>10429915</v>
      </c>
      <c r="D31" s="47">
        <f t="shared" si="0"/>
        <v>0.66146540070162829</v>
      </c>
    </row>
    <row r="32" spans="1:4" x14ac:dyDescent="0.25">
      <c r="A32" t="s">
        <v>78</v>
      </c>
      <c r="B32">
        <v>163103325</v>
      </c>
      <c r="C32">
        <v>206994644</v>
      </c>
      <c r="D32" s="47">
        <f t="shared" si="0"/>
        <v>1.2691013135385192</v>
      </c>
    </row>
    <row r="33" spans="1:4" x14ac:dyDescent="0.25">
      <c r="A33" t="s">
        <v>79</v>
      </c>
      <c r="B33">
        <v>264445082</v>
      </c>
      <c r="C33">
        <v>266801972</v>
      </c>
      <c r="D33" s="47">
        <f t="shared" si="0"/>
        <v>1.0089125877561225</v>
      </c>
    </row>
    <row r="34" spans="1:4" x14ac:dyDescent="0.25">
      <c r="A34" t="s">
        <v>80</v>
      </c>
      <c r="B34">
        <v>141129644</v>
      </c>
      <c r="C34">
        <v>165708491</v>
      </c>
      <c r="D34" s="47">
        <f t="shared" si="0"/>
        <v>1.1741579324043361</v>
      </c>
    </row>
    <row r="35" spans="1:4" x14ac:dyDescent="0.25">
      <c r="A35" t="s">
        <v>103</v>
      </c>
      <c r="B35">
        <v>246409594</v>
      </c>
      <c r="C35">
        <v>250313209</v>
      </c>
      <c r="D35" s="47">
        <f t="shared" si="0"/>
        <v>1.0158419765100541</v>
      </c>
    </row>
    <row r="36" spans="1:4" x14ac:dyDescent="0.25">
      <c r="A36" t="s">
        <v>11</v>
      </c>
      <c r="B36">
        <v>249748951</v>
      </c>
      <c r="C36">
        <v>222993596</v>
      </c>
      <c r="D36" s="47">
        <f t="shared" si="0"/>
        <v>0.89287100148821041</v>
      </c>
    </row>
    <row r="37" spans="1:4" x14ac:dyDescent="0.25">
      <c r="A37" t="s">
        <v>12</v>
      </c>
      <c r="B37">
        <v>279174437</v>
      </c>
      <c r="C37">
        <v>264117984</v>
      </c>
      <c r="D37" s="47">
        <f t="shared" si="0"/>
        <v>0.94606793816154444</v>
      </c>
    </row>
    <row r="38" spans="1:4" x14ac:dyDescent="0.25">
      <c r="A38" t="s">
        <v>13</v>
      </c>
      <c r="B38">
        <v>151752652</v>
      </c>
      <c r="C38">
        <v>167244588</v>
      </c>
      <c r="D38" s="47">
        <f t="shared" si="0"/>
        <v>1.1020867562828489</v>
      </c>
    </row>
    <row r="39" spans="1:4" x14ac:dyDescent="0.25">
      <c r="A39" t="s">
        <v>14</v>
      </c>
      <c r="B39">
        <v>168808496</v>
      </c>
      <c r="C39">
        <v>171252266</v>
      </c>
      <c r="D39" s="47">
        <f t="shared" si="0"/>
        <v>1.0144765817947932</v>
      </c>
    </row>
    <row r="40" spans="1:4" x14ac:dyDescent="0.25">
      <c r="A40" t="s">
        <v>15</v>
      </c>
      <c r="B40">
        <v>89560424</v>
      </c>
      <c r="C40">
        <v>135409040</v>
      </c>
      <c r="D40" s="47">
        <f t="shared" si="0"/>
        <v>1.5119294209683509</v>
      </c>
    </row>
    <row r="41" spans="1:4" x14ac:dyDescent="0.25">
      <c r="A41" t="s">
        <v>16</v>
      </c>
      <c r="B41">
        <v>175223714</v>
      </c>
      <c r="C41">
        <v>206996286</v>
      </c>
      <c r="D41" s="47">
        <f t="shared" si="0"/>
        <v>1.1813257536591195</v>
      </c>
    </row>
    <row r="42" spans="1:4" x14ac:dyDescent="0.25">
      <c r="A42" t="s">
        <v>17</v>
      </c>
      <c r="B42">
        <v>220282744</v>
      </c>
      <c r="C42">
        <v>179542253</v>
      </c>
      <c r="D42" s="47">
        <f t="shared" si="0"/>
        <v>0.81505364305794192</v>
      </c>
    </row>
    <row r="43" spans="1:4" x14ac:dyDescent="0.25">
      <c r="A43" t="s">
        <v>18</v>
      </c>
      <c r="B43">
        <v>227319768</v>
      </c>
      <c r="C43">
        <v>193268704</v>
      </c>
      <c r="D43" s="47">
        <f t="shared" si="0"/>
        <v>0.85020632257551843</v>
      </c>
    </row>
    <row r="44" spans="1:4" x14ac:dyDescent="0.25">
      <c r="A44" t="s">
        <v>19</v>
      </c>
      <c r="B44">
        <v>163618709</v>
      </c>
      <c r="C44">
        <v>233524573</v>
      </c>
      <c r="D44" s="47">
        <f t="shared" si="0"/>
        <v>1.4272485978360825</v>
      </c>
    </row>
    <row r="45" spans="1:4" x14ac:dyDescent="0.25">
      <c r="A45" t="s">
        <v>21</v>
      </c>
      <c r="B45">
        <v>136027901</v>
      </c>
      <c r="C45">
        <v>152732346</v>
      </c>
      <c r="D45" s="47">
        <f t="shared" si="0"/>
        <v>1.1228016081788985</v>
      </c>
    </row>
    <row r="46" spans="1:4" x14ac:dyDescent="0.25">
      <c r="A46" t="s">
        <v>23</v>
      </c>
      <c r="B46">
        <v>762518315</v>
      </c>
      <c r="C46">
        <v>659740298</v>
      </c>
      <c r="D46" s="47">
        <f t="shared" si="0"/>
        <v>0.86521239558685226</v>
      </c>
    </row>
    <row r="47" spans="1:4" x14ac:dyDescent="0.25">
      <c r="A47" t="s">
        <v>24</v>
      </c>
      <c r="B47">
        <v>109834992</v>
      </c>
      <c r="C47">
        <v>118594316</v>
      </c>
      <c r="D47" s="47">
        <f t="shared" si="0"/>
        <v>1.0797498487549395</v>
      </c>
    </row>
    <row r="48" spans="1:4" x14ac:dyDescent="0.25">
      <c r="A48" t="s">
        <v>25</v>
      </c>
      <c r="B48">
        <v>434898067</v>
      </c>
      <c r="C48">
        <v>387463573</v>
      </c>
      <c r="D48" s="47">
        <f t="shared" si="0"/>
        <v>0.89092962788450381</v>
      </c>
    </row>
    <row r="49" spans="1:4" x14ac:dyDescent="0.25">
      <c r="A49" t="s">
        <v>26</v>
      </c>
      <c r="B49">
        <v>224019026</v>
      </c>
      <c r="C49">
        <v>183464044</v>
      </c>
      <c r="D49" s="47">
        <f t="shared" si="0"/>
        <v>0.81896634975995297</v>
      </c>
    </row>
    <row r="50" spans="1:4" x14ac:dyDescent="0.25">
      <c r="A50" t="s">
        <v>153</v>
      </c>
      <c r="B50">
        <v>44723067</v>
      </c>
      <c r="C50">
        <v>0</v>
      </c>
      <c r="D50" s="47">
        <f t="shared" si="0"/>
        <v>0</v>
      </c>
    </row>
    <row r="51" spans="1:4" x14ac:dyDescent="0.25">
      <c r="A51" t="s">
        <v>154</v>
      </c>
      <c r="B51">
        <v>27701007</v>
      </c>
      <c r="C51">
        <v>0</v>
      </c>
      <c r="D51" s="47">
        <f t="shared" si="0"/>
        <v>0</v>
      </c>
    </row>
    <row r="52" spans="1:4" x14ac:dyDescent="0.25">
      <c r="A52" t="s">
        <v>155</v>
      </c>
      <c r="B52">
        <v>8693123</v>
      </c>
      <c r="C52">
        <v>0</v>
      </c>
      <c r="D52" s="47">
        <f t="shared" si="0"/>
        <v>0</v>
      </c>
    </row>
    <row r="53" spans="1:4" x14ac:dyDescent="0.25">
      <c r="A53" t="s">
        <v>156</v>
      </c>
      <c r="B53">
        <v>12063410</v>
      </c>
      <c r="C53">
        <v>0</v>
      </c>
      <c r="D53" s="47">
        <f t="shared" si="0"/>
        <v>0</v>
      </c>
    </row>
    <row r="54" spans="1:4" x14ac:dyDescent="0.25">
      <c r="A54" t="s">
        <v>104</v>
      </c>
      <c r="B54">
        <v>218624716</v>
      </c>
      <c r="C54">
        <v>232021740</v>
      </c>
      <c r="D54" s="47">
        <f t="shared" si="0"/>
        <v>1.0612786342052927</v>
      </c>
    </row>
    <row r="55" spans="1:4" x14ac:dyDescent="0.25">
      <c r="A55" t="s">
        <v>105</v>
      </c>
      <c r="B55">
        <v>166892967</v>
      </c>
      <c r="C55">
        <v>177384593</v>
      </c>
      <c r="D55" s="47">
        <f t="shared" si="0"/>
        <v>1.0628643985938604</v>
      </c>
    </row>
    <row r="56" spans="1:4" x14ac:dyDescent="0.25">
      <c r="A56" t="s">
        <v>60</v>
      </c>
      <c r="B56">
        <v>179592645</v>
      </c>
      <c r="C56">
        <v>189584965</v>
      </c>
      <c r="D56" s="47">
        <f t="shared" si="0"/>
        <v>1.0556388041392231</v>
      </c>
    </row>
    <row r="57" spans="1:4" x14ac:dyDescent="0.25">
      <c r="A57" t="s">
        <v>61</v>
      </c>
      <c r="B57">
        <v>241975438</v>
      </c>
      <c r="C57">
        <v>200807304</v>
      </c>
      <c r="D57" s="47">
        <f t="shared" si="0"/>
        <v>0.82986647595199314</v>
      </c>
    </row>
    <row r="58" spans="1:4" x14ac:dyDescent="0.25">
      <c r="A58" t="s">
        <v>62</v>
      </c>
      <c r="B58">
        <v>214179741</v>
      </c>
      <c r="C58">
        <v>194391732</v>
      </c>
      <c r="D58" s="47">
        <f t="shared" si="0"/>
        <v>0.90761026739685902</v>
      </c>
    </row>
    <row r="59" spans="1:4" x14ac:dyDescent="0.25">
      <c r="A59" t="s">
        <v>174</v>
      </c>
      <c r="B59">
        <v>176273752</v>
      </c>
      <c r="C59">
        <v>197906173</v>
      </c>
      <c r="D59" s="47">
        <f t="shared" si="0"/>
        <v>1.1227206022142195</v>
      </c>
    </row>
    <row r="60" spans="1:4" x14ac:dyDescent="0.25">
      <c r="A60" t="s">
        <v>63</v>
      </c>
      <c r="B60">
        <v>176052388</v>
      </c>
      <c r="C60">
        <v>175979695</v>
      </c>
      <c r="D60" s="47">
        <f t="shared" si="0"/>
        <v>0.99958709449598604</v>
      </c>
    </row>
    <row r="61" spans="1:4" x14ac:dyDescent="0.25">
      <c r="A61" t="s">
        <v>106</v>
      </c>
      <c r="B61">
        <v>230633586</v>
      </c>
      <c r="C61">
        <v>230767532</v>
      </c>
      <c r="D61" s="47">
        <f t="shared" si="0"/>
        <v>1.0005807740421639</v>
      </c>
    </row>
    <row r="62" spans="1:4" x14ac:dyDescent="0.25">
      <c r="A62" t="s">
        <v>107</v>
      </c>
      <c r="B62">
        <v>150173393</v>
      </c>
      <c r="C62">
        <v>139897056</v>
      </c>
      <c r="D62" s="47">
        <f t="shared" si="0"/>
        <v>0.9315701883355596</v>
      </c>
    </row>
    <row r="63" spans="1:4" x14ac:dyDescent="0.25">
      <c r="A63" t="s">
        <v>108</v>
      </c>
      <c r="B63">
        <v>170605604</v>
      </c>
      <c r="C63">
        <v>198303351</v>
      </c>
      <c r="D63" s="47">
        <f t="shared" si="0"/>
        <v>1.1623495732297282</v>
      </c>
    </row>
    <row r="64" spans="1:4" x14ac:dyDescent="0.25">
      <c r="A64" t="s">
        <v>64</v>
      </c>
      <c r="B64">
        <v>147837695</v>
      </c>
      <c r="C64">
        <v>142152776</v>
      </c>
      <c r="D64" s="47">
        <f t="shared" si="0"/>
        <v>0.96154621458349987</v>
      </c>
    </row>
    <row r="65" spans="1:4" x14ac:dyDescent="0.25">
      <c r="A65" t="s">
        <v>175</v>
      </c>
      <c r="B65">
        <v>199077605</v>
      </c>
      <c r="C65">
        <v>181177384</v>
      </c>
      <c r="D65" s="47">
        <f t="shared" si="0"/>
        <v>0.91008420560414116</v>
      </c>
    </row>
    <row r="66" spans="1:4" x14ac:dyDescent="0.25">
      <c r="A66" t="s">
        <v>176</v>
      </c>
      <c r="B66">
        <v>143213151</v>
      </c>
      <c r="C66">
        <v>121747781</v>
      </c>
      <c r="D66" s="47">
        <f t="shared" si="0"/>
        <v>0.85011592964671245</v>
      </c>
    </row>
    <row r="67" spans="1:4" x14ac:dyDescent="0.25">
      <c r="A67" t="s">
        <v>177</v>
      </c>
      <c r="B67">
        <v>292613224</v>
      </c>
      <c r="C67">
        <v>251361193</v>
      </c>
      <c r="D67" s="47">
        <f t="shared" ref="D67:D130" si="1">+C67/B67</f>
        <v>0.85902198664814955</v>
      </c>
    </row>
    <row r="68" spans="1:4" x14ac:dyDescent="0.25">
      <c r="A68" t="s">
        <v>65</v>
      </c>
      <c r="B68">
        <v>373216879</v>
      </c>
      <c r="C68">
        <v>436314294</v>
      </c>
      <c r="D68" s="47">
        <f t="shared" si="1"/>
        <v>1.1690636692774015</v>
      </c>
    </row>
    <row r="69" spans="1:4" x14ac:dyDescent="0.25">
      <c r="A69" t="s">
        <v>66</v>
      </c>
      <c r="B69">
        <v>244956705</v>
      </c>
      <c r="C69">
        <v>291435755</v>
      </c>
      <c r="D69" s="47">
        <f t="shared" si="1"/>
        <v>1.1897439386278486</v>
      </c>
    </row>
    <row r="70" spans="1:4" x14ac:dyDescent="0.25">
      <c r="A70" t="s">
        <v>178</v>
      </c>
      <c r="B70">
        <v>141884136</v>
      </c>
      <c r="C70">
        <v>130390675</v>
      </c>
      <c r="D70" s="47">
        <f t="shared" si="1"/>
        <v>0.91899403750113406</v>
      </c>
    </row>
    <row r="71" spans="1:4" x14ac:dyDescent="0.25">
      <c r="A71" t="s">
        <v>67</v>
      </c>
      <c r="B71">
        <v>257354058</v>
      </c>
      <c r="C71">
        <v>217875520</v>
      </c>
      <c r="D71" s="47">
        <f t="shared" si="1"/>
        <v>0.84659834662486655</v>
      </c>
    </row>
    <row r="72" spans="1:4" x14ac:dyDescent="0.25">
      <c r="A72" t="s">
        <v>179</v>
      </c>
      <c r="B72">
        <v>199329447</v>
      </c>
      <c r="C72">
        <v>201438140</v>
      </c>
      <c r="D72" s="47">
        <f t="shared" si="1"/>
        <v>1.0105789336785749</v>
      </c>
    </row>
    <row r="73" spans="1:4" x14ac:dyDescent="0.25">
      <c r="A73" t="s">
        <v>180</v>
      </c>
      <c r="B73">
        <v>105964573</v>
      </c>
      <c r="C73">
        <v>124159638</v>
      </c>
      <c r="D73" s="47">
        <f t="shared" si="1"/>
        <v>1.1717089446488875</v>
      </c>
    </row>
    <row r="74" spans="1:4" x14ac:dyDescent="0.25">
      <c r="A74" t="s">
        <v>68</v>
      </c>
      <c r="B74">
        <v>222147512</v>
      </c>
      <c r="C74">
        <v>214937177</v>
      </c>
      <c r="D74" s="47">
        <f t="shared" si="1"/>
        <v>0.96754258044537544</v>
      </c>
    </row>
    <row r="75" spans="1:4" x14ac:dyDescent="0.25">
      <c r="A75" t="s">
        <v>69</v>
      </c>
      <c r="B75">
        <v>170216935</v>
      </c>
      <c r="C75">
        <v>143653194</v>
      </c>
      <c r="D75" s="47">
        <f t="shared" si="1"/>
        <v>0.84394184397692273</v>
      </c>
    </row>
    <row r="76" spans="1:4" x14ac:dyDescent="0.25">
      <c r="A76" t="s">
        <v>181</v>
      </c>
      <c r="B76">
        <v>215973644</v>
      </c>
      <c r="C76">
        <v>186210190</v>
      </c>
      <c r="D76" s="47">
        <f t="shared" si="1"/>
        <v>0.86218941603819033</v>
      </c>
    </row>
    <row r="77" spans="1:4" x14ac:dyDescent="0.25">
      <c r="A77" t="s">
        <v>182</v>
      </c>
      <c r="B77">
        <v>248799693</v>
      </c>
      <c r="C77">
        <v>218573894</v>
      </c>
      <c r="D77" s="47">
        <f t="shared" si="1"/>
        <v>0.87851351970920644</v>
      </c>
    </row>
    <row r="78" spans="1:4" x14ac:dyDescent="0.25">
      <c r="A78" t="s">
        <v>43</v>
      </c>
      <c r="B78">
        <v>191341115</v>
      </c>
      <c r="C78">
        <v>178682020</v>
      </c>
      <c r="D78" s="47">
        <f t="shared" si="1"/>
        <v>0.93384017334695679</v>
      </c>
    </row>
    <row r="79" spans="1:4" x14ac:dyDescent="0.25">
      <c r="A79" t="s">
        <v>44</v>
      </c>
      <c r="B79">
        <v>141844064</v>
      </c>
      <c r="C79">
        <v>152086669</v>
      </c>
      <c r="D79" s="47">
        <f t="shared" si="1"/>
        <v>1.0722103182266407</v>
      </c>
    </row>
    <row r="80" spans="1:4" x14ac:dyDescent="0.25">
      <c r="A80" t="s">
        <v>45</v>
      </c>
      <c r="B80">
        <v>131147791</v>
      </c>
      <c r="C80">
        <v>139799031</v>
      </c>
      <c r="D80" s="47">
        <f t="shared" si="1"/>
        <v>1.0659655792448688</v>
      </c>
    </row>
    <row r="81" spans="1:4" x14ac:dyDescent="0.25">
      <c r="A81" t="s">
        <v>46</v>
      </c>
      <c r="B81">
        <v>304049173</v>
      </c>
      <c r="C81">
        <v>325253297</v>
      </c>
      <c r="D81" s="47">
        <f t="shared" si="1"/>
        <v>1.0697391273614811</v>
      </c>
    </row>
    <row r="82" spans="1:4" x14ac:dyDescent="0.25">
      <c r="A82" t="s">
        <v>47</v>
      </c>
      <c r="B82">
        <v>235263226</v>
      </c>
      <c r="C82">
        <v>201664745</v>
      </c>
      <c r="D82" s="47">
        <f t="shared" si="1"/>
        <v>0.85718770599532623</v>
      </c>
    </row>
    <row r="83" spans="1:4" x14ac:dyDescent="0.25">
      <c r="A83" t="s">
        <v>49</v>
      </c>
      <c r="B83">
        <v>156010608</v>
      </c>
      <c r="C83">
        <v>197254890</v>
      </c>
      <c r="D83" s="47">
        <f t="shared" si="1"/>
        <v>1.2643684460225935</v>
      </c>
    </row>
    <row r="84" spans="1:4" x14ac:dyDescent="0.25">
      <c r="A84" t="s">
        <v>50</v>
      </c>
      <c r="B84">
        <v>251101882</v>
      </c>
      <c r="C84">
        <v>208498527</v>
      </c>
      <c r="D84" s="47">
        <f t="shared" si="1"/>
        <v>0.83033438594458642</v>
      </c>
    </row>
    <row r="85" spans="1:4" x14ac:dyDescent="0.25">
      <c r="A85" t="s">
        <v>51</v>
      </c>
      <c r="B85">
        <v>140046766</v>
      </c>
      <c r="C85">
        <v>115013912</v>
      </c>
      <c r="D85" s="47">
        <f t="shared" si="1"/>
        <v>0.82125360895516863</v>
      </c>
    </row>
    <row r="86" spans="1:4" x14ac:dyDescent="0.25">
      <c r="A86" t="s">
        <v>52</v>
      </c>
      <c r="B86">
        <v>134412161</v>
      </c>
      <c r="C86">
        <v>91618010</v>
      </c>
      <c r="D86" s="47">
        <f t="shared" si="1"/>
        <v>0.6816199465761138</v>
      </c>
    </row>
    <row r="87" spans="1:4" x14ac:dyDescent="0.25">
      <c r="A87" t="s">
        <v>53</v>
      </c>
      <c r="B87">
        <v>156259625</v>
      </c>
      <c r="C87">
        <v>167189757</v>
      </c>
      <c r="D87" s="47">
        <f t="shared" si="1"/>
        <v>1.0699485359701841</v>
      </c>
    </row>
    <row r="88" spans="1:4" x14ac:dyDescent="0.25">
      <c r="A88" t="s">
        <v>54</v>
      </c>
      <c r="B88">
        <v>146372153</v>
      </c>
      <c r="C88">
        <v>156182922</v>
      </c>
      <c r="D88" s="47">
        <f t="shared" si="1"/>
        <v>1.0670261986239964</v>
      </c>
    </row>
    <row r="89" spans="1:4" x14ac:dyDescent="0.25">
      <c r="A89" t="s">
        <v>55</v>
      </c>
      <c r="B89">
        <v>492885999</v>
      </c>
      <c r="C89">
        <v>508199154</v>
      </c>
      <c r="D89" s="47">
        <f t="shared" si="1"/>
        <v>1.0310683505538163</v>
      </c>
    </row>
    <row r="90" spans="1:4" x14ac:dyDescent="0.25">
      <c r="A90" t="s">
        <v>56</v>
      </c>
      <c r="B90">
        <v>216298139</v>
      </c>
      <c r="C90">
        <v>128873521</v>
      </c>
      <c r="D90" s="47">
        <f t="shared" si="1"/>
        <v>0.59581428483765175</v>
      </c>
    </row>
    <row r="91" spans="1:4" x14ac:dyDescent="0.25">
      <c r="A91" t="s">
        <v>57</v>
      </c>
      <c r="B91">
        <v>110533567</v>
      </c>
      <c r="C91">
        <v>116020524</v>
      </c>
      <c r="D91" s="47">
        <f t="shared" si="1"/>
        <v>1.0496406399333877</v>
      </c>
    </row>
    <row r="92" spans="1:4" x14ac:dyDescent="0.25">
      <c r="A92" t="s">
        <v>58</v>
      </c>
      <c r="B92">
        <v>138369364</v>
      </c>
      <c r="C92">
        <v>163338610</v>
      </c>
      <c r="D92" s="47">
        <f t="shared" si="1"/>
        <v>1.1804535720782818</v>
      </c>
    </row>
    <row r="93" spans="1:4" x14ac:dyDescent="0.25">
      <c r="A93" t="s">
        <v>183</v>
      </c>
      <c r="B93">
        <v>227452814</v>
      </c>
      <c r="C93">
        <v>269691231</v>
      </c>
      <c r="D93" s="47">
        <f t="shared" si="1"/>
        <v>1.1857018880408312</v>
      </c>
    </row>
    <row r="94" spans="1:4" x14ac:dyDescent="0.25">
      <c r="A94" t="s">
        <v>184</v>
      </c>
      <c r="B94">
        <v>276072832</v>
      </c>
      <c r="C94">
        <v>285295617</v>
      </c>
      <c r="D94" s="47">
        <f t="shared" si="1"/>
        <v>1.033407072087412</v>
      </c>
    </row>
    <row r="95" spans="1:4" x14ac:dyDescent="0.25">
      <c r="A95" t="s">
        <v>185</v>
      </c>
      <c r="B95">
        <v>357723661</v>
      </c>
      <c r="C95">
        <v>336476556</v>
      </c>
      <c r="D95" s="47">
        <f t="shared" si="1"/>
        <v>0.94060469765794996</v>
      </c>
    </row>
    <row r="96" spans="1:4" x14ac:dyDescent="0.25">
      <c r="A96" t="s">
        <v>186</v>
      </c>
      <c r="B96">
        <v>182703715</v>
      </c>
      <c r="C96">
        <v>145741290</v>
      </c>
      <c r="D96" s="47">
        <f t="shared" si="1"/>
        <v>0.79769199000688085</v>
      </c>
    </row>
    <row r="97" spans="1:4" x14ac:dyDescent="0.25">
      <c r="A97" t="s">
        <v>187</v>
      </c>
      <c r="B97">
        <v>317839560</v>
      </c>
      <c r="C97">
        <v>308803129</v>
      </c>
      <c r="D97" s="47">
        <f t="shared" si="1"/>
        <v>0.97156920617433529</v>
      </c>
    </row>
    <row r="98" spans="1:4" x14ac:dyDescent="0.25">
      <c r="A98" t="s">
        <v>188</v>
      </c>
      <c r="B98">
        <v>307860940</v>
      </c>
      <c r="C98">
        <v>272868693</v>
      </c>
      <c r="D98" s="47">
        <f t="shared" si="1"/>
        <v>0.88633749055661304</v>
      </c>
    </row>
    <row r="99" spans="1:4" x14ac:dyDescent="0.25">
      <c r="A99" t="s">
        <v>189</v>
      </c>
      <c r="B99">
        <v>12134018</v>
      </c>
      <c r="C99">
        <v>12822170</v>
      </c>
      <c r="D99" s="47">
        <f t="shared" si="1"/>
        <v>1.0567126239634719</v>
      </c>
    </row>
    <row r="100" spans="1:4" x14ac:dyDescent="0.25">
      <c r="A100" t="s">
        <v>190</v>
      </c>
      <c r="B100">
        <v>265555838</v>
      </c>
      <c r="C100">
        <v>245269400</v>
      </c>
      <c r="D100" s="47">
        <f t="shared" si="1"/>
        <v>0.92360763689932512</v>
      </c>
    </row>
    <row r="101" spans="1:4" x14ac:dyDescent="0.25">
      <c r="A101" t="s">
        <v>191</v>
      </c>
      <c r="B101">
        <v>162930810</v>
      </c>
      <c r="C101">
        <v>134867592</v>
      </c>
      <c r="D101" s="47">
        <f t="shared" si="1"/>
        <v>0.82775990618348982</v>
      </c>
    </row>
    <row r="102" spans="1:4" x14ac:dyDescent="0.25">
      <c r="A102" t="s">
        <v>193</v>
      </c>
      <c r="B102">
        <v>243215232</v>
      </c>
      <c r="C102">
        <v>234731280</v>
      </c>
      <c r="D102" s="47">
        <f t="shared" si="1"/>
        <v>0.96511751369256349</v>
      </c>
    </row>
    <row r="103" spans="1:4" x14ac:dyDescent="0.25">
      <c r="A103" t="s">
        <v>194</v>
      </c>
      <c r="B103">
        <v>294233608</v>
      </c>
      <c r="C103">
        <v>311033264</v>
      </c>
      <c r="D103" s="47">
        <f t="shared" si="1"/>
        <v>1.057096319194101</v>
      </c>
    </row>
    <row r="104" spans="1:4" x14ac:dyDescent="0.25">
      <c r="A104" t="s">
        <v>195</v>
      </c>
      <c r="B104">
        <v>17116849</v>
      </c>
      <c r="C104">
        <v>20008914</v>
      </c>
      <c r="D104" s="47">
        <f t="shared" si="1"/>
        <v>1.1689601281170383</v>
      </c>
    </row>
    <row r="105" spans="1:4" x14ac:dyDescent="0.25">
      <c r="A105" t="s">
        <v>196</v>
      </c>
      <c r="B105">
        <v>84040849</v>
      </c>
      <c r="C105">
        <v>122095994</v>
      </c>
      <c r="D105" s="47">
        <f t="shared" si="1"/>
        <v>1.4528172365322012</v>
      </c>
    </row>
    <row r="106" spans="1:4" x14ac:dyDescent="0.25">
      <c r="A106" t="s">
        <v>197</v>
      </c>
      <c r="B106">
        <v>151819185</v>
      </c>
      <c r="C106">
        <v>125718473</v>
      </c>
      <c r="D106" s="47">
        <f t="shared" si="1"/>
        <v>0.82808027852342903</v>
      </c>
    </row>
    <row r="107" spans="1:4" x14ac:dyDescent="0.25">
      <c r="A107" t="s">
        <v>198</v>
      </c>
      <c r="B107">
        <v>238124768</v>
      </c>
      <c r="C107">
        <v>215243743</v>
      </c>
      <c r="D107" s="47">
        <f t="shared" si="1"/>
        <v>0.90391161241992268</v>
      </c>
    </row>
    <row r="108" spans="1:4" x14ac:dyDescent="0.25">
      <c r="A108" t="s">
        <v>119</v>
      </c>
      <c r="B108">
        <v>340555841</v>
      </c>
      <c r="C108">
        <v>261123545</v>
      </c>
      <c r="D108" s="47">
        <f t="shared" si="1"/>
        <v>0.766756911974386</v>
      </c>
    </row>
    <row r="109" spans="1:4" x14ac:dyDescent="0.25">
      <c r="A109" t="s">
        <v>120</v>
      </c>
      <c r="B109">
        <v>141093998</v>
      </c>
      <c r="C109">
        <v>142022553</v>
      </c>
      <c r="D109" s="47">
        <f t="shared" si="1"/>
        <v>1.0065811091411556</v>
      </c>
    </row>
    <row r="110" spans="1:4" x14ac:dyDescent="0.25">
      <c r="A110" t="s">
        <v>121</v>
      </c>
      <c r="B110">
        <v>218481975</v>
      </c>
      <c r="C110">
        <v>231510640</v>
      </c>
      <c r="D110" s="47">
        <f t="shared" si="1"/>
        <v>1.0596326767917583</v>
      </c>
    </row>
    <row r="111" spans="1:4" x14ac:dyDescent="0.25">
      <c r="A111" t="s">
        <v>109</v>
      </c>
      <c r="B111">
        <v>172950401</v>
      </c>
      <c r="C111">
        <v>181671788</v>
      </c>
      <c r="D111" s="47">
        <f t="shared" si="1"/>
        <v>1.0504270990386428</v>
      </c>
    </row>
    <row r="112" spans="1:4" x14ac:dyDescent="0.25">
      <c r="A112" t="s">
        <v>110</v>
      </c>
      <c r="B112">
        <v>296899866</v>
      </c>
      <c r="C112">
        <v>316477537</v>
      </c>
      <c r="D112" s="47">
        <f t="shared" si="1"/>
        <v>1.0659403160525509</v>
      </c>
    </row>
    <row r="113" spans="1:4" x14ac:dyDescent="0.25">
      <c r="A113" t="s">
        <v>171</v>
      </c>
      <c r="B113">
        <v>193387220</v>
      </c>
      <c r="C113">
        <v>179953096</v>
      </c>
      <c r="D113" s="47">
        <f t="shared" si="1"/>
        <v>0.93053251398929049</v>
      </c>
    </row>
    <row r="114" spans="1:4" x14ac:dyDescent="0.25">
      <c r="A114" t="s">
        <v>70</v>
      </c>
      <c r="B114">
        <v>280817884</v>
      </c>
      <c r="C114">
        <v>256155869</v>
      </c>
      <c r="D114" s="47">
        <f t="shared" si="1"/>
        <v>0.91217790459527859</v>
      </c>
    </row>
    <row r="115" spans="1:4" x14ac:dyDescent="0.25">
      <c r="A115" t="s">
        <v>71</v>
      </c>
      <c r="B115">
        <v>119283866</v>
      </c>
      <c r="C115">
        <v>134459451</v>
      </c>
      <c r="D115" s="47">
        <f t="shared" si="1"/>
        <v>1.1272224443161492</v>
      </c>
    </row>
    <row r="116" spans="1:4" x14ac:dyDescent="0.25">
      <c r="A116" t="s">
        <v>72</v>
      </c>
      <c r="B116">
        <v>62974562</v>
      </c>
      <c r="C116">
        <v>59680564</v>
      </c>
      <c r="D116" s="47">
        <f t="shared" si="1"/>
        <v>0.94769319713569422</v>
      </c>
    </row>
    <row r="117" spans="1:4" x14ac:dyDescent="0.25">
      <c r="A117" t="s">
        <v>81</v>
      </c>
      <c r="B117">
        <v>189334178</v>
      </c>
      <c r="C117">
        <v>220355114</v>
      </c>
      <c r="D117" s="47">
        <f t="shared" si="1"/>
        <v>1.1638422408869042</v>
      </c>
    </row>
    <row r="118" spans="1:4" x14ac:dyDescent="0.25">
      <c r="A118" t="s">
        <v>82</v>
      </c>
      <c r="B118">
        <v>109644414</v>
      </c>
      <c r="C118">
        <v>92888535</v>
      </c>
      <c r="D118" s="47">
        <f t="shared" si="1"/>
        <v>0.84717982076132037</v>
      </c>
    </row>
    <row r="119" spans="1:4" x14ac:dyDescent="0.25">
      <c r="A119" t="s">
        <v>124</v>
      </c>
      <c r="B119">
        <v>149642979</v>
      </c>
      <c r="C119">
        <v>163187910</v>
      </c>
      <c r="D119" s="47">
        <f t="shared" si="1"/>
        <v>1.0905149783204997</v>
      </c>
    </row>
    <row r="120" spans="1:4" x14ac:dyDescent="0.25">
      <c r="A120" t="s">
        <v>125</v>
      </c>
      <c r="B120">
        <v>181782343</v>
      </c>
      <c r="C120">
        <v>145030950</v>
      </c>
      <c r="D120" s="47">
        <f t="shared" si="1"/>
        <v>0.79782748756847077</v>
      </c>
    </row>
    <row r="121" spans="1:4" x14ac:dyDescent="0.25">
      <c r="A121" t="s">
        <v>126</v>
      </c>
      <c r="B121">
        <v>176215243</v>
      </c>
      <c r="C121">
        <v>134850063</v>
      </c>
      <c r="D121" s="47">
        <f t="shared" si="1"/>
        <v>0.76525765140533275</v>
      </c>
    </row>
    <row r="122" spans="1:4" x14ac:dyDescent="0.25">
      <c r="A122" t="s">
        <v>128</v>
      </c>
      <c r="B122">
        <v>254921179</v>
      </c>
      <c r="C122">
        <v>279013237</v>
      </c>
      <c r="D122" s="47">
        <f t="shared" si="1"/>
        <v>1.0945078713918861</v>
      </c>
    </row>
    <row r="123" spans="1:4" x14ac:dyDescent="0.25">
      <c r="A123" t="s">
        <v>129</v>
      </c>
      <c r="B123">
        <v>195027288</v>
      </c>
      <c r="C123">
        <v>180757259</v>
      </c>
      <c r="D123" s="47">
        <f t="shared" si="1"/>
        <v>0.92683060331536782</v>
      </c>
    </row>
    <row r="124" spans="1:4" x14ac:dyDescent="0.25">
      <c r="A124" t="s">
        <v>130</v>
      </c>
      <c r="B124">
        <v>289791532</v>
      </c>
      <c r="C124">
        <v>210111249</v>
      </c>
      <c r="D124" s="47">
        <f t="shared" si="1"/>
        <v>0.72504274900620624</v>
      </c>
    </row>
    <row r="125" spans="1:4" x14ac:dyDescent="0.25">
      <c r="A125" t="s">
        <v>131</v>
      </c>
      <c r="B125">
        <v>134781803</v>
      </c>
      <c r="C125">
        <v>139643300</v>
      </c>
      <c r="D125" s="47">
        <f t="shared" si="1"/>
        <v>1.0360693869038093</v>
      </c>
    </row>
    <row r="126" spans="1:4" x14ac:dyDescent="0.25">
      <c r="A126" t="s">
        <v>132</v>
      </c>
      <c r="B126">
        <v>140607207</v>
      </c>
      <c r="C126">
        <v>152776696</v>
      </c>
      <c r="D126" s="47">
        <f t="shared" si="1"/>
        <v>1.0865495393845637</v>
      </c>
    </row>
    <row r="127" spans="1:4" x14ac:dyDescent="0.25">
      <c r="A127" t="s">
        <v>133</v>
      </c>
      <c r="B127">
        <v>151363602</v>
      </c>
      <c r="C127">
        <v>158018280</v>
      </c>
      <c r="D127" s="47">
        <f t="shared" si="1"/>
        <v>1.0439648496208487</v>
      </c>
    </row>
    <row r="128" spans="1:4" x14ac:dyDescent="0.25">
      <c r="A128" t="s">
        <v>134</v>
      </c>
      <c r="B128">
        <v>136356562</v>
      </c>
      <c r="C128">
        <v>105251613</v>
      </c>
      <c r="D128" s="47">
        <f t="shared" si="1"/>
        <v>0.77188520637532643</v>
      </c>
    </row>
    <row r="129" spans="1:4" x14ac:dyDescent="0.25">
      <c r="A129" t="s">
        <v>135</v>
      </c>
      <c r="B129">
        <v>200883300</v>
      </c>
      <c r="C129">
        <v>216345894</v>
      </c>
      <c r="D129" s="47">
        <f t="shared" si="1"/>
        <v>1.0769730186630746</v>
      </c>
    </row>
    <row r="130" spans="1:4" x14ac:dyDescent="0.25">
      <c r="A130" t="s">
        <v>136</v>
      </c>
      <c r="B130">
        <v>240848185</v>
      </c>
      <c r="C130">
        <v>249797990</v>
      </c>
      <c r="D130" s="47">
        <f t="shared" si="1"/>
        <v>1.0371595285220854</v>
      </c>
    </row>
    <row r="131" spans="1:4" x14ac:dyDescent="0.25">
      <c r="A131" t="s">
        <v>137</v>
      </c>
      <c r="B131">
        <v>133809201</v>
      </c>
      <c r="C131">
        <v>152712816</v>
      </c>
      <c r="D131" s="47">
        <f t="shared" ref="D131:D172" si="2">+C131/B131</f>
        <v>1.1412729084302655</v>
      </c>
    </row>
    <row r="132" spans="1:4" x14ac:dyDescent="0.25">
      <c r="A132" t="s">
        <v>138</v>
      </c>
      <c r="B132">
        <v>100852325</v>
      </c>
      <c r="C132">
        <v>106170315</v>
      </c>
      <c r="D132" s="47">
        <f t="shared" si="2"/>
        <v>1.0527304650636462</v>
      </c>
    </row>
    <row r="133" spans="1:4" x14ac:dyDescent="0.25">
      <c r="A133" t="s">
        <v>139</v>
      </c>
      <c r="B133">
        <v>126331292</v>
      </c>
      <c r="C133">
        <v>118458815</v>
      </c>
      <c r="D133" s="47">
        <f t="shared" si="2"/>
        <v>0.93768387170456546</v>
      </c>
    </row>
    <row r="134" spans="1:4" x14ac:dyDescent="0.25">
      <c r="A134" t="s">
        <v>140</v>
      </c>
      <c r="B134">
        <v>178437084</v>
      </c>
      <c r="C134">
        <v>204530994</v>
      </c>
      <c r="D134" s="47">
        <f t="shared" si="2"/>
        <v>1.1462359136063891</v>
      </c>
    </row>
    <row r="135" spans="1:4" x14ac:dyDescent="0.25">
      <c r="A135" t="s">
        <v>141</v>
      </c>
      <c r="B135">
        <v>145551083</v>
      </c>
      <c r="C135">
        <v>146599355</v>
      </c>
      <c r="D135" s="47">
        <f t="shared" si="2"/>
        <v>1.0072020900043732</v>
      </c>
    </row>
    <row r="136" spans="1:4" x14ac:dyDescent="0.25">
      <c r="A136" t="s">
        <v>83</v>
      </c>
      <c r="B136">
        <v>79830572</v>
      </c>
      <c r="C136">
        <v>61561487</v>
      </c>
      <c r="D136" s="47">
        <f t="shared" si="2"/>
        <v>0.77115177127880286</v>
      </c>
    </row>
    <row r="137" spans="1:4" x14ac:dyDescent="0.25">
      <c r="A137" t="s">
        <v>27</v>
      </c>
      <c r="B137">
        <v>150310943</v>
      </c>
      <c r="C137">
        <v>180842242</v>
      </c>
      <c r="D137" s="47">
        <f t="shared" si="2"/>
        <v>1.2031209331179566</v>
      </c>
    </row>
    <row r="138" spans="1:4" x14ac:dyDescent="0.25">
      <c r="A138" t="s">
        <v>28</v>
      </c>
      <c r="B138">
        <v>131205586</v>
      </c>
      <c r="C138">
        <v>129745836</v>
      </c>
      <c r="D138" s="47">
        <f t="shared" si="2"/>
        <v>0.98887433039626838</v>
      </c>
    </row>
    <row r="139" spans="1:4" x14ac:dyDescent="0.25">
      <c r="A139" t="s">
        <v>29</v>
      </c>
      <c r="B139">
        <v>208406192</v>
      </c>
      <c r="C139">
        <v>190603482</v>
      </c>
      <c r="D139" s="47">
        <f t="shared" si="2"/>
        <v>0.91457686631498936</v>
      </c>
    </row>
    <row r="140" spans="1:4" x14ac:dyDescent="0.25">
      <c r="A140" t="s">
        <v>30</v>
      </c>
      <c r="B140">
        <v>297006890</v>
      </c>
      <c r="C140">
        <v>293993083</v>
      </c>
      <c r="D140" s="47">
        <f t="shared" si="2"/>
        <v>0.98985273708633492</v>
      </c>
    </row>
    <row r="141" spans="1:4" x14ac:dyDescent="0.25">
      <c r="A141" t="s">
        <v>31</v>
      </c>
      <c r="B141">
        <v>166066455</v>
      </c>
      <c r="C141">
        <v>191269473</v>
      </c>
      <c r="D141" s="47">
        <f t="shared" si="2"/>
        <v>1.1517646534936872</v>
      </c>
    </row>
    <row r="142" spans="1:4" x14ac:dyDescent="0.25">
      <c r="A142" t="s">
        <v>32</v>
      </c>
      <c r="B142">
        <v>109267889</v>
      </c>
      <c r="C142">
        <v>131855583</v>
      </c>
      <c r="D142" s="47">
        <f t="shared" si="2"/>
        <v>1.2067184989727402</v>
      </c>
    </row>
    <row r="143" spans="1:4" x14ac:dyDescent="0.25">
      <c r="A143" t="s">
        <v>33</v>
      </c>
      <c r="B143">
        <v>174290540</v>
      </c>
      <c r="C143">
        <v>166678009</v>
      </c>
      <c r="D143" s="47">
        <f t="shared" si="2"/>
        <v>0.95632275280115608</v>
      </c>
    </row>
    <row r="144" spans="1:4" x14ac:dyDescent="0.25">
      <c r="A144" t="s">
        <v>34</v>
      </c>
      <c r="B144">
        <v>51328116</v>
      </c>
      <c r="C144">
        <v>45959584</v>
      </c>
      <c r="D144" s="47">
        <f t="shared" si="2"/>
        <v>0.89540757739871069</v>
      </c>
    </row>
    <row r="145" spans="1:4" x14ac:dyDescent="0.25">
      <c r="A145" t="s">
        <v>35</v>
      </c>
      <c r="B145">
        <v>108043413</v>
      </c>
      <c r="C145">
        <v>128905071</v>
      </c>
      <c r="D145" s="47">
        <f t="shared" si="2"/>
        <v>1.1930858848377921</v>
      </c>
    </row>
    <row r="146" spans="1:4" x14ac:dyDescent="0.25">
      <c r="A146" t="s">
        <v>36</v>
      </c>
      <c r="B146">
        <v>153942332</v>
      </c>
      <c r="C146">
        <v>137075442</v>
      </c>
      <c r="D146" s="47">
        <f t="shared" si="2"/>
        <v>0.89043371124194737</v>
      </c>
    </row>
    <row r="147" spans="1:4" x14ac:dyDescent="0.25">
      <c r="A147" t="s">
        <v>37</v>
      </c>
      <c r="B147">
        <v>163522715</v>
      </c>
      <c r="C147">
        <v>155606897</v>
      </c>
      <c r="D147" s="47">
        <f t="shared" si="2"/>
        <v>0.95159193632517658</v>
      </c>
    </row>
    <row r="148" spans="1:4" x14ac:dyDescent="0.25">
      <c r="A148" t="s">
        <v>38</v>
      </c>
      <c r="B148">
        <v>165890656</v>
      </c>
      <c r="C148">
        <v>150196045</v>
      </c>
      <c r="D148" s="47">
        <f t="shared" si="2"/>
        <v>0.90539183231634213</v>
      </c>
    </row>
    <row r="149" spans="1:4" x14ac:dyDescent="0.25">
      <c r="A149" t="s">
        <v>39</v>
      </c>
      <c r="B149">
        <v>234287318</v>
      </c>
      <c r="C149">
        <v>193329677</v>
      </c>
      <c r="D149" s="47">
        <f t="shared" si="2"/>
        <v>0.82518199726030417</v>
      </c>
    </row>
    <row r="150" spans="1:4" x14ac:dyDescent="0.25">
      <c r="A150" t="s">
        <v>40</v>
      </c>
      <c r="B150">
        <v>170206671</v>
      </c>
      <c r="C150">
        <v>177337925</v>
      </c>
      <c r="D150" s="47">
        <f t="shared" si="2"/>
        <v>1.0418976175146508</v>
      </c>
    </row>
    <row r="151" spans="1:4" x14ac:dyDescent="0.25">
      <c r="A151" t="s">
        <v>41</v>
      </c>
      <c r="B151">
        <v>404633932</v>
      </c>
      <c r="C151">
        <v>351416622</v>
      </c>
      <c r="D151" s="47">
        <f t="shared" si="2"/>
        <v>0.86848035769773257</v>
      </c>
    </row>
    <row r="152" spans="1:4" x14ac:dyDescent="0.25">
      <c r="A152" t="s">
        <v>42</v>
      </c>
      <c r="B152">
        <v>115942155</v>
      </c>
      <c r="C152">
        <v>96573268</v>
      </c>
      <c r="D152" s="47">
        <f t="shared" si="2"/>
        <v>0.83294353119449949</v>
      </c>
    </row>
    <row r="153" spans="1:4" x14ac:dyDescent="0.25">
      <c r="A153" t="s">
        <v>122</v>
      </c>
      <c r="B153">
        <v>241792169</v>
      </c>
      <c r="C153">
        <v>190076050</v>
      </c>
      <c r="D153" s="47">
        <f t="shared" si="2"/>
        <v>0.78611334182621939</v>
      </c>
    </row>
    <row r="154" spans="1:4" x14ac:dyDescent="0.25">
      <c r="A154" t="s">
        <v>84</v>
      </c>
      <c r="B154">
        <v>164817993</v>
      </c>
      <c r="C154">
        <v>183246216</v>
      </c>
      <c r="D154" s="47">
        <f t="shared" si="2"/>
        <v>1.111809534047657</v>
      </c>
    </row>
    <row r="155" spans="1:4" x14ac:dyDescent="0.25">
      <c r="A155" t="s">
        <v>85</v>
      </c>
      <c r="B155">
        <v>198008438</v>
      </c>
      <c r="C155">
        <v>240368931</v>
      </c>
      <c r="D155" s="47">
        <f t="shared" si="2"/>
        <v>1.2139327668450171</v>
      </c>
    </row>
    <row r="156" spans="1:4" x14ac:dyDescent="0.25">
      <c r="A156" t="s">
        <v>86</v>
      </c>
      <c r="B156">
        <v>162862460</v>
      </c>
      <c r="C156">
        <v>183717113</v>
      </c>
      <c r="D156" s="47">
        <f t="shared" si="2"/>
        <v>1.1280507060988763</v>
      </c>
    </row>
    <row r="157" spans="1:4" x14ac:dyDescent="0.25">
      <c r="A157" t="s">
        <v>87</v>
      </c>
      <c r="B157">
        <v>164053282</v>
      </c>
      <c r="C157">
        <v>198083658</v>
      </c>
      <c r="D157" s="47">
        <f t="shared" si="2"/>
        <v>1.2074348991079618</v>
      </c>
    </row>
    <row r="158" spans="1:4" x14ac:dyDescent="0.25">
      <c r="A158" t="s">
        <v>88</v>
      </c>
      <c r="B158">
        <v>42148071</v>
      </c>
      <c r="C158">
        <v>35638826</v>
      </c>
      <c r="D158" s="47">
        <f t="shared" si="2"/>
        <v>0.84556244578785111</v>
      </c>
    </row>
    <row r="159" spans="1:4" x14ac:dyDescent="0.25">
      <c r="A159" t="s">
        <v>89</v>
      </c>
      <c r="B159">
        <v>126864108</v>
      </c>
      <c r="C159">
        <v>130251417</v>
      </c>
      <c r="D159" s="47">
        <f t="shared" si="2"/>
        <v>1.0267002941446606</v>
      </c>
    </row>
    <row r="160" spans="1:4" x14ac:dyDescent="0.25">
      <c r="A160" t="s">
        <v>90</v>
      </c>
      <c r="B160">
        <v>173881216</v>
      </c>
      <c r="C160">
        <v>170554664</v>
      </c>
      <c r="D160" s="47">
        <f t="shared" si="2"/>
        <v>0.98086882484189664</v>
      </c>
    </row>
    <row r="161" spans="1:4" x14ac:dyDescent="0.25">
      <c r="A161" t="s">
        <v>91</v>
      </c>
      <c r="B161">
        <v>106850726</v>
      </c>
      <c r="C161">
        <v>68883572</v>
      </c>
      <c r="D161" s="47">
        <f t="shared" si="2"/>
        <v>0.6446710713037177</v>
      </c>
    </row>
    <row r="162" spans="1:4" x14ac:dyDescent="0.25">
      <c r="A162" t="s">
        <v>92</v>
      </c>
      <c r="B162">
        <v>329055079</v>
      </c>
      <c r="C162">
        <v>315070620</v>
      </c>
      <c r="D162" s="47">
        <f t="shared" si="2"/>
        <v>0.95750116046681655</v>
      </c>
    </row>
    <row r="163" spans="1:4" x14ac:dyDescent="0.25">
      <c r="A163" t="s">
        <v>93</v>
      </c>
      <c r="B163">
        <v>165529977</v>
      </c>
      <c r="C163">
        <v>192183043</v>
      </c>
      <c r="D163" s="47">
        <f t="shared" si="2"/>
        <v>1.1610165510987778</v>
      </c>
    </row>
    <row r="164" spans="1:4" x14ac:dyDescent="0.25">
      <c r="A164" t="s">
        <v>94</v>
      </c>
      <c r="B164">
        <v>268769939</v>
      </c>
      <c r="C164">
        <v>269051643</v>
      </c>
      <c r="D164" s="47">
        <f t="shared" si="2"/>
        <v>1.0010481231682684</v>
      </c>
    </row>
    <row r="165" spans="1:4" x14ac:dyDescent="0.25">
      <c r="A165" t="s">
        <v>95</v>
      </c>
      <c r="B165">
        <v>165129093</v>
      </c>
      <c r="C165">
        <v>158804063</v>
      </c>
      <c r="D165" s="47">
        <f t="shared" si="2"/>
        <v>0.96169645284734895</v>
      </c>
    </row>
    <row r="166" spans="1:4" x14ac:dyDescent="0.25">
      <c r="A166" t="s">
        <v>96</v>
      </c>
      <c r="B166">
        <v>325195156</v>
      </c>
      <c r="C166">
        <v>324103158</v>
      </c>
      <c r="D166" s="47">
        <f t="shared" si="2"/>
        <v>0.99664202255214407</v>
      </c>
    </row>
    <row r="167" spans="1:4" x14ac:dyDescent="0.25">
      <c r="A167" t="s">
        <v>97</v>
      </c>
      <c r="B167">
        <v>50582304</v>
      </c>
      <c r="C167">
        <v>56080258</v>
      </c>
      <c r="D167" s="47">
        <f t="shared" si="2"/>
        <v>1.1086932299485606</v>
      </c>
    </row>
    <row r="168" spans="1:4" x14ac:dyDescent="0.25">
      <c r="A168" t="s">
        <v>98</v>
      </c>
      <c r="B168">
        <v>280104318</v>
      </c>
      <c r="C168">
        <v>277286933</v>
      </c>
      <c r="D168" s="47">
        <f t="shared" si="2"/>
        <v>0.98994165809325363</v>
      </c>
    </row>
    <row r="169" spans="1:4" x14ac:dyDescent="0.25">
      <c r="A169" t="s">
        <v>99</v>
      </c>
      <c r="B169">
        <v>133246457</v>
      </c>
      <c r="C169">
        <v>159312969</v>
      </c>
      <c r="D169" s="47">
        <f t="shared" si="2"/>
        <v>1.1956263047204325</v>
      </c>
    </row>
    <row r="170" spans="1:4" x14ac:dyDescent="0.25">
      <c r="A170" t="s">
        <v>100</v>
      </c>
      <c r="B170">
        <v>133829068</v>
      </c>
      <c r="C170">
        <v>136578608</v>
      </c>
      <c r="D170" s="47">
        <f t="shared" si="2"/>
        <v>1.0205451628789644</v>
      </c>
    </row>
    <row r="171" spans="1:4" x14ac:dyDescent="0.25">
      <c r="A171" t="s">
        <v>123</v>
      </c>
      <c r="B171">
        <v>62766014</v>
      </c>
      <c r="C171">
        <v>47627672</v>
      </c>
      <c r="D171" s="47">
        <f t="shared" si="2"/>
        <v>0.75881307358469507</v>
      </c>
    </row>
    <row r="172" spans="1:4" x14ac:dyDescent="0.25">
      <c r="A172" t="s">
        <v>5</v>
      </c>
      <c r="B172">
        <v>32835974274</v>
      </c>
      <c r="C172">
        <v>32134869781</v>
      </c>
      <c r="D172" s="47">
        <f t="shared" si="2"/>
        <v>0.97864828108495794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863B-647E-432F-A948-6339B183BA52}">
  <dimension ref="A1:AH189"/>
  <sheetViews>
    <sheetView topLeftCell="P1" zoomScale="70" zoomScaleNormal="70" workbookViewId="0">
      <selection activeCell="AG9" sqref="AG9"/>
    </sheetView>
  </sheetViews>
  <sheetFormatPr baseColWidth="10" defaultRowHeight="15" x14ac:dyDescent="0.25"/>
  <cols>
    <col min="5" max="5" width="39.42578125" bestFit="1" customWidth="1"/>
    <col min="33" max="33" width="23" bestFit="1" customWidth="1"/>
  </cols>
  <sheetData>
    <row r="1" spans="1:34" x14ac:dyDescent="0.25">
      <c r="A1" t="s">
        <v>258</v>
      </c>
      <c r="B1" t="s">
        <v>304</v>
      </c>
      <c r="C1" t="s">
        <v>305</v>
      </c>
      <c r="D1" t="s">
        <v>327</v>
      </c>
      <c r="E1" t="s">
        <v>212</v>
      </c>
      <c r="F1" t="s">
        <v>259</v>
      </c>
      <c r="G1" t="s">
        <v>312</v>
      </c>
      <c r="H1" t="s">
        <v>313</v>
      </c>
      <c r="I1" t="s">
        <v>260</v>
      </c>
      <c r="J1" t="s">
        <v>314</v>
      </c>
      <c r="K1" t="s">
        <v>315</v>
      </c>
      <c r="L1" t="s">
        <v>261</v>
      </c>
      <c r="M1" t="s">
        <v>262</v>
      </c>
      <c r="N1" t="s">
        <v>316</v>
      </c>
      <c r="O1" t="s">
        <v>254</v>
      </c>
      <c r="P1" t="s">
        <v>263</v>
      </c>
      <c r="Q1" t="s">
        <v>255</v>
      </c>
      <c r="R1" t="s">
        <v>264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328</v>
      </c>
      <c r="Z1" t="s">
        <v>329</v>
      </c>
      <c r="AA1" t="s">
        <v>330</v>
      </c>
      <c r="AB1" t="s">
        <v>331</v>
      </c>
      <c r="AC1" t="s">
        <v>332</v>
      </c>
      <c r="AD1" t="s">
        <v>333</v>
      </c>
      <c r="AE1" t="s">
        <v>323</v>
      </c>
      <c r="AF1" t="s">
        <v>324</v>
      </c>
      <c r="AG1" t="s">
        <v>325</v>
      </c>
      <c r="AH1" t="s">
        <v>326</v>
      </c>
    </row>
    <row r="2" spans="1:34" x14ac:dyDescent="0.25">
      <c r="A2">
        <v>1</v>
      </c>
      <c r="B2">
        <v>17150</v>
      </c>
      <c r="C2" t="s">
        <v>37</v>
      </c>
      <c r="D2" t="s">
        <v>334</v>
      </c>
      <c r="E2" t="s">
        <v>306</v>
      </c>
      <c r="F2" t="s">
        <v>241</v>
      </c>
      <c r="G2">
        <v>4</v>
      </c>
      <c r="H2">
        <v>4</v>
      </c>
      <c r="I2" s="44">
        <v>1</v>
      </c>
      <c r="J2">
        <v>47</v>
      </c>
      <c r="K2">
        <v>46</v>
      </c>
      <c r="L2">
        <v>2</v>
      </c>
      <c r="M2" s="44">
        <v>0.97870000000000001</v>
      </c>
      <c r="N2" s="44">
        <f>+AVERAGE(O2,P2,Q2,R2,S2,T2,U2,V2,W2,X2,Y2)</f>
        <v>0.92803636363636377</v>
      </c>
      <c r="O2" s="44">
        <v>1</v>
      </c>
      <c r="P2" s="44">
        <v>0.9375</v>
      </c>
      <c r="Q2" s="44">
        <v>0.97919999999999996</v>
      </c>
      <c r="R2" s="44">
        <v>1</v>
      </c>
      <c r="S2" s="44">
        <v>0.47920000000000001</v>
      </c>
      <c r="T2" s="44">
        <v>1</v>
      </c>
      <c r="U2" s="44">
        <v>1</v>
      </c>
      <c r="V2" s="44">
        <v>1</v>
      </c>
      <c r="W2" s="44">
        <v>1</v>
      </c>
      <c r="X2" s="44">
        <v>1</v>
      </c>
      <c r="Y2" s="44">
        <v>0.8125</v>
      </c>
      <c r="Z2" s="44">
        <v>0.79169999999999996</v>
      </c>
      <c r="AA2" s="44">
        <v>0.77080000000000004</v>
      </c>
      <c r="AB2" s="44">
        <v>0.25</v>
      </c>
      <c r="AC2" s="44">
        <v>0.22919999999999999</v>
      </c>
      <c r="AD2" s="44">
        <v>0.22919999999999999</v>
      </c>
      <c r="AE2">
        <v>14</v>
      </c>
      <c r="AF2">
        <v>12</v>
      </c>
      <c r="AG2" s="44">
        <v>0.85709999999999997</v>
      </c>
      <c r="AH2" s="44">
        <v>0.91949999999999998</v>
      </c>
    </row>
    <row r="3" spans="1:34" x14ac:dyDescent="0.25">
      <c r="A3">
        <v>2</v>
      </c>
      <c r="B3">
        <v>17165</v>
      </c>
      <c r="C3" t="s">
        <v>93</v>
      </c>
      <c r="D3" t="s">
        <v>334</v>
      </c>
      <c r="E3" t="s">
        <v>307</v>
      </c>
      <c r="F3" t="s">
        <v>242</v>
      </c>
      <c r="G3">
        <v>3</v>
      </c>
      <c r="H3">
        <v>3</v>
      </c>
      <c r="I3" s="44">
        <v>1</v>
      </c>
      <c r="J3">
        <v>29</v>
      </c>
      <c r="K3">
        <v>29</v>
      </c>
      <c r="L3">
        <v>5</v>
      </c>
      <c r="M3" s="44">
        <v>1</v>
      </c>
      <c r="N3" s="44">
        <f t="shared" ref="N3:N66" si="0">+AVERAGE(O3,P3,Q3,R3,S3,T3,U3,V3,W3,X3,Y3)</f>
        <v>0.86898181818181797</v>
      </c>
      <c r="O3" s="44">
        <v>1</v>
      </c>
      <c r="P3" s="44">
        <v>1</v>
      </c>
      <c r="Q3" s="44">
        <v>0.55879999999999996</v>
      </c>
      <c r="R3" s="44">
        <v>1</v>
      </c>
      <c r="S3" s="44">
        <v>0.17649999999999999</v>
      </c>
      <c r="T3" s="44">
        <v>1</v>
      </c>
      <c r="U3" s="44">
        <v>1</v>
      </c>
      <c r="V3" s="44">
        <v>1</v>
      </c>
      <c r="W3" s="44">
        <v>1</v>
      </c>
      <c r="X3" s="44">
        <v>1</v>
      </c>
      <c r="Y3" s="44">
        <v>0.82350000000000001</v>
      </c>
      <c r="Z3" s="44">
        <v>0.76470000000000005</v>
      </c>
      <c r="AA3" s="44">
        <v>0.76470000000000005</v>
      </c>
      <c r="AB3" s="44">
        <v>0.2059</v>
      </c>
      <c r="AC3" s="44">
        <v>0.2059</v>
      </c>
      <c r="AD3" s="44">
        <v>0.2059</v>
      </c>
      <c r="AE3">
        <v>3</v>
      </c>
      <c r="AF3">
        <v>3</v>
      </c>
      <c r="AG3" s="44">
        <v>1</v>
      </c>
      <c r="AH3" s="44">
        <v>0.91049999999999998</v>
      </c>
    </row>
    <row r="4" spans="1:34" x14ac:dyDescent="0.25">
      <c r="A4">
        <v>3</v>
      </c>
      <c r="B4">
        <v>17152</v>
      </c>
      <c r="C4" t="s">
        <v>39</v>
      </c>
      <c r="D4" t="s">
        <v>334</v>
      </c>
      <c r="E4" t="s">
        <v>306</v>
      </c>
      <c r="F4" t="s">
        <v>241</v>
      </c>
      <c r="G4">
        <v>6</v>
      </c>
      <c r="H4">
        <v>6</v>
      </c>
      <c r="I4" s="44">
        <v>1</v>
      </c>
      <c r="J4">
        <v>61</v>
      </c>
      <c r="K4">
        <v>61</v>
      </c>
      <c r="L4">
        <v>3</v>
      </c>
      <c r="M4" s="44">
        <v>1</v>
      </c>
      <c r="N4" s="44">
        <f t="shared" si="0"/>
        <v>0.84659090909090906</v>
      </c>
      <c r="O4" s="44">
        <v>1</v>
      </c>
      <c r="P4" s="44">
        <v>0.95309999999999995</v>
      </c>
      <c r="Q4" s="44">
        <v>0.3125</v>
      </c>
      <c r="R4" s="44">
        <v>1</v>
      </c>
      <c r="S4" s="44">
        <v>0.28129999999999999</v>
      </c>
      <c r="T4" s="44">
        <v>1</v>
      </c>
      <c r="U4" s="44">
        <v>1</v>
      </c>
      <c r="V4" s="44">
        <v>1</v>
      </c>
      <c r="W4" s="44">
        <v>1</v>
      </c>
      <c r="X4" s="44">
        <v>1</v>
      </c>
      <c r="Y4" s="44">
        <v>0.76559999999999995</v>
      </c>
      <c r="Z4" s="44">
        <v>0.71879999999999999</v>
      </c>
      <c r="AA4" s="44">
        <v>0.71879999999999999</v>
      </c>
      <c r="AB4" s="44">
        <v>0.21879999999999999</v>
      </c>
      <c r="AC4" s="44">
        <v>0.2031</v>
      </c>
      <c r="AD4" s="44">
        <v>0.21879999999999999</v>
      </c>
      <c r="AE4">
        <v>21</v>
      </c>
      <c r="AF4">
        <v>21</v>
      </c>
      <c r="AG4" s="44">
        <v>1</v>
      </c>
      <c r="AH4" s="44">
        <v>0.90400000000000003</v>
      </c>
    </row>
    <row r="5" spans="1:34" x14ac:dyDescent="0.25">
      <c r="A5">
        <v>4</v>
      </c>
      <c r="B5">
        <v>17096</v>
      </c>
      <c r="C5" t="s">
        <v>49</v>
      </c>
      <c r="D5" t="s">
        <v>334</v>
      </c>
      <c r="E5" t="s">
        <v>207</v>
      </c>
      <c r="F5" t="s">
        <v>241</v>
      </c>
      <c r="G5">
        <v>1</v>
      </c>
      <c r="H5">
        <v>1</v>
      </c>
      <c r="I5" s="44">
        <v>1</v>
      </c>
      <c r="J5">
        <v>26</v>
      </c>
      <c r="K5">
        <v>25</v>
      </c>
      <c r="L5">
        <v>1</v>
      </c>
      <c r="M5" s="44">
        <v>0.96150000000000002</v>
      </c>
      <c r="N5" s="44">
        <f t="shared" si="0"/>
        <v>0.89160909090909091</v>
      </c>
      <c r="O5" s="44">
        <v>1</v>
      </c>
      <c r="P5" s="44">
        <v>0.96150000000000002</v>
      </c>
      <c r="Q5" s="44">
        <v>0.57689999999999997</v>
      </c>
      <c r="R5" s="44">
        <v>1</v>
      </c>
      <c r="S5" s="44">
        <v>0.53849999999999998</v>
      </c>
      <c r="T5" s="44">
        <v>1</v>
      </c>
      <c r="U5" s="44">
        <v>1</v>
      </c>
      <c r="V5" s="44">
        <v>1</v>
      </c>
      <c r="W5" s="44">
        <v>1</v>
      </c>
      <c r="X5" s="44">
        <v>1</v>
      </c>
      <c r="Y5" s="44">
        <v>0.73080000000000001</v>
      </c>
      <c r="Z5" s="44">
        <v>0.73080000000000001</v>
      </c>
      <c r="AA5" s="44">
        <v>0.73080000000000001</v>
      </c>
      <c r="AB5" s="44">
        <v>0.23080000000000001</v>
      </c>
      <c r="AC5" s="44">
        <v>0.23080000000000001</v>
      </c>
      <c r="AD5" s="44">
        <v>0.23080000000000001</v>
      </c>
      <c r="AE5">
        <v>4</v>
      </c>
      <c r="AF5">
        <v>4</v>
      </c>
      <c r="AG5" s="44">
        <v>1</v>
      </c>
      <c r="AH5" s="44">
        <v>0.90300000000000002</v>
      </c>
    </row>
    <row r="6" spans="1:34" x14ac:dyDescent="0.25">
      <c r="A6">
        <v>5</v>
      </c>
      <c r="B6">
        <v>17142</v>
      </c>
      <c r="C6" t="s">
        <v>29</v>
      </c>
      <c r="D6" t="s">
        <v>334</v>
      </c>
      <c r="E6" t="s">
        <v>306</v>
      </c>
      <c r="F6" t="s">
        <v>241</v>
      </c>
      <c r="G6">
        <v>16</v>
      </c>
      <c r="H6">
        <v>16</v>
      </c>
      <c r="I6" s="44">
        <v>1</v>
      </c>
      <c r="J6">
        <v>118</v>
      </c>
      <c r="K6">
        <v>118</v>
      </c>
      <c r="L6">
        <v>4</v>
      </c>
      <c r="M6" s="44">
        <v>1</v>
      </c>
      <c r="N6" s="44">
        <f t="shared" si="0"/>
        <v>0.83382727272727275</v>
      </c>
      <c r="O6" s="44">
        <v>1</v>
      </c>
      <c r="P6" s="44">
        <v>0.98360000000000003</v>
      </c>
      <c r="Q6" s="44">
        <v>0</v>
      </c>
      <c r="R6" s="44">
        <v>1</v>
      </c>
      <c r="S6" s="44">
        <v>0.42620000000000002</v>
      </c>
      <c r="T6" s="44">
        <v>1</v>
      </c>
      <c r="U6" s="44">
        <v>1</v>
      </c>
      <c r="V6" s="44">
        <v>1</v>
      </c>
      <c r="W6" s="44">
        <v>1</v>
      </c>
      <c r="X6" s="44">
        <v>1</v>
      </c>
      <c r="Y6" s="44">
        <v>0.76229999999999998</v>
      </c>
      <c r="Z6" s="44">
        <v>0.72950000000000004</v>
      </c>
      <c r="AA6" s="44">
        <v>0.72950000000000004</v>
      </c>
      <c r="AB6" s="44">
        <v>0.22950000000000001</v>
      </c>
      <c r="AC6" s="44">
        <v>0.22950000000000001</v>
      </c>
      <c r="AD6" s="44">
        <v>0.22950000000000001</v>
      </c>
      <c r="AE6">
        <v>61</v>
      </c>
      <c r="AF6">
        <v>19</v>
      </c>
      <c r="AG6" s="44">
        <v>0.3115</v>
      </c>
      <c r="AH6" s="44">
        <v>0.90249999999999997</v>
      </c>
    </row>
    <row r="7" spans="1:34" x14ac:dyDescent="0.25">
      <c r="A7">
        <v>6</v>
      </c>
      <c r="B7">
        <v>17149</v>
      </c>
      <c r="C7" t="s">
        <v>36</v>
      </c>
      <c r="D7" t="s">
        <v>334</v>
      </c>
      <c r="E7" t="s">
        <v>306</v>
      </c>
      <c r="F7" t="s">
        <v>241</v>
      </c>
      <c r="G7">
        <v>7</v>
      </c>
      <c r="H7">
        <v>7</v>
      </c>
      <c r="I7" s="44">
        <v>1</v>
      </c>
      <c r="J7">
        <v>64</v>
      </c>
      <c r="K7">
        <v>63</v>
      </c>
      <c r="L7">
        <v>3</v>
      </c>
      <c r="M7" s="44">
        <v>0.98440000000000005</v>
      </c>
      <c r="N7" s="44">
        <f t="shared" si="0"/>
        <v>0.85950909090909089</v>
      </c>
      <c r="O7" s="44">
        <v>1</v>
      </c>
      <c r="P7" s="44">
        <v>0.96970000000000001</v>
      </c>
      <c r="Q7" s="44">
        <v>0.65149999999999997</v>
      </c>
      <c r="R7" s="44">
        <v>1</v>
      </c>
      <c r="S7" s="44">
        <v>0.13639999999999999</v>
      </c>
      <c r="T7" s="44">
        <v>1</v>
      </c>
      <c r="U7" s="44">
        <v>1</v>
      </c>
      <c r="V7" s="44">
        <v>1</v>
      </c>
      <c r="W7" s="44">
        <v>1</v>
      </c>
      <c r="X7" s="44">
        <v>1</v>
      </c>
      <c r="Y7" s="44">
        <v>0.69699999999999995</v>
      </c>
      <c r="Z7" s="44">
        <v>0.66669999999999996</v>
      </c>
      <c r="AA7" s="44">
        <v>0.66669999999999996</v>
      </c>
      <c r="AB7" s="44">
        <v>0.18179999999999999</v>
      </c>
      <c r="AC7" s="44">
        <v>0.18179999999999999</v>
      </c>
      <c r="AD7" s="44">
        <v>0.18179999999999999</v>
      </c>
      <c r="AE7">
        <v>21</v>
      </c>
      <c r="AF7">
        <v>15</v>
      </c>
      <c r="AG7" s="44">
        <v>0.71430000000000005</v>
      </c>
      <c r="AH7" s="44">
        <v>0.89759999999999995</v>
      </c>
    </row>
    <row r="8" spans="1:34" x14ac:dyDescent="0.25">
      <c r="A8">
        <v>7</v>
      </c>
      <c r="B8">
        <v>16819</v>
      </c>
      <c r="C8" t="s">
        <v>64</v>
      </c>
      <c r="D8" t="s">
        <v>334</v>
      </c>
      <c r="E8" t="s">
        <v>202</v>
      </c>
      <c r="F8" t="s">
        <v>243</v>
      </c>
      <c r="G8">
        <v>9</v>
      </c>
      <c r="H8">
        <v>9</v>
      </c>
      <c r="I8" s="44">
        <v>1</v>
      </c>
      <c r="J8">
        <v>70</v>
      </c>
      <c r="K8">
        <v>70</v>
      </c>
      <c r="L8">
        <v>3</v>
      </c>
      <c r="M8" s="44">
        <v>1</v>
      </c>
      <c r="N8" s="44">
        <f t="shared" si="0"/>
        <v>0.79825454545454544</v>
      </c>
      <c r="O8" s="44">
        <v>1</v>
      </c>
      <c r="P8" s="44">
        <v>0.98629999999999995</v>
      </c>
      <c r="Q8" s="44">
        <v>0</v>
      </c>
      <c r="R8" s="44">
        <v>1</v>
      </c>
      <c r="S8" s="44">
        <v>1.37E-2</v>
      </c>
      <c r="T8" s="44">
        <v>1</v>
      </c>
      <c r="U8" s="44">
        <v>1</v>
      </c>
      <c r="V8" s="44">
        <v>1</v>
      </c>
      <c r="W8" s="44">
        <v>1</v>
      </c>
      <c r="X8" s="44">
        <v>1</v>
      </c>
      <c r="Y8" s="44">
        <v>0.78080000000000005</v>
      </c>
      <c r="Z8" s="44">
        <v>0.7671</v>
      </c>
      <c r="AA8" s="44">
        <v>0.7671</v>
      </c>
      <c r="AB8" s="44">
        <v>0.2329</v>
      </c>
      <c r="AC8" s="44">
        <v>0.2329</v>
      </c>
      <c r="AD8" s="44">
        <v>0.2329</v>
      </c>
      <c r="AE8">
        <v>12</v>
      </c>
      <c r="AF8">
        <v>1</v>
      </c>
      <c r="AG8" s="44">
        <v>8.3299999999999999E-2</v>
      </c>
      <c r="AH8" s="44">
        <v>0.89610000000000001</v>
      </c>
    </row>
    <row r="9" spans="1:34" x14ac:dyDescent="0.25">
      <c r="A9">
        <v>8</v>
      </c>
      <c r="B9">
        <v>17074</v>
      </c>
      <c r="C9" t="s">
        <v>11</v>
      </c>
      <c r="D9" t="s">
        <v>334</v>
      </c>
      <c r="E9" t="s">
        <v>308</v>
      </c>
      <c r="F9" t="s">
        <v>241</v>
      </c>
      <c r="G9">
        <v>9</v>
      </c>
      <c r="H9">
        <v>9</v>
      </c>
      <c r="I9" s="44">
        <v>1</v>
      </c>
      <c r="J9">
        <v>92</v>
      </c>
      <c r="K9">
        <v>88</v>
      </c>
      <c r="L9">
        <v>3</v>
      </c>
      <c r="M9" s="44">
        <v>0.95650000000000002</v>
      </c>
      <c r="N9" s="44">
        <f t="shared" si="0"/>
        <v>0.8841</v>
      </c>
      <c r="O9" s="44">
        <v>0.95599999999999996</v>
      </c>
      <c r="P9" s="44">
        <v>0.93410000000000004</v>
      </c>
      <c r="Q9" s="44">
        <v>0.85709999999999997</v>
      </c>
      <c r="R9" s="44">
        <v>0.95599999999999996</v>
      </c>
      <c r="S9" s="44">
        <v>0.46150000000000002</v>
      </c>
      <c r="T9" s="44">
        <v>0.96699999999999997</v>
      </c>
      <c r="U9" s="44">
        <v>0.97799999999999998</v>
      </c>
      <c r="V9" s="44">
        <v>0.97799999999999998</v>
      </c>
      <c r="W9" s="44">
        <v>0.98899999999999999</v>
      </c>
      <c r="X9" s="44">
        <v>0.93410000000000004</v>
      </c>
      <c r="Y9" s="44">
        <v>0.71430000000000005</v>
      </c>
      <c r="Z9" s="44">
        <v>0.69230000000000003</v>
      </c>
      <c r="AA9" s="44">
        <v>0.68130000000000002</v>
      </c>
      <c r="AB9" s="44">
        <v>0.18679999999999999</v>
      </c>
      <c r="AC9" s="44">
        <v>0.18679999999999999</v>
      </c>
      <c r="AD9" s="44">
        <v>0.18679999999999999</v>
      </c>
      <c r="AE9">
        <v>21</v>
      </c>
      <c r="AF9">
        <v>16</v>
      </c>
      <c r="AG9" s="44">
        <v>0.76190000000000002</v>
      </c>
      <c r="AH9" s="44">
        <v>0.89510000000000001</v>
      </c>
    </row>
    <row r="10" spans="1:34" x14ac:dyDescent="0.25">
      <c r="A10">
        <v>9</v>
      </c>
      <c r="B10">
        <v>17169</v>
      </c>
      <c r="C10" t="s">
        <v>97</v>
      </c>
      <c r="D10" t="s">
        <v>334</v>
      </c>
      <c r="E10" t="s">
        <v>307</v>
      </c>
      <c r="F10" t="s">
        <v>242</v>
      </c>
      <c r="G10">
        <v>7</v>
      </c>
      <c r="H10">
        <v>7</v>
      </c>
      <c r="I10" s="44">
        <v>1</v>
      </c>
      <c r="J10">
        <v>94</v>
      </c>
      <c r="K10">
        <v>92</v>
      </c>
      <c r="L10">
        <v>5</v>
      </c>
      <c r="M10" s="44">
        <v>0.97870000000000001</v>
      </c>
      <c r="N10" s="44">
        <f t="shared" si="0"/>
        <v>0.82099999999999984</v>
      </c>
      <c r="O10" s="44">
        <v>1</v>
      </c>
      <c r="P10" s="44">
        <v>0.97940000000000005</v>
      </c>
      <c r="Q10" s="44">
        <v>0.17530000000000001</v>
      </c>
      <c r="R10" s="44">
        <v>1</v>
      </c>
      <c r="S10" s="44">
        <v>0.1237</v>
      </c>
      <c r="T10" s="44">
        <v>1</v>
      </c>
      <c r="U10" s="44">
        <v>1</v>
      </c>
      <c r="V10" s="44">
        <v>1</v>
      </c>
      <c r="W10" s="44">
        <v>1</v>
      </c>
      <c r="X10" s="44">
        <v>1</v>
      </c>
      <c r="Y10" s="44">
        <v>0.75260000000000005</v>
      </c>
      <c r="Z10" s="44">
        <v>0.74229999999999996</v>
      </c>
      <c r="AA10" s="44">
        <v>0.72160000000000002</v>
      </c>
      <c r="AB10" s="44">
        <v>0.24740000000000001</v>
      </c>
      <c r="AC10" s="44">
        <v>0.24740000000000001</v>
      </c>
      <c r="AD10" s="44">
        <v>0.2268</v>
      </c>
      <c r="AE10">
        <v>30</v>
      </c>
      <c r="AF10">
        <v>26</v>
      </c>
      <c r="AG10" s="44">
        <v>0.86670000000000003</v>
      </c>
      <c r="AH10" s="44">
        <v>0.89319999999999999</v>
      </c>
    </row>
    <row r="11" spans="1:34" x14ac:dyDescent="0.25">
      <c r="A11">
        <v>11</v>
      </c>
      <c r="B11">
        <v>17148</v>
      </c>
      <c r="C11" t="s">
        <v>35</v>
      </c>
      <c r="D11" t="s">
        <v>334</v>
      </c>
      <c r="E11" t="s">
        <v>306</v>
      </c>
      <c r="F11" t="s">
        <v>241</v>
      </c>
      <c r="G11">
        <v>6</v>
      </c>
      <c r="H11">
        <v>6</v>
      </c>
      <c r="I11" s="44">
        <v>1</v>
      </c>
      <c r="J11">
        <v>57</v>
      </c>
      <c r="K11">
        <v>57</v>
      </c>
      <c r="L11">
        <v>7</v>
      </c>
      <c r="M11" s="44">
        <v>1</v>
      </c>
      <c r="N11" s="44">
        <f t="shared" si="0"/>
        <v>0.8267181818181818</v>
      </c>
      <c r="O11" s="44">
        <v>0.98440000000000005</v>
      </c>
      <c r="P11" s="44">
        <v>0.98440000000000005</v>
      </c>
      <c r="Q11" s="44">
        <v>7.8100000000000003E-2</v>
      </c>
      <c r="R11" s="44">
        <v>0.98440000000000005</v>
      </c>
      <c r="S11" s="44">
        <v>0.57809999999999995</v>
      </c>
      <c r="T11" s="44">
        <v>0.96879999999999999</v>
      </c>
      <c r="U11" s="44">
        <v>0.98440000000000005</v>
      </c>
      <c r="V11" s="44">
        <v>0.98440000000000005</v>
      </c>
      <c r="W11" s="44">
        <v>0.98440000000000005</v>
      </c>
      <c r="X11" s="44">
        <v>0.98440000000000005</v>
      </c>
      <c r="Y11" s="44">
        <v>0.57809999999999995</v>
      </c>
      <c r="Z11" s="44">
        <v>0.57809999999999995</v>
      </c>
      <c r="AA11" s="44">
        <v>0.57809999999999995</v>
      </c>
      <c r="AB11" s="44">
        <v>0.1719</v>
      </c>
      <c r="AC11" s="44">
        <v>0.1719</v>
      </c>
      <c r="AD11" s="44">
        <v>0.1719</v>
      </c>
      <c r="AE11">
        <v>24</v>
      </c>
      <c r="AF11">
        <v>23</v>
      </c>
      <c r="AG11" s="44">
        <v>0.95830000000000004</v>
      </c>
      <c r="AH11" s="44">
        <v>0.89100000000000001</v>
      </c>
    </row>
    <row r="12" spans="1:34" x14ac:dyDescent="0.25">
      <c r="A12">
        <v>12</v>
      </c>
      <c r="B12">
        <v>17147</v>
      </c>
      <c r="C12" t="s">
        <v>34</v>
      </c>
      <c r="D12" t="s">
        <v>334</v>
      </c>
      <c r="E12" t="s">
        <v>306</v>
      </c>
      <c r="F12" t="s">
        <v>241</v>
      </c>
      <c r="G12">
        <v>8</v>
      </c>
      <c r="H12">
        <v>8</v>
      </c>
      <c r="I12" s="44">
        <v>1</v>
      </c>
      <c r="J12">
        <v>59</v>
      </c>
      <c r="K12">
        <v>59</v>
      </c>
      <c r="L12">
        <v>4</v>
      </c>
      <c r="M12" s="44">
        <v>1</v>
      </c>
      <c r="N12" s="44">
        <f t="shared" si="0"/>
        <v>0.8066363636363636</v>
      </c>
      <c r="O12" s="44">
        <v>1</v>
      </c>
      <c r="P12" s="44">
        <v>0.95240000000000002</v>
      </c>
      <c r="Q12" s="44">
        <v>9.5200000000000007E-2</v>
      </c>
      <c r="R12" s="44">
        <v>1</v>
      </c>
      <c r="S12" s="44">
        <v>3.1699999999999999E-2</v>
      </c>
      <c r="T12" s="44">
        <v>1</v>
      </c>
      <c r="U12" s="44">
        <v>1</v>
      </c>
      <c r="V12" s="44">
        <v>1</v>
      </c>
      <c r="W12" s="44">
        <v>1</v>
      </c>
      <c r="X12" s="44">
        <v>1</v>
      </c>
      <c r="Y12" s="44">
        <v>0.79369999999999996</v>
      </c>
      <c r="Z12" s="44">
        <v>0.69840000000000002</v>
      </c>
      <c r="AA12" s="44">
        <v>0.71430000000000005</v>
      </c>
      <c r="AB12" s="44">
        <v>0.1429</v>
      </c>
      <c r="AC12" s="44">
        <v>0.15870000000000001</v>
      </c>
      <c r="AD12" s="44">
        <v>0.1429</v>
      </c>
      <c r="AE12">
        <v>2</v>
      </c>
      <c r="AF12">
        <v>2</v>
      </c>
      <c r="AG12" s="44">
        <v>1</v>
      </c>
      <c r="AH12" s="44">
        <v>0.89019999999999999</v>
      </c>
    </row>
    <row r="13" spans="1:34" x14ac:dyDescent="0.25">
      <c r="A13">
        <v>13</v>
      </c>
      <c r="B13">
        <v>16842</v>
      </c>
      <c r="C13" t="s">
        <v>171</v>
      </c>
      <c r="D13" t="s">
        <v>334</v>
      </c>
      <c r="E13" t="s">
        <v>209</v>
      </c>
      <c r="F13" t="s">
        <v>243</v>
      </c>
      <c r="G13">
        <v>9</v>
      </c>
      <c r="H13">
        <v>9</v>
      </c>
      <c r="I13" s="44">
        <v>1</v>
      </c>
      <c r="J13">
        <v>68</v>
      </c>
      <c r="K13">
        <v>67</v>
      </c>
      <c r="L13">
        <v>2</v>
      </c>
      <c r="M13" s="44">
        <v>0.98529999999999995</v>
      </c>
      <c r="N13" s="44">
        <f t="shared" si="0"/>
        <v>0.86429090909090922</v>
      </c>
      <c r="O13" s="44">
        <v>1</v>
      </c>
      <c r="P13" s="44">
        <v>0.97099999999999997</v>
      </c>
      <c r="Q13" s="44">
        <v>0.52170000000000005</v>
      </c>
      <c r="R13" s="44">
        <v>1</v>
      </c>
      <c r="S13" s="44">
        <v>0.2029</v>
      </c>
      <c r="T13" s="44">
        <v>1</v>
      </c>
      <c r="U13" s="44">
        <v>1</v>
      </c>
      <c r="V13" s="44">
        <v>1</v>
      </c>
      <c r="W13" s="44">
        <v>1</v>
      </c>
      <c r="X13" s="44">
        <v>1</v>
      </c>
      <c r="Y13" s="44">
        <v>0.81159999999999999</v>
      </c>
      <c r="Z13" s="44">
        <v>0.68120000000000003</v>
      </c>
      <c r="AA13" s="44">
        <v>0.63770000000000004</v>
      </c>
      <c r="AB13" s="44">
        <v>0</v>
      </c>
      <c r="AC13" s="44">
        <v>8.6999999999999994E-2</v>
      </c>
      <c r="AD13" s="44">
        <v>0</v>
      </c>
      <c r="AE13">
        <v>19</v>
      </c>
      <c r="AF13">
        <v>18</v>
      </c>
      <c r="AG13" s="44">
        <v>0.94740000000000002</v>
      </c>
      <c r="AH13" s="44">
        <v>0.8891</v>
      </c>
    </row>
    <row r="14" spans="1:34" x14ac:dyDescent="0.25">
      <c r="A14">
        <v>14</v>
      </c>
      <c r="B14">
        <v>16845</v>
      </c>
      <c r="C14" t="s">
        <v>72</v>
      </c>
      <c r="D14" t="s">
        <v>334</v>
      </c>
      <c r="E14" t="s">
        <v>202</v>
      </c>
      <c r="F14" t="s">
        <v>243</v>
      </c>
      <c r="G14">
        <v>10</v>
      </c>
      <c r="H14">
        <v>10</v>
      </c>
      <c r="I14" s="44">
        <v>1</v>
      </c>
      <c r="J14">
        <v>88</v>
      </c>
      <c r="K14">
        <v>85</v>
      </c>
      <c r="L14">
        <v>4</v>
      </c>
      <c r="M14" s="44">
        <v>0.96589999999999998</v>
      </c>
      <c r="N14" s="44">
        <f t="shared" si="0"/>
        <v>0.80184545454545464</v>
      </c>
      <c r="O14" s="44">
        <v>1</v>
      </c>
      <c r="P14" s="44">
        <v>0.98880000000000001</v>
      </c>
      <c r="Q14" s="44">
        <v>0.1124</v>
      </c>
      <c r="R14" s="44">
        <v>1</v>
      </c>
      <c r="S14" s="44">
        <v>1.12E-2</v>
      </c>
      <c r="T14" s="44">
        <v>1</v>
      </c>
      <c r="U14" s="44">
        <v>1</v>
      </c>
      <c r="V14" s="44">
        <v>1</v>
      </c>
      <c r="W14" s="44">
        <v>1</v>
      </c>
      <c r="X14" s="44">
        <v>1</v>
      </c>
      <c r="Y14" s="44">
        <v>0.70789999999999997</v>
      </c>
      <c r="Z14" s="44">
        <v>0.6966</v>
      </c>
      <c r="AA14" s="44">
        <v>0.6966</v>
      </c>
      <c r="AB14" s="44">
        <v>0.2697</v>
      </c>
      <c r="AC14" s="44">
        <v>0.2697</v>
      </c>
      <c r="AD14" s="44">
        <v>0.2697</v>
      </c>
      <c r="AE14">
        <v>5</v>
      </c>
      <c r="AF14">
        <v>5</v>
      </c>
      <c r="AG14" s="44">
        <v>1</v>
      </c>
      <c r="AH14" s="44">
        <v>0.88490000000000002</v>
      </c>
    </row>
    <row r="15" spans="1:34" x14ac:dyDescent="0.25">
      <c r="A15">
        <v>15</v>
      </c>
      <c r="B15">
        <v>17155</v>
      </c>
      <c r="C15" t="s">
        <v>42</v>
      </c>
      <c r="D15" t="s">
        <v>334</v>
      </c>
      <c r="E15" t="s">
        <v>306</v>
      </c>
      <c r="F15" t="s">
        <v>241</v>
      </c>
      <c r="G15">
        <v>8</v>
      </c>
      <c r="H15">
        <v>8</v>
      </c>
      <c r="I15" s="44">
        <v>1</v>
      </c>
      <c r="J15">
        <v>74</v>
      </c>
      <c r="K15">
        <v>70</v>
      </c>
      <c r="L15">
        <v>4</v>
      </c>
      <c r="M15" s="44">
        <v>0.94589999999999996</v>
      </c>
      <c r="N15" s="44">
        <f t="shared" si="0"/>
        <v>0.81572727272727275</v>
      </c>
      <c r="O15" s="44">
        <v>1</v>
      </c>
      <c r="P15" s="44">
        <v>0.94589999999999996</v>
      </c>
      <c r="Q15" s="44">
        <v>0.1757</v>
      </c>
      <c r="R15" s="44">
        <v>1</v>
      </c>
      <c r="S15" s="44">
        <v>9.4600000000000004E-2</v>
      </c>
      <c r="T15" s="44">
        <v>1</v>
      </c>
      <c r="U15" s="44">
        <v>1</v>
      </c>
      <c r="V15" s="44">
        <v>1</v>
      </c>
      <c r="W15" s="44">
        <v>1</v>
      </c>
      <c r="X15" s="44">
        <v>1</v>
      </c>
      <c r="Y15" s="44">
        <v>0.75680000000000003</v>
      </c>
      <c r="Z15" s="44">
        <v>0.75680000000000003</v>
      </c>
      <c r="AA15" s="44">
        <v>0.75680000000000003</v>
      </c>
      <c r="AB15" s="44">
        <v>0.2432</v>
      </c>
      <c r="AC15" s="44">
        <v>0.2432</v>
      </c>
      <c r="AD15" s="44">
        <v>0.2432</v>
      </c>
      <c r="AE15">
        <v>36</v>
      </c>
      <c r="AF15">
        <v>16</v>
      </c>
      <c r="AG15" s="44">
        <v>0.44440000000000002</v>
      </c>
      <c r="AH15" s="44">
        <v>0.88229999999999997</v>
      </c>
    </row>
    <row r="16" spans="1:34" x14ac:dyDescent="0.25">
      <c r="A16">
        <v>16</v>
      </c>
      <c r="B16">
        <v>17125</v>
      </c>
      <c r="C16" t="s">
        <v>127</v>
      </c>
      <c r="D16" t="s">
        <v>334</v>
      </c>
      <c r="E16" t="s">
        <v>207</v>
      </c>
      <c r="F16" t="s">
        <v>241</v>
      </c>
      <c r="G16">
        <v>1</v>
      </c>
      <c r="H16">
        <v>1</v>
      </c>
      <c r="I16" s="44">
        <v>1</v>
      </c>
      <c r="J16">
        <v>26</v>
      </c>
      <c r="K16">
        <v>26</v>
      </c>
      <c r="L16">
        <v>1</v>
      </c>
      <c r="M16" s="44">
        <v>1</v>
      </c>
      <c r="N16" s="44">
        <f t="shared" si="0"/>
        <v>0.80471818181818189</v>
      </c>
      <c r="O16" s="44">
        <v>1</v>
      </c>
      <c r="P16" s="44">
        <v>1</v>
      </c>
      <c r="Q16" s="44">
        <v>7.4099999999999999E-2</v>
      </c>
      <c r="R16" s="44">
        <v>1</v>
      </c>
      <c r="S16" s="44">
        <v>0.1852</v>
      </c>
      <c r="T16" s="44">
        <v>1</v>
      </c>
      <c r="U16" s="44">
        <v>1</v>
      </c>
      <c r="V16" s="44">
        <v>1</v>
      </c>
      <c r="W16" s="44">
        <v>1</v>
      </c>
      <c r="X16" s="44">
        <v>1</v>
      </c>
      <c r="Y16" s="44">
        <v>0.59260000000000002</v>
      </c>
      <c r="Z16" s="44">
        <v>0.44440000000000002</v>
      </c>
      <c r="AA16" s="44">
        <v>0.48149999999999998</v>
      </c>
      <c r="AB16" s="44">
        <v>0.1111</v>
      </c>
      <c r="AC16" s="44">
        <v>0.1852</v>
      </c>
      <c r="AD16" s="44">
        <v>0.1852</v>
      </c>
      <c r="AE16">
        <v>0</v>
      </c>
      <c r="AF16">
        <v>0</v>
      </c>
      <c r="AG16" s="44">
        <v>0</v>
      </c>
      <c r="AH16" s="44">
        <v>0.88039999999999996</v>
      </c>
    </row>
    <row r="17" spans="1:34" x14ac:dyDescent="0.25">
      <c r="A17">
        <v>17</v>
      </c>
      <c r="B17">
        <v>16691</v>
      </c>
      <c r="C17" t="s">
        <v>75</v>
      </c>
      <c r="D17" t="s">
        <v>334</v>
      </c>
      <c r="E17" t="s">
        <v>203</v>
      </c>
      <c r="F17" t="s">
        <v>243</v>
      </c>
      <c r="G17">
        <v>28</v>
      </c>
      <c r="H17">
        <v>27</v>
      </c>
      <c r="I17" s="44">
        <v>0.96430000000000005</v>
      </c>
      <c r="J17">
        <v>105</v>
      </c>
      <c r="K17">
        <v>97</v>
      </c>
      <c r="L17">
        <v>29</v>
      </c>
      <c r="M17" s="44">
        <v>0.92379999999999995</v>
      </c>
      <c r="N17" s="44">
        <f t="shared" si="0"/>
        <v>0.88816363636363638</v>
      </c>
      <c r="O17" s="44">
        <v>1</v>
      </c>
      <c r="P17" s="44">
        <v>0.98409999999999997</v>
      </c>
      <c r="Q17" s="44">
        <v>0.746</v>
      </c>
      <c r="R17" s="44">
        <v>1</v>
      </c>
      <c r="S17" s="44">
        <v>0.26190000000000002</v>
      </c>
      <c r="T17" s="44">
        <v>1</v>
      </c>
      <c r="U17" s="44">
        <v>1</v>
      </c>
      <c r="V17" s="44">
        <v>1</v>
      </c>
      <c r="W17" s="44">
        <v>1</v>
      </c>
      <c r="X17" s="44">
        <v>0.99209999999999998</v>
      </c>
      <c r="Y17" s="44">
        <v>0.78569999999999995</v>
      </c>
      <c r="Z17" s="44">
        <v>0.76980000000000004</v>
      </c>
      <c r="AA17" s="44">
        <v>0.77780000000000005</v>
      </c>
      <c r="AB17" s="44">
        <v>0.22220000000000001</v>
      </c>
      <c r="AC17" s="44">
        <v>0.23019999999999999</v>
      </c>
      <c r="AD17" s="44">
        <v>0.22220000000000001</v>
      </c>
      <c r="AE17">
        <v>23</v>
      </c>
      <c r="AF17">
        <v>23</v>
      </c>
      <c r="AG17" s="44">
        <v>1</v>
      </c>
      <c r="AH17" s="44">
        <v>0.87919999999999998</v>
      </c>
    </row>
    <row r="18" spans="1:34" x14ac:dyDescent="0.25">
      <c r="A18">
        <v>18</v>
      </c>
      <c r="B18">
        <v>16821</v>
      </c>
      <c r="C18" t="s">
        <v>67</v>
      </c>
      <c r="D18" t="s">
        <v>334</v>
      </c>
      <c r="E18" t="s">
        <v>202</v>
      </c>
      <c r="F18" t="s">
        <v>243</v>
      </c>
      <c r="G18">
        <v>5</v>
      </c>
      <c r="H18">
        <v>5</v>
      </c>
      <c r="I18" s="44">
        <v>1</v>
      </c>
      <c r="J18">
        <v>51</v>
      </c>
      <c r="K18">
        <v>49</v>
      </c>
      <c r="L18">
        <v>4</v>
      </c>
      <c r="M18" s="44">
        <v>0.96079999999999999</v>
      </c>
      <c r="N18" s="44">
        <f t="shared" si="0"/>
        <v>0.79930909090909086</v>
      </c>
      <c r="O18" s="44">
        <v>1</v>
      </c>
      <c r="P18" s="44">
        <v>0.96230000000000004</v>
      </c>
      <c r="Q18" s="44">
        <v>5.6599999999999998E-2</v>
      </c>
      <c r="R18" s="44">
        <v>1</v>
      </c>
      <c r="S18" s="44">
        <v>3.7699999999999997E-2</v>
      </c>
      <c r="T18" s="44">
        <v>1</v>
      </c>
      <c r="U18" s="44">
        <v>1</v>
      </c>
      <c r="V18" s="44">
        <v>1</v>
      </c>
      <c r="W18" s="44">
        <v>1</v>
      </c>
      <c r="X18" s="44">
        <v>1</v>
      </c>
      <c r="Y18" s="44">
        <v>0.73580000000000001</v>
      </c>
      <c r="Z18" s="44">
        <v>0.69810000000000005</v>
      </c>
      <c r="AA18" s="44">
        <v>0.69810000000000005</v>
      </c>
      <c r="AB18" s="44">
        <v>0.20749999999999999</v>
      </c>
      <c r="AC18" s="44">
        <v>0.20749999999999999</v>
      </c>
      <c r="AD18" s="44">
        <v>0.18870000000000001</v>
      </c>
      <c r="AE18">
        <v>5</v>
      </c>
      <c r="AF18">
        <v>5</v>
      </c>
      <c r="AG18" s="44">
        <v>1</v>
      </c>
      <c r="AH18" s="44">
        <v>0.87839999999999996</v>
      </c>
    </row>
    <row r="19" spans="1:34" x14ac:dyDescent="0.25">
      <c r="A19">
        <v>19</v>
      </c>
      <c r="B19">
        <v>17134</v>
      </c>
      <c r="C19" t="s">
        <v>136</v>
      </c>
      <c r="D19" t="s">
        <v>334</v>
      </c>
      <c r="E19" t="s">
        <v>207</v>
      </c>
      <c r="F19" t="s">
        <v>241</v>
      </c>
      <c r="G19">
        <v>20</v>
      </c>
      <c r="H19">
        <v>20</v>
      </c>
      <c r="I19" s="44">
        <v>1</v>
      </c>
      <c r="J19">
        <v>134</v>
      </c>
      <c r="K19">
        <v>127</v>
      </c>
      <c r="L19">
        <v>7</v>
      </c>
      <c r="M19" s="44">
        <v>0.94779999999999998</v>
      </c>
      <c r="N19" s="44">
        <f t="shared" si="0"/>
        <v>0.85074545454545458</v>
      </c>
      <c r="O19" s="44">
        <v>1</v>
      </c>
      <c r="P19" s="44">
        <v>0.9627</v>
      </c>
      <c r="Q19" s="44">
        <v>0.43280000000000002</v>
      </c>
      <c r="R19" s="44">
        <v>1</v>
      </c>
      <c r="S19" s="44">
        <v>0.23880000000000001</v>
      </c>
      <c r="T19" s="44">
        <v>1</v>
      </c>
      <c r="U19" s="44">
        <v>1</v>
      </c>
      <c r="V19" s="44">
        <v>1</v>
      </c>
      <c r="W19" s="44">
        <v>1</v>
      </c>
      <c r="X19" s="44">
        <v>1</v>
      </c>
      <c r="Y19" s="44">
        <v>0.72389999999999999</v>
      </c>
      <c r="Z19" s="44">
        <v>0.50749999999999995</v>
      </c>
      <c r="AA19" s="44">
        <v>0.49249999999999999</v>
      </c>
      <c r="AB19" s="44">
        <v>0.14929999999999999</v>
      </c>
      <c r="AC19" s="44">
        <v>0.14929999999999999</v>
      </c>
      <c r="AD19" s="44">
        <v>0.14929999999999999</v>
      </c>
      <c r="AE19">
        <v>39</v>
      </c>
      <c r="AF19">
        <v>31</v>
      </c>
      <c r="AG19" s="44">
        <v>0.79490000000000005</v>
      </c>
      <c r="AH19" s="44">
        <v>0.87439999999999996</v>
      </c>
    </row>
    <row r="20" spans="1:34" x14ac:dyDescent="0.25">
      <c r="A20">
        <v>20</v>
      </c>
      <c r="B20">
        <v>16816</v>
      </c>
      <c r="C20" t="s">
        <v>106</v>
      </c>
      <c r="D20" t="s">
        <v>334</v>
      </c>
      <c r="E20" t="s">
        <v>205</v>
      </c>
      <c r="F20" t="s">
        <v>243</v>
      </c>
      <c r="G20">
        <v>19</v>
      </c>
      <c r="H20">
        <v>18</v>
      </c>
      <c r="I20" s="44">
        <v>0.94740000000000002</v>
      </c>
      <c r="J20">
        <v>124</v>
      </c>
      <c r="K20">
        <v>116</v>
      </c>
      <c r="L20">
        <v>4</v>
      </c>
      <c r="M20" s="44">
        <v>0.9355</v>
      </c>
      <c r="N20" s="44">
        <f t="shared" si="0"/>
        <v>0.8538</v>
      </c>
      <c r="O20" s="44">
        <v>1</v>
      </c>
      <c r="P20" s="44">
        <v>0.9667</v>
      </c>
      <c r="Q20" s="44">
        <v>0.54169999999999996</v>
      </c>
      <c r="R20" s="44">
        <v>1</v>
      </c>
      <c r="S20" s="44">
        <v>0.14169999999999999</v>
      </c>
      <c r="T20" s="44">
        <v>1</v>
      </c>
      <c r="U20" s="44">
        <v>1</v>
      </c>
      <c r="V20" s="44">
        <v>1</v>
      </c>
      <c r="W20" s="44">
        <v>1</v>
      </c>
      <c r="X20" s="44">
        <v>1</v>
      </c>
      <c r="Y20" s="44">
        <v>0.74170000000000003</v>
      </c>
      <c r="Z20" s="44">
        <v>0.72499999999999998</v>
      </c>
      <c r="AA20" s="44">
        <v>0.70830000000000004</v>
      </c>
      <c r="AB20" s="44">
        <v>0.2</v>
      </c>
      <c r="AC20" s="44">
        <v>0.2417</v>
      </c>
      <c r="AD20" s="44">
        <v>0.19170000000000001</v>
      </c>
      <c r="AE20">
        <v>31</v>
      </c>
      <c r="AF20">
        <v>31</v>
      </c>
      <c r="AG20" s="44">
        <v>1</v>
      </c>
      <c r="AH20" s="44">
        <v>0.86629999999999996</v>
      </c>
    </row>
    <row r="21" spans="1:34" x14ac:dyDescent="0.25">
      <c r="A21">
        <v>21</v>
      </c>
      <c r="B21">
        <v>17094</v>
      </c>
      <c r="C21" t="s">
        <v>47</v>
      </c>
      <c r="D21" t="s">
        <v>334</v>
      </c>
      <c r="E21" t="s">
        <v>309</v>
      </c>
      <c r="F21" t="s">
        <v>242</v>
      </c>
      <c r="G21">
        <v>13</v>
      </c>
      <c r="H21">
        <v>13</v>
      </c>
      <c r="I21" s="44">
        <v>1</v>
      </c>
      <c r="J21">
        <v>113</v>
      </c>
      <c r="K21">
        <v>110</v>
      </c>
      <c r="L21">
        <v>4</v>
      </c>
      <c r="M21" s="44">
        <v>0.97350000000000003</v>
      </c>
      <c r="N21" s="44">
        <f t="shared" si="0"/>
        <v>0.78945454545454541</v>
      </c>
      <c r="O21" s="44">
        <v>0.99119999999999997</v>
      </c>
      <c r="P21" s="44">
        <v>0.95609999999999995</v>
      </c>
      <c r="Q21" s="44">
        <v>7.0199999999999999E-2</v>
      </c>
      <c r="R21" s="44">
        <v>0.99119999999999997</v>
      </c>
      <c r="S21" s="44">
        <v>7.8899999999999998E-2</v>
      </c>
      <c r="T21" s="44">
        <v>0.99119999999999997</v>
      </c>
      <c r="U21" s="44">
        <v>0.99119999999999997</v>
      </c>
      <c r="V21" s="44">
        <v>0.99119999999999997</v>
      </c>
      <c r="W21" s="44">
        <v>0.99119999999999997</v>
      </c>
      <c r="X21" s="44">
        <v>0.99119999999999997</v>
      </c>
      <c r="Y21" s="44">
        <v>0.64039999999999997</v>
      </c>
      <c r="Z21" s="44">
        <v>0.63160000000000005</v>
      </c>
      <c r="AA21" s="44">
        <v>0.63160000000000005</v>
      </c>
      <c r="AB21" s="44">
        <v>8.8000000000000005E-3</v>
      </c>
      <c r="AC21" s="44">
        <v>8.8000000000000005E-3</v>
      </c>
      <c r="AD21" s="44">
        <v>8.8000000000000005E-3</v>
      </c>
      <c r="AE21">
        <v>16</v>
      </c>
      <c r="AF21">
        <v>6</v>
      </c>
      <c r="AG21" s="44">
        <v>0.375</v>
      </c>
      <c r="AH21" s="44">
        <v>0.86560000000000004</v>
      </c>
    </row>
    <row r="22" spans="1:34" x14ac:dyDescent="0.25">
      <c r="A22">
        <v>22</v>
      </c>
      <c r="B22">
        <v>16814</v>
      </c>
      <c r="C22" t="s">
        <v>63</v>
      </c>
      <c r="D22" t="s">
        <v>334</v>
      </c>
      <c r="E22" t="s">
        <v>202</v>
      </c>
      <c r="F22" t="s">
        <v>243</v>
      </c>
      <c r="G22">
        <v>23</v>
      </c>
      <c r="H22">
        <v>23</v>
      </c>
      <c r="I22" s="44">
        <v>1</v>
      </c>
      <c r="J22">
        <v>129</v>
      </c>
      <c r="K22">
        <v>124</v>
      </c>
      <c r="L22">
        <v>6</v>
      </c>
      <c r="M22" s="44">
        <v>0.96120000000000005</v>
      </c>
      <c r="N22" s="44">
        <f t="shared" si="0"/>
        <v>0.81049090909090904</v>
      </c>
      <c r="O22" s="44">
        <v>1</v>
      </c>
      <c r="P22" s="44">
        <v>0.96919999999999995</v>
      </c>
      <c r="Q22" s="44">
        <v>0.1462</v>
      </c>
      <c r="R22" s="44">
        <v>1</v>
      </c>
      <c r="S22" s="44">
        <v>0.13850000000000001</v>
      </c>
      <c r="T22" s="44">
        <v>1</v>
      </c>
      <c r="U22" s="44">
        <v>1</v>
      </c>
      <c r="V22" s="44">
        <v>1</v>
      </c>
      <c r="W22" s="44">
        <v>1</v>
      </c>
      <c r="X22" s="44">
        <v>1</v>
      </c>
      <c r="Y22" s="44">
        <v>0.66149999999999998</v>
      </c>
      <c r="Z22" s="44">
        <v>0.31540000000000001</v>
      </c>
      <c r="AA22" s="44">
        <v>0.31540000000000001</v>
      </c>
      <c r="AB22" s="44">
        <v>0.1923</v>
      </c>
      <c r="AC22" s="44">
        <v>0.1615</v>
      </c>
      <c r="AD22" s="44">
        <v>0.18459999999999999</v>
      </c>
      <c r="AE22">
        <v>33</v>
      </c>
      <c r="AF22">
        <v>8</v>
      </c>
      <c r="AG22" s="44">
        <v>0.2424</v>
      </c>
      <c r="AH22" s="44">
        <v>0.86380000000000001</v>
      </c>
    </row>
    <row r="23" spans="1:34" x14ac:dyDescent="0.25">
      <c r="A23">
        <v>23</v>
      </c>
      <c r="B23">
        <v>17146</v>
      </c>
      <c r="C23" t="s">
        <v>33</v>
      </c>
      <c r="D23" t="s">
        <v>334</v>
      </c>
      <c r="E23" t="s">
        <v>306</v>
      </c>
      <c r="F23" t="s">
        <v>241</v>
      </c>
      <c r="G23">
        <v>20</v>
      </c>
      <c r="H23">
        <v>20</v>
      </c>
      <c r="I23" s="44">
        <v>1</v>
      </c>
      <c r="J23">
        <v>125</v>
      </c>
      <c r="K23">
        <v>110</v>
      </c>
      <c r="L23">
        <v>3</v>
      </c>
      <c r="M23" s="44">
        <v>0.88</v>
      </c>
      <c r="N23" s="44">
        <f t="shared" si="0"/>
        <v>0.85924545454545442</v>
      </c>
      <c r="O23" s="44">
        <v>0.99119999999999997</v>
      </c>
      <c r="P23" s="44">
        <v>0.95579999999999998</v>
      </c>
      <c r="Q23" s="44">
        <v>0.64600000000000002</v>
      </c>
      <c r="R23" s="44">
        <v>0.99119999999999997</v>
      </c>
      <c r="S23" s="44">
        <v>0.21240000000000001</v>
      </c>
      <c r="T23" s="44">
        <v>0.99119999999999997</v>
      </c>
      <c r="U23" s="44">
        <v>0.99119999999999997</v>
      </c>
      <c r="V23" s="44">
        <v>0.99119999999999997</v>
      </c>
      <c r="W23" s="44">
        <v>0.99119999999999997</v>
      </c>
      <c r="X23" s="44">
        <v>0.99119999999999997</v>
      </c>
      <c r="Y23" s="44">
        <v>0.69910000000000005</v>
      </c>
      <c r="Z23" s="44">
        <v>0.68140000000000001</v>
      </c>
      <c r="AA23" s="44">
        <v>0.69030000000000002</v>
      </c>
      <c r="AB23" s="44">
        <v>0.17699999999999999</v>
      </c>
      <c r="AC23" s="44">
        <v>0.1681</v>
      </c>
      <c r="AD23" s="44">
        <v>0.17699999999999999</v>
      </c>
      <c r="AE23">
        <v>51</v>
      </c>
      <c r="AF23">
        <v>28</v>
      </c>
      <c r="AG23" s="44">
        <v>0.54900000000000004</v>
      </c>
      <c r="AH23" s="44">
        <v>0.86299999999999999</v>
      </c>
    </row>
    <row r="24" spans="1:34" x14ac:dyDescent="0.25">
      <c r="A24">
        <v>24</v>
      </c>
      <c r="B24">
        <v>17095</v>
      </c>
      <c r="C24" t="s">
        <v>48</v>
      </c>
      <c r="D24" t="s">
        <v>334</v>
      </c>
      <c r="E24" t="s">
        <v>309</v>
      </c>
      <c r="F24" t="s">
        <v>242</v>
      </c>
      <c r="G24">
        <v>1</v>
      </c>
      <c r="H24">
        <v>1</v>
      </c>
      <c r="I24" s="44">
        <v>1</v>
      </c>
      <c r="J24">
        <v>27</v>
      </c>
      <c r="K24">
        <v>27</v>
      </c>
      <c r="L24">
        <v>1</v>
      </c>
      <c r="M24" s="44">
        <v>1</v>
      </c>
      <c r="N24" s="44">
        <f t="shared" si="0"/>
        <v>0.75649999999999984</v>
      </c>
      <c r="O24" s="44">
        <v>1</v>
      </c>
      <c r="P24" s="44">
        <v>0.92859999999999998</v>
      </c>
      <c r="Q24" s="44">
        <v>0</v>
      </c>
      <c r="R24" s="44">
        <v>0.96430000000000005</v>
      </c>
      <c r="S24" s="44">
        <v>3.5700000000000003E-2</v>
      </c>
      <c r="T24" s="44">
        <v>0.96430000000000005</v>
      </c>
      <c r="U24" s="44">
        <v>0.96430000000000005</v>
      </c>
      <c r="V24" s="44">
        <v>0.96430000000000005</v>
      </c>
      <c r="W24" s="44">
        <v>1</v>
      </c>
      <c r="X24" s="44">
        <v>0.96430000000000005</v>
      </c>
      <c r="Y24" s="44">
        <v>0.53569999999999995</v>
      </c>
      <c r="Z24" s="44">
        <v>0.32140000000000002</v>
      </c>
      <c r="AA24" s="44">
        <v>0.28570000000000001</v>
      </c>
      <c r="AB24" s="44">
        <v>0.1429</v>
      </c>
      <c r="AC24" s="44">
        <v>0.1429</v>
      </c>
      <c r="AD24" s="44">
        <v>0.1071</v>
      </c>
      <c r="AE24">
        <v>4</v>
      </c>
      <c r="AF24">
        <v>4</v>
      </c>
      <c r="AG24" s="44">
        <v>1</v>
      </c>
      <c r="AH24" s="44">
        <v>0.8609</v>
      </c>
    </row>
    <row r="25" spans="1:34" x14ac:dyDescent="0.25">
      <c r="A25">
        <v>25</v>
      </c>
      <c r="B25">
        <v>17158</v>
      </c>
      <c r="C25" t="s">
        <v>86</v>
      </c>
      <c r="D25" t="s">
        <v>334</v>
      </c>
      <c r="E25" t="s">
        <v>307</v>
      </c>
      <c r="F25" t="s">
        <v>242</v>
      </c>
      <c r="G25">
        <v>10</v>
      </c>
      <c r="H25">
        <v>10</v>
      </c>
      <c r="I25" s="44">
        <v>1</v>
      </c>
      <c r="J25">
        <v>90</v>
      </c>
      <c r="K25">
        <v>85</v>
      </c>
      <c r="L25">
        <v>4</v>
      </c>
      <c r="M25" s="44">
        <v>0.94440000000000002</v>
      </c>
      <c r="N25" s="44">
        <f t="shared" si="0"/>
        <v>0.82840000000000014</v>
      </c>
      <c r="O25" s="44">
        <v>1</v>
      </c>
      <c r="P25" s="44">
        <v>0.97750000000000004</v>
      </c>
      <c r="Q25" s="44">
        <v>0.35959999999999998</v>
      </c>
      <c r="R25" s="44">
        <v>1</v>
      </c>
      <c r="S25" s="44">
        <v>0.191</v>
      </c>
      <c r="T25" s="44">
        <v>1</v>
      </c>
      <c r="U25" s="44">
        <v>1</v>
      </c>
      <c r="V25" s="44">
        <v>1</v>
      </c>
      <c r="W25" s="44">
        <v>1</v>
      </c>
      <c r="X25" s="44">
        <v>1</v>
      </c>
      <c r="Y25" s="44">
        <v>0.58430000000000004</v>
      </c>
      <c r="Z25" s="44">
        <v>0.55059999999999998</v>
      </c>
      <c r="AA25" s="44">
        <v>0.5393</v>
      </c>
      <c r="AB25" s="44">
        <v>0</v>
      </c>
      <c r="AC25" s="44">
        <v>0</v>
      </c>
      <c r="AD25" s="44">
        <v>0</v>
      </c>
      <c r="AE25">
        <v>15</v>
      </c>
      <c r="AF25">
        <v>14</v>
      </c>
      <c r="AG25" s="44">
        <v>0.93330000000000002</v>
      </c>
      <c r="AH25" s="44">
        <v>0.86070000000000002</v>
      </c>
    </row>
    <row r="26" spans="1:34" x14ac:dyDescent="0.25">
      <c r="A26">
        <v>26</v>
      </c>
      <c r="B26">
        <v>16894</v>
      </c>
      <c r="C26" t="s">
        <v>142</v>
      </c>
      <c r="D26" t="s">
        <v>334</v>
      </c>
      <c r="E26" t="s">
        <v>208</v>
      </c>
      <c r="F26" t="s">
        <v>243</v>
      </c>
      <c r="G26">
        <v>6</v>
      </c>
      <c r="H26">
        <v>6</v>
      </c>
      <c r="I26" s="44">
        <v>1</v>
      </c>
      <c r="J26">
        <v>52</v>
      </c>
      <c r="K26">
        <v>46</v>
      </c>
      <c r="L26">
        <v>8</v>
      </c>
      <c r="M26" s="44">
        <v>0.88460000000000005</v>
      </c>
      <c r="N26" s="44">
        <f t="shared" si="0"/>
        <v>0.81480909090909104</v>
      </c>
      <c r="O26" s="44">
        <v>1</v>
      </c>
      <c r="P26" s="44">
        <v>0.98150000000000004</v>
      </c>
      <c r="Q26" s="44">
        <v>3.6999999999999998E-2</v>
      </c>
      <c r="R26" s="44">
        <v>1</v>
      </c>
      <c r="S26" s="44">
        <v>0.20369999999999999</v>
      </c>
      <c r="T26" s="44">
        <v>1</v>
      </c>
      <c r="U26" s="44">
        <v>1</v>
      </c>
      <c r="V26" s="44">
        <v>1</v>
      </c>
      <c r="W26" s="44">
        <v>1</v>
      </c>
      <c r="X26" s="44">
        <v>1</v>
      </c>
      <c r="Y26" s="44">
        <v>0.74070000000000003</v>
      </c>
      <c r="Z26" s="44">
        <v>0.70369999999999999</v>
      </c>
      <c r="AA26" s="44">
        <v>0.70369999999999999</v>
      </c>
      <c r="AB26" s="44">
        <v>0.25929999999999997</v>
      </c>
      <c r="AC26" s="44">
        <v>0.25929999999999997</v>
      </c>
      <c r="AD26" s="44">
        <v>0.2407</v>
      </c>
      <c r="AE26">
        <v>7</v>
      </c>
      <c r="AF26">
        <v>4</v>
      </c>
      <c r="AG26" s="44">
        <v>0.57140000000000002</v>
      </c>
      <c r="AH26" s="44">
        <v>0.86009999999999998</v>
      </c>
    </row>
    <row r="27" spans="1:34" x14ac:dyDescent="0.25">
      <c r="A27">
        <v>27</v>
      </c>
      <c r="B27">
        <v>17123</v>
      </c>
      <c r="C27" t="s">
        <v>125</v>
      </c>
      <c r="D27" t="s">
        <v>334</v>
      </c>
      <c r="E27" t="s">
        <v>207</v>
      </c>
      <c r="F27" t="s">
        <v>241</v>
      </c>
      <c r="G27">
        <v>12</v>
      </c>
      <c r="H27">
        <v>12</v>
      </c>
      <c r="I27" s="44">
        <v>1</v>
      </c>
      <c r="J27">
        <v>97</v>
      </c>
      <c r="K27">
        <v>91</v>
      </c>
      <c r="L27">
        <v>2</v>
      </c>
      <c r="M27" s="44">
        <v>0.93810000000000004</v>
      </c>
      <c r="N27" s="44">
        <f t="shared" si="0"/>
        <v>0.82110909090909101</v>
      </c>
      <c r="O27" s="44">
        <v>1</v>
      </c>
      <c r="P27" s="44">
        <v>0.9677</v>
      </c>
      <c r="Q27" s="44">
        <v>0.21510000000000001</v>
      </c>
      <c r="R27" s="44">
        <v>1</v>
      </c>
      <c r="S27" s="44">
        <v>0.17199999999999999</v>
      </c>
      <c r="T27" s="44">
        <v>1</v>
      </c>
      <c r="U27" s="44">
        <v>1</v>
      </c>
      <c r="V27" s="44">
        <v>1</v>
      </c>
      <c r="W27" s="44">
        <v>1</v>
      </c>
      <c r="X27" s="44">
        <v>1</v>
      </c>
      <c r="Y27" s="44">
        <v>0.6774</v>
      </c>
      <c r="Z27" s="44">
        <v>0.4839</v>
      </c>
      <c r="AA27" s="44">
        <v>0.47310000000000002</v>
      </c>
      <c r="AB27" s="44">
        <v>7.5300000000000006E-2</v>
      </c>
      <c r="AC27" s="44">
        <v>7.5300000000000006E-2</v>
      </c>
      <c r="AD27" s="44">
        <v>7.5300000000000006E-2</v>
      </c>
      <c r="AE27">
        <v>15</v>
      </c>
      <c r="AF27">
        <v>14</v>
      </c>
      <c r="AG27" s="44">
        <v>0.93330000000000002</v>
      </c>
      <c r="AH27" s="44">
        <v>0.85880000000000001</v>
      </c>
    </row>
    <row r="28" spans="1:34" x14ac:dyDescent="0.25">
      <c r="A28">
        <v>28</v>
      </c>
      <c r="B28">
        <v>17126</v>
      </c>
      <c r="C28" t="s">
        <v>128</v>
      </c>
      <c r="D28" t="s">
        <v>334</v>
      </c>
      <c r="E28" t="s">
        <v>207</v>
      </c>
      <c r="F28" t="s">
        <v>241</v>
      </c>
      <c r="G28">
        <v>10</v>
      </c>
      <c r="H28">
        <v>10</v>
      </c>
      <c r="I28" s="44">
        <v>1</v>
      </c>
      <c r="J28">
        <v>65</v>
      </c>
      <c r="K28">
        <v>56</v>
      </c>
      <c r="L28">
        <v>11</v>
      </c>
      <c r="M28" s="44">
        <v>0.86150000000000004</v>
      </c>
      <c r="N28" s="44">
        <f t="shared" si="0"/>
        <v>0.8561727272727272</v>
      </c>
      <c r="O28" s="44">
        <v>1</v>
      </c>
      <c r="P28" s="44">
        <v>0.97009999999999996</v>
      </c>
      <c r="Q28" s="44">
        <v>0.50749999999999995</v>
      </c>
      <c r="R28" s="44">
        <v>1</v>
      </c>
      <c r="S28" s="44">
        <v>0.22389999999999999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0.71640000000000004</v>
      </c>
      <c r="Z28" s="44">
        <v>0.67159999999999997</v>
      </c>
      <c r="AA28" s="44">
        <v>0.64180000000000004</v>
      </c>
      <c r="AB28" s="44">
        <v>0.22389999999999999</v>
      </c>
      <c r="AC28" s="44">
        <v>0.22389999999999999</v>
      </c>
      <c r="AD28" s="44">
        <v>0.22389999999999999</v>
      </c>
      <c r="AE28">
        <v>18</v>
      </c>
      <c r="AF28">
        <v>8</v>
      </c>
      <c r="AG28" s="44">
        <v>0.44440000000000002</v>
      </c>
      <c r="AH28" s="44">
        <v>0.85809999999999997</v>
      </c>
    </row>
    <row r="29" spans="1:34" x14ac:dyDescent="0.25">
      <c r="A29">
        <v>30</v>
      </c>
      <c r="B29">
        <v>16784</v>
      </c>
      <c r="C29" t="s">
        <v>159</v>
      </c>
      <c r="D29" t="s">
        <v>334</v>
      </c>
      <c r="E29" t="s">
        <v>209</v>
      </c>
      <c r="F29" t="s">
        <v>243</v>
      </c>
      <c r="G29">
        <v>9</v>
      </c>
      <c r="H29">
        <v>9</v>
      </c>
      <c r="I29" s="44">
        <v>1</v>
      </c>
      <c r="J29">
        <v>70</v>
      </c>
      <c r="K29">
        <v>63</v>
      </c>
      <c r="L29">
        <v>2</v>
      </c>
      <c r="M29" s="44">
        <v>0.9</v>
      </c>
      <c r="N29" s="44">
        <f t="shared" si="0"/>
        <v>0.8475454545454546</v>
      </c>
      <c r="O29" s="44">
        <v>1</v>
      </c>
      <c r="P29" s="44">
        <v>0.96919999999999995</v>
      </c>
      <c r="Q29" s="44">
        <v>0.52310000000000001</v>
      </c>
      <c r="R29" s="44">
        <v>1</v>
      </c>
      <c r="S29" s="44">
        <v>0.15379999999999999</v>
      </c>
      <c r="T29" s="44">
        <v>1</v>
      </c>
      <c r="U29" s="44">
        <v>1</v>
      </c>
      <c r="V29" s="44">
        <v>1</v>
      </c>
      <c r="W29" s="44">
        <v>1</v>
      </c>
      <c r="X29" s="44">
        <v>1</v>
      </c>
      <c r="Y29" s="44">
        <v>0.67689999999999995</v>
      </c>
      <c r="Z29" s="44">
        <v>0.46150000000000002</v>
      </c>
      <c r="AA29" s="44">
        <v>0.46150000000000002</v>
      </c>
      <c r="AB29" s="44">
        <v>0.15379999999999999</v>
      </c>
      <c r="AC29" s="44">
        <v>0.15379999999999999</v>
      </c>
      <c r="AD29" s="44">
        <v>0.15379999999999999</v>
      </c>
      <c r="AE29">
        <v>19</v>
      </c>
      <c r="AF29">
        <v>18</v>
      </c>
      <c r="AG29" s="44">
        <v>0.94740000000000002</v>
      </c>
      <c r="AH29" s="44">
        <v>0.85640000000000005</v>
      </c>
    </row>
    <row r="30" spans="1:34" x14ac:dyDescent="0.25">
      <c r="A30">
        <v>31</v>
      </c>
      <c r="B30">
        <v>17128</v>
      </c>
      <c r="C30" t="s">
        <v>130</v>
      </c>
      <c r="D30" t="s">
        <v>334</v>
      </c>
      <c r="E30" t="s">
        <v>207</v>
      </c>
      <c r="F30" t="s">
        <v>241</v>
      </c>
      <c r="G30">
        <v>7</v>
      </c>
      <c r="H30">
        <v>7</v>
      </c>
      <c r="I30" s="44">
        <v>1</v>
      </c>
      <c r="J30">
        <v>74</v>
      </c>
      <c r="K30">
        <v>74</v>
      </c>
      <c r="L30">
        <v>1</v>
      </c>
      <c r="M30" s="44">
        <v>1</v>
      </c>
      <c r="N30" s="44">
        <f t="shared" si="0"/>
        <v>0.75394545454545459</v>
      </c>
      <c r="O30" s="44">
        <v>0.98670000000000002</v>
      </c>
      <c r="P30" s="44">
        <v>0.96</v>
      </c>
      <c r="Q30" s="44">
        <v>0.04</v>
      </c>
      <c r="R30" s="44">
        <v>0.98670000000000002</v>
      </c>
      <c r="S30" s="44">
        <v>0.1467</v>
      </c>
      <c r="T30" s="44">
        <v>0.93330000000000002</v>
      </c>
      <c r="U30" s="44">
        <v>0.98670000000000002</v>
      </c>
      <c r="V30" s="44">
        <v>0.96</v>
      </c>
      <c r="W30" s="44">
        <v>0.97330000000000005</v>
      </c>
      <c r="X30" s="44">
        <v>0.93330000000000002</v>
      </c>
      <c r="Y30" s="44">
        <v>0.38669999999999999</v>
      </c>
      <c r="Z30" s="44">
        <v>0.26669999999999999</v>
      </c>
      <c r="AA30" s="44">
        <v>0.28000000000000003</v>
      </c>
      <c r="AB30" s="44">
        <v>2.6700000000000002E-2</v>
      </c>
      <c r="AC30" s="44">
        <v>2.6700000000000002E-2</v>
      </c>
      <c r="AD30" s="44">
        <v>2.6700000000000002E-2</v>
      </c>
      <c r="AE30">
        <v>9</v>
      </c>
      <c r="AF30">
        <v>8</v>
      </c>
      <c r="AG30" s="44">
        <v>0.88890000000000002</v>
      </c>
      <c r="AH30" s="44">
        <v>0.85250000000000004</v>
      </c>
    </row>
    <row r="31" spans="1:34" x14ac:dyDescent="0.25">
      <c r="A31">
        <v>32</v>
      </c>
      <c r="B31">
        <v>16847</v>
      </c>
      <c r="C31" t="s">
        <v>82</v>
      </c>
      <c r="D31" t="s">
        <v>334</v>
      </c>
      <c r="E31" t="s">
        <v>203</v>
      </c>
      <c r="F31" t="s">
        <v>243</v>
      </c>
      <c r="G31">
        <v>20</v>
      </c>
      <c r="H31">
        <v>20</v>
      </c>
      <c r="I31" s="44">
        <v>1</v>
      </c>
      <c r="J31">
        <v>99</v>
      </c>
      <c r="K31">
        <v>99</v>
      </c>
      <c r="L31">
        <v>14</v>
      </c>
      <c r="M31" s="44">
        <v>1</v>
      </c>
      <c r="N31" s="44">
        <f t="shared" si="0"/>
        <v>0.76105454545454554</v>
      </c>
      <c r="O31" s="44">
        <v>1</v>
      </c>
      <c r="P31" s="44">
        <v>0.98229999999999995</v>
      </c>
      <c r="Q31" s="44">
        <v>1.77E-2</v>
      </c>
      <c r="R31" s="44">
        <v>1</v>
      </c>
      <c r="S31" s="44">
        <v>9.7299999999999998E-2</v>
      </c>
      <c r="T31" s="44">
        <v>1</v>
      </c>
      <c r="U31" s="44">
        <v>1</v>
      </c>
      <c r="V31" s="44">
        <v>1</v>
      </c>
      <c r="W31" s="44">
        <v>1</v>
      </c>
      <c r="X31" s="44">
        <v>1</v>
      </c>
      <c r="Y31" s="44">
        <v>0.27429999999999999</v>
      </c>
      <c r="Z31" s="44">
        <v>0.27429999999999999</v>
      </c>
      <c r="AA31" s="44">
        <v>0.26550000000000001</v>
      </c>
      <c r="AB31" s="44">
        <v>0</v>
      </c>
      <c r="AC31" s="44">
        <v>0</v>
      </c>
      <c r="AD31" s="44">
        <v>0</v>
      </c>
      <c r="AE31">
        <v>21</v>
      </c>
      <c r="AF31">
        <v>11</v>
      </c>
      <c r="AG31" s="44">
        <v>0.52380000000000004</v>
      </c>
      <c r="AH31" s="44">
        <v>0.85229999999999995</v>
      </c>
    </row>
    <row r="32" spans="1:34" x14ac:dyDescent="0.25">
      <c r="A32">
        <v>34</v>
      </c>
      <c r="B32">
        <v>17115</v>
      </c>
      <c r="C32" t="s">
        <v>192</v>
      </c>
      <c r="D32" t="s">
        <v>334</v>
      </c>
      <c r="E32" t="s">
        <v>309</v>
      </c>
      <c r="F32" t="s">
        <v>242</v>
      </c>
      <c r="G32">
        <v>1</v>
      </c>
      <c r="H32">
        <v>1</v>
      </c>
      <c r="I32" s="44">
        <v>1</v>
      </c>
      <c r="J32">
        <v>24</v>
      </c>
      <c r="K32">
        <v>19</v>
      </c>
      <c r="L32">
        <v>0</v>
      </c>
      <c r="M32" s="44">
        <v>0.79169999999999996</v>
      </c>
      <c r="N32" s="44">
        <f t="shared" si="0"/>
        <v>0.89951818181818188</v>
      </c>
      <c r="O32" s="44">
        <v>1</v>
      </c>
      <c r="P32" s="44">
        <v>1</v>
      </c>
      <c r="Q32" s="44">
        <v>0.73680000000000001</v>
      </c>
      <c r="R32" s="44">
        <v>1</v>
      </c>
      <c r="S32" s="44">
        <v>0.42109999999999997</v>
      </c>
      <c r="T32" s="44">
        <v>1</v>
      </c>
      <c r="U32" s="44">
        <v>1</v>
      </c>
      <c r="V32" s="44">
        <v>1</v>
      </c>
      <c r="W32" s="44">
        <v>1</v>
      </c>
      <c r="X32" s="44">
        <v>1</v>
      </c>
      <c r="Y32" s="44">
        <v>0.73680000000000001</v>
      </c>
      <c r="Z32" s="44">
        <v>0.68420000000000003</v>
      </c>
      <c r="AA32" s="44">
        <v>0.68420000000000003</v>
      </c>
      <c r="AB32" s="44">
        <v>0.31580000000000003</v>
      </c>
      <c r="AC32" s="44">
        <v>0.31580000000000003</v>
      </c>
      <c r="AD32" s="44">
        <v>0.26319999999999999</v>
      </c>
      <c r="AE32">
        <v>0</v>
      </c>
      <c r="AF32">
        <v>0</v>
      </c>
      <c r="AG32" s="44">
        <v>0</v>
      </c>
      <c r="AH32" s="44">
        <v>0.85050000000000003</v>
      </c>
    </row>
    <row r="33" spans="1:34" x14ac:dyDescent="0.25">
      <c r="A33">
        <v>35</v>
      </c>
      <c r="B33">
        <v>17139</v>
      </c>
      <c r="C33" t="s">
        <v>141</v>
      </c>
      <c r="D33" t="s">
        <v>334</v>
      </c>
      <c r="E33" t="s">
        <v>207</v>
      </c>
      <c r="F33" t="s">
        <v>241</v>
      </c>
      <c r="G33">
        <v>8</v>
      </c>
      <c r="H33">
        <v>8</v>
      </c>
      <c r="I33" s="44">
        <v>1</v>
      </c>
      <c r="J33">
        <v>75</v>
      </c>
      <c r="K33">
        <v>71</v>
      </c>
      <c r="L33">
        <v>4</v>
      </c>
      <c r="M33" s="44">
        <v>0.94669999999999999</v>
      </c>
      <c r="N33" s="44">
        <f t="shared" si="0"/>
        <v>0.87151818181818186</v>
      </c>
      <c r="O33" s="44">
        <v>1</v>
      </c>
      <c r="P33" s="44">
        <v>0.97330000000000005</v>
      </c>
      <c r="Q33" s="44">
        <v>0.98670000000000002</v>
      </c>
      <c r="R33" s="44">
        <v>1</v>
      </c>
      <c r="S33" s="44">
        <v>0.32</v>
      </c>
      <c r="T33" s="44">
        <v>1</v>
      </c>
      <c r="U33" s="44">
        <v>1</v>
      </c>
      <c r="V33" s="44">
        <v>1</v>
      </c>
      <c r="W33" s="44">
        <v>1</v>
      </c>
      <c r="X33" s="44">
        <v>1</v>
      </c>
      <c r="Y33" s="44">
        <v>0.30669999999999997</v>
      </c>
      <c r="Z33" s="44">
        <v>2.6700000000000002E-2</v>
      </c>
      <c r="AA33" s="44">
        <v>2.6700000000000002E-2</v>
      </c>
      <c r="AB33" s="44">
        <v>0</v>
      </c>
      <c r="AC33" s="44">
        <v>0</v>
      </c>
      <c r="AD33" s="44">
        <v>0</v>
      </c>
      <c r="AE33">
        <v>9</v>
      </c>
      <c r="AF33">
        <v>8</v>
      </c>
      <c r="AG33" s="44">
        <v>0.88890000000000002</v>
      </c>
      <c r="AH33" s="44">
        <v>0.84970000000000001</v>
      </c>
    </row>
    <row r="34" spans="1:34" x14ac:dyDescent="0.25">
      <c r="A34">
        <v>36</v>
      </c>
      <c r="B34">
        <v>16825</v>
      </c>
      <c r="C34" t="s">
        <v>69</v>
      </c>
      <c r="D34" t="s">
        <v>334</v>
      </c>
      <c r="E34" t="s">
        <v>202</v>
      </c>
      <c r="F34" t="s">
        <v>243</v>
      </c>
      <c r="G34">
        <v>9</v>
      </c>
      <c r="H34">
        <v>9</v>
      </c>
      <c r="I34" s="44">
        <v>1</v>
      </c>
      <c r="J34">
        <v>58</v>
      </c>
      <c r="K34">
        <v>52</v>
      </c>
      <c r="L34">
        <v>10</v>
      </c>
      <c r="M34" s="44">
        <v>0.89659999999999995</v>
      </c>
      <c r="N34" s="44">
        <f t="shared" si="0"/>
        <v>0.78886363636363643</v>
      </c>
      <c r="O34" s="44">
        <v>1</v>
      </c>
      <c r="P34" s="44">
        <v>0.9839</v>
      </c>
      <c r="Q34" s="44">
        <v>4.8399999999999999E-2</v>
      </c>
      <c r="R34" s="44">
        <v>1</v>
      </c>
      <c r="S34" s="44">
        <v>4.8399999999999999E-2</v>
      </c>
      <c r="T34" s="44">
        <v>1</v>
      </c>
      <c r="U34" s="44">
        <v>0.9839</v>
      </c>
      <c r="V34" s="44">
        <v>1</v>
      </c>
      <c r="W34" s="44">
        <v>1</v>
      </c>
      <c r="X34" s="44">
        <v>1</v>
      </c>
      <c r="Y34" s="44">
        <v>0.6129</v>
      </c>
      <c r="Z34" s="44">
        <v>0.5645</v>
      </c>
      <c r="AA34" s="44">
        <v>0.5484</v>
      </c>
      <c r="AB34" s="44">
        <v>0.2258</v>
      </c>
      <c r="AC34" s="44">
        <v>0.2097</v>
      </c>
      <c r="AD34" s="44">
        <v>0.19350000000000001</v>
      </c>
      <c r="AE34">
        <v>3</v>
      </c>
      <c r="AF34">
        <v>2</v>
      </c>
      <c r="AG34" s="44">
        <v>0.66669999999999996</v>
      </c>
      <c r="AH34" s="44">
        <v>0.84930000000000005</v>
      </c>
    </row>
    <row r="35" spans="1:34" x14ac:dyDescent="0.25">
      <c r="A35">
        <v>37</v>
      </c>
      <c r="B35">
        <v>17102</v>
      </c>
      <c r="C35" t="s">
        <v>55</v>
      </c>
      <c r="D35" t="s">
        <v>334</v>
      </c>
      <c r="E35" t="s">
        <v>309</v>
      </c>
      <c r="F35" t="s">
        <v>242</v>
      </c>
      <c r="G35">
        <v>7</v>
      </c>
      <c r="H35">
        <v>7</v>
      </c>
      <c r="I35" s="44">
        <v>1</v>
      </c>
      <c r="J35">
        <v>58</v>
      </c>
      <c r="K35">
        <v>56</v>
      </c>
      <c r="L35">
        <v>2</v>
      </c>
      <c r="M35" s="44">
        <v>0.96550000000000002</v>
      </c>
      <c r="N35" s="44">
        <f t="shared" si="0"/>
        <v>0.83699090909090923</v>
      </c>
      <c r="O35" s="44">
        <v>1</v>
      </c>
      <c r="P35" s="44">
        <v>0.96550000000000002</v>
      </c>
      <c r="Q35" s="44">
        <v>0.74139999999999995</v>
      </c>
      <c r="R35" s="44">
        <v>1</v>
      </c>
      <c r="S35" s="44">
        <v>0.2069</v>
      </c>
      <c r="T35" s="44">
        <v>1</v>
      </c>
      <c r="U35" s="44">
        <v>1</v>
      </c>
      <c r="V35" s="44">
        <v>1</v>
      </c>
      <c r="W35" s="44">
        <v>1</v>
      </c>
      <c r="X35" s="44">
        <v>1</v>
      </c>
      <c r="Y35" s="44">
        <v>0.29310000000000003</v>
      </c>
      <c r="Z35" s="44">
        <v>6.9000000000000006E-2</v>
      </c>
      <c r="AA35" s="44">
        <v>3.4500000000000003E-2</v>
      </c>
      <c r="AB35" s="44">
        <v>0</v>
      </c>
      <c r="AC35" s="44">
        <v>0</v>
      </c>
      <c r="AD35" s="44">
        <v>0</v>
      </c>
      <c r="AE35">
        <v>20</v>
      </c>
      <c r="AF35">
        <v>15</v>
      </c>
      <c r="AG35" s="44">
        <v>0.75</v>
      </c>
      <c r="AH35" s="44">
        <v>0.84909999999999997</v>
      </c>
    </row>
    <row r="36" spans="1:34" x14ac:dyDescent="0.25">
      <c r="A36">
        <v>38</v>
      </c>
      <c r="B36">
        <v>17129</v>
      </c>
      <c r="C36" t="s">
        <v>131</v>
      </c>
      <c r="D36" t="s">
        <v>334</v>
      </c>
      <c r="E36" t="s">
        <v>207</v>
      </c>
      <c r="F36" t="s">
        <v>241</v>
      </c>
      <c r="G36">
        <v>2</v>
      </c>
      <c r="H36">
        <v>2</v>
      </c>
      <c r="I36" s="44">
        <v>1</v>
      </c>
      <c r="J36">
        <v>27</v>
      </c>
      <c r="K36">
        <v>27</v>
      </c>
      <c r="L36">
        <v>2</v>
      </c>
      <c r="M36" s="44">
        <v>1</v>
      </c>
      <c r="N36" s="44">
        <f t="shared" si="0"/>
        <v>0.77742727272727274</v>
      </c>
      <c r="O36" s="44">
        <v>1</v>
      </c>
      <c r="P36" s="44">
        <v>0.96550000000000002</v>
      </c>
      <c r="Q36" s="44">
        <v>6.9000000000000006E-2</v>
      </c>
      <c r="R36" s="44">
        <v>1</v>
      </c>
      <c r="S36" s="44">
        <v>0.10340000000000001</v>
      </c>
      <c r="T36" s="44">
        <v>1</v>
      </c>
      <c r="U36" s="44">
        <v>1</v>
      </c>
      <c r="V36" s="44">
        <v>1</v>
      </c>
      <c r="W36" s="44">
        <v>1</v>
      </c>
      <c r="X36" s="44">
        <v>1</v>
      </c>
      <c r="Y36" s="44">
        <v>0.4138</v>
      </c>
      <c r="Z36" s="44">
        <v>0.10340000000000001</v>
      </c>
      <c r="AA36" s="44">
        <v>0.10340000000000001</v>
      </c>
      <c r="AB36" s="44">
        <v>0</v>
      </c>
      <c r="AC36" s="44">
        <v>0</v>
      </c>
      <c r="AD36" s="44">
        <v>0</v>
      </c>
      <c r="AE36">
        <v>3</v>
      </c>
      <c r="AF36">
        <v>1</v>
      </c>
      <c r="AG36" s="44">
        <v>0.33329999999999999</v>
      </c>
      <c r="AH36" s="44">
        <v>0.84909999999999997</v>
      </c>
    </row>
    <row r="37" spans="1:34" x14ac:dyDescent="0.25">
      <c r="A37">
        <v>39</v>
      </c>
      <c r="B37">
        <v>16903</v>
      </c>
      <c r="C37" t="s">
        <v>151</v>
      </c>
      <c r="D37" t="s">
        <v>334</v>
      </c>
      <c r="E37" t="s">
        <v>208</v>
      </c>
      <c r="F37" t="s">
        <v>243</v>
      </c>
      <c r="G37">
        <v>13</v>
      </c>
      <c r="H37">
        <v>13</v>
      </c>
      <c r="I37" s="44">
        <v>1</v>
      </c>
      <c r="J37">
        <v>91</v>
      </c>
      <c r="K37">
        <v>90</v>
      </c>
      <c r="L37">
        <v>2</v>
      </c>
      <c r="M37" s="44">
        <v>0.98899999999999999</v>
      </c>
      <c r="N37" s="44">
        <f t="shared" si="0"/>
        <v>0.80039999999999989</v>
      </c>
      <c r="O37" s="44">
        <v>1</v>
      </c>
      <c r="P37" s="44">
        <v>0.96740000000000004</v>
      </c>
      <c r="Q37" s="44">
        <v>0.14130000000000001</v>
      </c>
      <c r="R37" s="44">
        <v>1</v>
      </c>
      <c r="S37" s="44">
        <v>0.4022</v>
      </c>
      <c r="T37" s="44">
        <v>1</v>
      </c>
      <c r="U37" s="44">
        <v>1</v>
      </c>
      <c r="V37" s="44">
        <v>1</v>
      </c>
      <c r="W37" s="44">
        <v>1</v>
      </c>
      <c r="X37" s="44">
        <v>1</v>
      </c>
      <c r="Y37" s="44">
        <v>0.29349999999999998</v>
      </c>
      <c r="Z37" s="44">
        <v>3.2599999999999997E-2</v>
      </c>
      <c r="AA37" s="44">
        <v>2.1700000000000001E-2</v>
      </c>
      <c r="AB37" s="44">
        <v>0</v>
      </c>
      <c r="AC37" s="44">
        <v>0</v>
      </c>
      <c r="AD37" s="44">
        <v>3.2599999999999997E-2</v>
      </c>
      <c r="AE37">
        <v>21</v>
      </c>
      <c r="AF37">
        <v>21</v>
      </c>
      <c r="AG37" s="44">
        <v>1</v>
      </c>
      <c r="AH37" s="44">
        <v>0.84819999999999995</v>
      </c>
    </row>
    <row r="38" spans="1:34" x14ac:dyDescent="0.25">
      <c r="A38">
        <v>40</v>
      </c>
      <c r="B38">
        <v>16782</v>
      </c>
      <c r="C38" t="s">
        <v>170</v>
      </c>
      <c r="D38" t="s">
        <v>334</v>
      </c>
      <c r="E38" t="s">
        <v>209</v>
      </c>
      <c r="F38" t="s">
        <v>243</v>
      </c>
      <c r="G38">
        <v>10</v>
      </c>
      <c r="H38">
        <v>10</v>
      </c>
      <c r="I38" s="44">
        <v>1</v>
      </c>
      <c r="J38">
        <v>62</v>
      </c>
      <c r="K38">
        <v>52</v>
      </c>
      <c r="L38">
        <v>2</v>
      </c>
      <c r="M38" s="44">
        <v>0.8387</v>
      </c>
      <c r="N38" s="44">
        <f t="shared" si="0"/>
        <v>0.8316636363636366</v>
      </c>
      <c r="O38" s="44">
        <v>0.98150000000000004</v>
      </c>
      <c r="P38" s="44">
        <v>0.92589999999999995</v>
      </c>
      <c r="Q38" s="44">
        <v>0.37040000000000001</v>
      </c>
      <c r="R38" s="44">
        <v>0.98150000000000004</v>
      </c>
      <c r="S38" s="44">
        <v>0.20369999999999999</v>
      </c>
      <c r="T38" s="44">
        <v>0.98150000000000004</v>
      </c>
      <c r="U38" s="44">
        <v>0.98150000000000004</v>
      </c>
      <c r="V38" s="44">
        <v>0.98150000000000004</v>
      </c>
      <c r="W38" s="44">
        <v>0.98150000000000004</v>
      </c>
      <c r="X38" s="44">
        <v>0.98150000000000004</v>
      </c>
      <c r="Y38" s="44">
        <v>0.77780000000000005</v>
      </c>
      <c r="Z38" s="44">
        <v>0.75929999999999997</v>
      </c>
      <c r="AA38" s="44">
        <v>0.75929999999999997</v>
      </c>
      <c r="AB38" s="44">
        <v>0.20369999999999999</v>
      </c>
      <c r="AC38" s="44">
        <v>0.20369999999999999</v>
      </c>
      <c r="AD38" s="44">
        <v>0.20369999999999999</v>
      </c>
      <c r="AE38">
        <v>20</v>
      </c>
      <c r="AF38">
        <v>14</v>
      </c>
      <c r="AG38" s="44">
        <v>0.7</v>
      </c>
      <c r="AH38" s="44">
        <v>0.84789999999999999</v>
      </c>
    </row>
    <row r="39" spans="1:34" x14ac:dyDescent="0.25">
      <c r="A39">
        <v>41</v>
      </c>
      <c r="B39">
        <v>17104</v>
      </c>
      <c r="C39" t="s">
        <v>57</v>
      </c>
      <c r="D39" t="s">
        <v>334</v>
      </c>
      <c r="E39" t="s">
        <v>309</v>
      </c>
      <c r="F39" t="s">
        <v>242</v>
      </c>
      <c r="G39">
        <v>5</v>
      </c>
      <c r="H39">
        <v>5</v>
      </c>
      <c r="I39" s="44">
        <v>1</v>
      </c>
      <c r="J39">
        <v>53</v>
      </c>
      <c r="K39">
        <v>42</v>
      </c>
      <c r="L39">
        <v>1</v>
      </c>
      <c r="M39" s="44">
        <v>0.79249999999999998</v>
      </c>
      <c r="N39" s="44">
        <f t="shared" si="0"/>
        <v>0.91754545454545455</v>
      </c>
      <c r="O39" s="44">
        <v>1</v>
      </c>
      <c r="P39" s="44">
        <v>0.95350000000000001</v>
      </c>
      <c r="Q39" s="44">
        <v>0.88370000000000004</v>
      </c>
      <c r="R39" s="44">
        <v>1</v>
      </c>
      <c r="S39" s="44">
        <v>0.51160000000000005</v>
      </c>
      <c r="T39" s="44">
        <v>1</v>
      </c>
      <c r="U39" s="44">
        <v>1</v>
      </c>
      <c r="V39" s="44">
        <v>1</v>
      </c>
      <c r="W39" s="44">
        <v>1</v>
      </c>
      <c r="X39" s="44">
        <v>1</v>
      </c>
      <c r="Y39" s="44">
        <v>0.74419999999999997</v>
      </c>
      <c r="Z39" s="44">
        <v>0.74419999999999997</v>
      </c>
      <c r="AA39" s="44">
        <v>0.74419999999999997</v>
      </c>
      <c r="AB39" s="44">
        <v>0.13950000000000001</v>
      </c>
      <c r="AC39" s="44">
        <v>0.13950000000000001</v>
      </c>
      <c r="AD39" s="44">
        <v>0.13950000000000001</v>
      </c>
      <c r="AE39">
        <v>8</v>
      </c>
      <c r="AF39">
        <v>6</v>
      </c>
      <c r="AG39" s="44">
        <v>0.75</v>
      </c>
      <c r="AH39" s="44">
        <v>0.84750000000000003</v>
      </c>
    </row>
    <row r="40" spans="1:34" x14ac:dyDescent="0.25">
      <c r="A40">
        <v>42</v>
      </c>
      <c r="B40">
        <v>17135</v>
      </c>
      <c r="C40" t="s">
        <v>137</v>
      </c>
      <c r="D40" t="s">
        <v>334</v>
      </c>
      <c r="E40" t="s">
        <v>207</v>
      </c>
      <c r="F40" t="s">
        <v>241</v>
      </c>
      <c r="G40">
        <v>8</v>
      </c>
      <c r="H40">
        <v>8</v>
      </c>
      <c r="I40" s="44">
        <v>1</v>
      </c>
      <c r="J40">
        <v>77</v>
      </c>
      <c r="K40">
        <v>70</v>
      </c>
      <c r="L40">
        <v>1</v>
      </c>
      <c r="M40" s="44">
        <v>0.90910000000000002</v>
      </c>
      <c r="N40" s="44">
        <f t="shared" si="0"/>
        <v>0.80537272727272724</v>
      </c>
      <c r="O40" s="44">
        <v>1</v>
      </c>
      <c r="P40" s="44">
        <v>0.9718</v>
      </c>
      <c r="Q40" s="44">
        <v>0.28170000000000001</v>
      </c>
      <c r="R40" s="44">
        <v>1</v>
      </c>
      <c r="S40" s="44">
        <v>8.4500000000000006E-2</v>
      </c>
      <c r="T40" s="44">
        <v>1</v>
      </c>
      <c r="U40" s="44">
        <v>1</v>
      </c>
      <c r="V40" s="44">
        <v>1</v>
      </c>
      <c r="W40" s="44">
        <v>0.9718</v>
      </c>
      <c r="X40" s="44">
        <v>0.9859</v>
      </c>
      <c r="Y40" s="44">
        <v>0.56340000000000001</v>
      </c>
      <c r="Z40" s="44">
        <v>0.32390000000000002</v>
      </c>
      <c r="AA40" s="44">
        <v>0.32390000000000002</v>
      </c>
      <c r="AB40" s="44">
        <v>0.18310000000000001</v>
      </c>
      <c r="AC40" s="44">
        <v>0.19719999999999999</v>
      </c>
      <c r="AD40" s="44">
        <v>0.19719999999999999</v>
      </c>
      <c r="AE40">
        <v>8</v>
      </c>
      <c r="AF40">
        <v>4</v>
      </c>
      <c r="AG40" s="44">
        <v>0.5</v>
      </c>
      <c r="AH40" s="44">
        <v>0.84650000000000003</v>
      </c>
    </row>
    <row r="41" spans="1:34" x14ac:dyDescent="0.25">
      <c r="A41">
        <v>43</v>
      </c>
      <c r="B41">
        <v>16776</v>
      </c>
      <c r="C41" t="s">
        <v>168</v>
      </c>
      <c r="D41" t="s">
        <v>334</v>
      </c>
      <c r="E41" t="s">
        <v>209</v>
      </c>
      <c r="F41" t="s">
        <v>243</v>
      </c>
      <c r="G41">
        <v>3</v>
      </c>
      <c r="H41">
        <v>3</v>
      </c>
      <c r="I41" s="44">
        <v>1</v>
      </c>
      <c r="J41">
        <v>28</v>
      </c>
      <c r="K41">
        <v>28</v>
      </c>
      <c r="L41">
        <v>2</v>
      </c>
      <c r="M41" s="44">
        <v>1</v>
      </c>
      <c r="N41" s="44">
        <f t="shared" si="0"/>
        <v>0.78182727272727282</v>
      </c>
      <c r="O41" s="44">
        <v>0.9667</v>
      </c>
      <c r="P41" s="44">
        <v>0.93330000000000002</v>
      </c>
      <c r="Q41" s="44">
        <v>0.23330000000000001</v>
      </c>
      <c r="R41" s="44">
        <v>0.9667</v>
      </c>
      <c r="S41" s="44">
        <v>3.3300000000000003E-2</v>
      </c>
      <c r="T41" s="44">
        <v>0.9667</v>
      </c>
      <c r="U41" s="44">
        <v>0.9667</v>
      </c>
      <c r="V41" s="44">
        <v>0.9667</v>
      </c>
      <c r="W41" s="44">
        <v>0.9</v>
      </c>
      <c r="X41" s="44">
        <v>0.9667</v>
      </c>
      <c r="Y41" s="44">
        <v>0.7</v>
      </c>
      <c r="Z41" s="44">
        <v>0</v>
      </c>
      <c r="AA41" s="44">
        <v>0</v>
      </c>
      <c r="AB41" s="44">
        <v>0</v>
      </c>
      <c r="AC41" s="44">
        <v>3.3300000000000003E-2</v>
      </c>
      <c r="AD41" s="44">
        <v>0</v>
      </c>
      <c r="AE41">
        <v>10</v>
      </c>
      <c r="AF41">
        <v>10</v>
      </c>
      <c r="AG41" s="44">
        <v>1</v>
      </c>
      <c r="AH41" s="44">
        <v>0.84650000000000003</v>
      </c>
    </row>
    <row r="42" spans="1:34" x14ac:dyDescent="0.25">
      <c r="A42">
        <v>44</v>
      </c>
      <c r="B42">
        <v>17131</v>
      </c>
      <c r="C42" t="s">
        <v>133</v>
      </c>
      <c r="D42" t="s">
        <v>334</v>
      </c>
      <c r="E42" t="s">
        <v>207</v>
      </c>
      <c r="F42" t="s">
        <v>241</v>
      </c>
      <c r="G42">
        <v>15</v>
      </c>
      <c r="H42">
        <v>15</v>
      </c>
      <c r="I42" s="44">
        <v>1</v>
      </c>
      <c r="J42">
        <v>118</v>
      </c>
      <c r="K42">
        <v>115</v>
      </c>
      <c r="L42">
        <v>13</v>
      </c>
      <c r="M42" s="44">
        <v>0.97460000000000002</v>
      </c>
      <c r="N42" s="44">
        <f t="shared" si="0"/>
        <v>0.80043636363636361</v>
      </c>
      <c r="O42" s="44">
        <v>1</v>
      </c>
      <c r="P42" s="44">
        <v>0.98440000000000005</v>
      </c>
      <c r="Q42" s="44">
        <v>0.2969</v>
      </c>
      <c r="R42" s="44">
        <v>1</v>
      </c>
      <c r="S42" s="44">
        <v>0.1797</v>
      </c>
      <c r="T42" s="44">
        <v>1</v>
      </c>
      <c r="U42" s="44">
        <v>1</v>
      </c>
      <c r="V42" s="44">
        <v>1</v>
      </c>
      <c r="W42" s="44">
        <v>1</v>
      </c>
      <c r="X42" s="44">
        <v>1</v>
      </c>
      <c r="Y42" s="44">
        <v>0.34379999999999999</v>
      </c>
      <c r="Z42" s="44">
        <v>6.25E-2</v>
      </c>
      <c r="AA42" s="44">
        <v>6.25E-2</v>
      </c>
      <c r="AB42" s="44">
        <v>0</v>
      </c>
      <c r="AC42" s="44">
        <v>0</v>
      </c>
      <c r="AD42" s="44">
        <v>0</v>
      </c>
      <c r="AE42">
        <v>45</v>
      </c>
      <c r="AF42">
        <v>14</v>
      </c>
      <c r="AG42" s="44">
        <v>0.31109999999999999</v>
      </c>
      <c r="AH42" s="44">
        <v>0.84419999999999995</v>
      </c>
    </row>
    <row r="43" spans="1:34" x14ac:dyDescent="0.25">
      <c r="A43">
        <v>45</v>
      </c>
      <c r="B43">
        <v>17116</v>
      </c>
      <c r="C43" t="s">
        <v>193</v>
      </c>
      <c r="D43" t="s">
        <v>334</v>
      </c>
      <c r="E43" t="s">
        <v>310</v>
      </c>
      <c r="F43" t="s">
        <v>242</v>
      </c>
      <c r="G43">
        <v>19</v>
      </c>
      <c r="H43">
        <v>19</v>
      </c>
      <c r="I43" s="44">
        <v>1</v>
      </c>
      <c r="J43">
        <v>115</v>
      </c>
      <c r="K43">
        <v>113</v>
      </c>
      <c r="L43">
        <v>3</v>
      </c>
      <c r="M43" s="44">
        <v>0.98260000000000003</v>
      </c>
      <c r="N43" s="44">
        <f t="shared" si="0"/>
        <v>0.79231818181818181</v>
      </c>
      <c r="O43" s="44">
        <v>1</v>
      </c>
      <c r="P43" s="44">
        <v>0.96550000000000002</v>
      </c>
      <c r="Q43" s="44">
        <v>6.0299999999999999E-2</v>
      </c>
      <c r="R43" s="44">
        <v>1</v>
      </c>
      <c r="S43" s="44">
        <v>0.14660000000000001</v>
      </c>
      <c r="T43" s="44">
        <v>1</v>
      </c>
      <c r="U43" s="44">
        <v>1</v>
      </c>
      <c r="V43" s="44">
        <v>1</v>
      </c>
      <c r="W43" s="44">
        <v>1</v>
      </c>
      <c r="X43" s="44">
        <v>1</v>
      </c>
      <c r="Y43" s="44">
        <v>0.54310000000000003</v>
      </c>
      <c r="Z43" s="44">
        <v>5.1700000000000003E-2</v>
      </c>
      <c r="AA43" s="44">
        <v>2.5899999999999999E-2</v>
      </c>
      <c r="AB43" s="44">
        <v>0</v>
      </c>
      <c r="AC43" s="44">
        <v>0</v>
      </c>
      <c r="AD43" s="44">
        <v>0</v>
      </c>
      <c r="AE43">
        <v>19</v>
      </c>
      <c r="AF43">
        <v>6</v>
      </c>
      <c r="AG43" s="44">
        <v>0.31580000000000003</v>
      </c>
      <c r="AH43" s="44">
        <v>0.84409999999999996</v>
      </c>
    </row>
    <row r="44" spans="1:34" x14ac:dyDescent="0.25">
      <c r="A44">
        <v>46</v>
      </c>
      <c r="B44">
        <v>16806</v>
      </c>
      <c r="C44" t="s">
        <v>62</v>
      </c>
      <c r="D44" t="s">
        <v>334</v>
      </c>
      <c r="E44" t="s">
        <v>202</v>
      </c>
      <c r="F44" t="s">
        <v>243</v>
      </c>
      <c r="G44">
        <v>20</v>
      </c>
      <c r="H44">
        <v>19</v>
      </c>
      <c r="I44" s="44">
        <v>0.95</v>
      </c>
      <c r="J44">
        <v>102</v>
      </c>
      <c r="K44">
        <v>87</v>
      </c>
      <c r="L44">
        <v>8</v>
      </c>
      <c r="M44" s="44">
        <v>0.85289999999999999</v>
      </c>
      <c r="N44" s="44">
        <f t="shared" si="0"/>
        <v>0.85741818181818197</v>
      </c>
      <c r="O44" s="44">
        <v>1</v>
      </c>
      <c r="P44" s="44">
        <v>0.98950000000000005</v>
      </c>
      <c r="Q44" s="44">
        <v>0.65259999999999996</v>
      </c>
      <c r="R44" s="44">
        <v>1</v>
      </c>
      <c r="S44" s="44">
        <v>6.3200000000000006E-2</v>
      </c>
      <c r="T44" s="44">
        <v>1</v>
      </c>
      <c r="U44" s="44">
        <v>1</v>
      </c>
      <c r="V44" s="44">
        <v>1</v>
      </c>
      <c r="W44" s="44">
        <v>1</v>
      </c>
      <c r="X44" s="44">
        <v>1</v>
      </c>
      <c r="Y44" s="44">
        <v>0.72629999999999995</v>
      </c>
      <c r="Z44" s="44">
        <v>0.70530000000000004</v>
      </c>
      <c r="AA44" s="44">
        <v>0.70530000000000004</v>
      </c>
      <c r="AB44" s="44">
        <v>0.26319999999999999</v>
      </c>
      <c r="AC44" s="44">
        <v>0.26319999999999999</v>
      </c>
      <c r="AD44" s="44">
        <v>0.26319999999999999</v>
      </c>
      <c r="AE44">
        <v>9</v>
      </c>
      <c r="AF44">
        <v>5</v>
      </c>
      <c r="AG44" s="44">
        <v>0.55559999999999998</v>
      </c>
      <c r="AH44" s="44">
        <v>0.84330000000000005</v>
      </c>
    </row>
    <row r="45" spans="1:34" x14ac:dyDescent="0.25">
      <c r="A45">
        <v>47</v>
      </c>
      <c r="B45">
        <v>16690</v>
      </c>
      <c r="C45" t="s">
        <v>74</v>
      </c>
      <c r="D45" t="s">
        <v>334</v>
      </c>
      <c r="E45" t="s">
        <v>203</v>
      </c>
      <c r="F45" t="s">
        <v>243</v>
      </c>
      <c r="G45">
        <v>22</v>
      </c>
      <c r="H45">
        <v>21</v>
      </c>
      <c r="I45" s="44">
        <v>0.95450000000000002</v>
      </c>
      <c r="J45">
        <v>121</v>
      </c>
      <c r="K45">
        <v>109</v>
      </c>
      <c r="L45">
        <v>9</v>
      </c>
      <c r="M45" s="44">
        <v>0.90080000000000005</v>
      </c>
      <c r="N45" s="44">
        <f t="shared" si="0"/>
        <v>0.81587272727272719</v>
      </c>
      <c r="O45" s="44">
        <v>1</v>
      </c>
      <c r="P45" s="44">
        <v>0.96609999999999996</v>
      </c>
      <c r="Q45" s="44">
        <v>0.1525</v>
      </c>
      <c r="R45" s="44">
        <v>1</v>
      </c>
      <c r="S45" s="44">
        <v>0.11020000000000001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0.74580000000000002</v>
      </c>
      <c r="Z45" s="44">
        <v>0.44919999999999999</v>
      </c>
      <c r="AA45" s="44">
        <v>0.52539999999999998</v>
      </c>
      <c r="AB45" s="44">
        <v>0.26269999999999999</v>
      </c>
      <c r="AC45" s="44">
        <v>0.26269999999999999</v>
      </c>
      <c r="AD45" s="44">
        <v>0.26269999999999999</v>
      </c>
      <c r="AE45">
        <v>28</v>
      </c>
      <c r="AF45">
        <v>18</v>
      </c>
      <c r="AG45" s="44">
        <v>0.64290000000000003</v>
      </c>
      <c r="AH45" s="44">
        <v>0.84209999999999996</v>
      </c>
    </row>
    <row r="46" spans="1:34" x14ac:dyDescent="0.25">
      <c r="A46">
        <v>48</v>
      </c>
      <c r="B46">
        <v>17127</v>
      </c>
      <c r="C46" t="s">
        <v>129</v>
      </c>
      <c r="D46" t="s">
        <v>334</v>
      </c>
      <c r="E46" t="s">
        <v>207</v>
      </c>
      <c r="F46" t="s">
        <v>241</v>
      </c>
      <c r="G46">
        <v>16</v>
      </c>
      <c r="H46">
        <v>16</v>
      </c>
      <c r="I46" s="44">
        <v>1</v>
      </c>
      <c r="J46">
        <v>110</v>
      </c>
      <c r="K46">
        <v>105</v>
      </c>
      <c r="L46">
        <v>3</v>
      </c>
      <c r="M46" s="44">
        <v>0.95450000000000002</v>
      </c>
      <c r="N46" s="44">
        <f t="shared" si="0"/>
        <v>0.75589090909090906</v>
      </c>
      <c r="O46" s="44">
        <v>0.96299999999999997</v>
      </c>
      <c r="P46" s="44">
        <v>0.96299999999999997</v>
      </c>
      <c r="Q46" s="44">
        <v>7.4099999999999999E-2</v>
      </c>
      <c r="R46" s="44">
        <v>0.96299999999999997</v>
      </c>
      <c r="S46" s="44">
        <v>0.19439999999999999</v>
      </c>
      <c r="T46" s="44">
        <v>0.92589999999999995</v>
      </c>
      <c r="U46" s="44">
        <v>0.97219999999999995</v>
      </c>
      <c r="V46" s="44">
        <v>0.94440000000000002</v>
      </c>
      <c r="W46" s="44">
        <v>0.96299999999999997</v>
      </c>
      <c r="X46" s="44">
        <v>0.90739999999999998</v>
      </c>
      <c r="Y46" s="44">
        <v>0.44440000000000002</v>
      </c>
      <c r="Z46" s="44">
        <v>0.27779999999999999</v>
      </c>
      <c r="AA46" s="44">
        <v>0.27779999999999999</v>
      </c>
      <c r="AB46" s="44">
        <v>8.3299999999999999E-2</v>
      </c>
      <c r="AC46" s="44">
        <v>8.3299999999999999E-2</v>
      </c>
      <c r="AD46" s="44">
        <v>8.3299999999999999E-2</v>
      </c>
      <c r="AE46">
        <v>35</v>
      </c>
      <c r="AF46">
        <v>16</v>
      </c>
      <c r="AG46" s="44">
        <v>0.45710000000000001</v>
      </c>
      <c r="AH46" s="44">
        <v>0.84150000000000003</v>
      </c>
    </row>
    <row r="47" spans="1:34" x14ac:dyDescent="0.25">
      <c r="A47">
        <v>49</v>
      </c>
      <c r="B47">
        <v>17084</v>
      </c>
      <c r="C47" t="s">
        <v>21</v>
      </c>
      <c r="D47" t="s">
        <v>334</v>
      </c>
      <c r="E47" t="s">
        <v>308</v>
      </c>
      <c r="F47" t="s">
        <v>241</v>
      </c>
      <c r="G47">
        <v>1</v>
      </c>
      <c r="H47">
        <v>1</v>
      </c>
      <c r="I47" s="44">
        <v>1</v>
      </c>
      <c r="J47">
        <v>26</v>
      </c>
      <c r="K47">
        <v>25</v>
      </c>
      <c r="L47">
        <v>2</v>
      </c>
      <c r="M47" s="44">
        <v>0.96150000000000002</v>
      </c>
      <c r="N47" s="44">
        <f t="shared" si="0"/>
        <v>0.76430909090909083</v>
      </c>
      <c r="O47" s="44">
        <v>1</v>
      </c>
      <c r="P47" s="44">
        <v>0.96299999999999997</v>
      </c>
      <c r="Q47" s="44">
        <v>0</v>
      </c>
      <c r="R47" s="44">
        <v>1</v>
      </c>
      <c r="S47" s="44">
        <v>0.1111</v>
      </c>
      <c r="T47" s="44">
        <v>1</v>
      </c>
      <c r="U47" s="44">
        <v>1</v>
      </c>
      <c r="V47" s="44">
        <v>1</v>
      </c>
      <c r="W47" s="44">
        <v>1</v>
      </c>
      <c r="X47" s="44">
        <v>1</v>
      </c>
      <c r="Y47" s="44">
        <v>0.33329999999999999</v>
      </c>
      <c r="Z47" s="44">
        <v>0.25929999999999997</v>
      </c>
      <c r="AA47" s="44">
        <v>0.29630000000000001</v>
      </c>
      <c r="AB47" s="44">
        <v>0</v>
      </c>
      <c r="AC47" s="44">
        <v>0</v>
      </c>
      <c r="AD47" s="44">
        <v>0</v>
      </c>
      <c r="AE47">
        <v>4</v>
      </c>
      <c r="AF47">
        <v>4</v>
      </c>
      <c r="AG47" s="44">
        <v>1</v>
      </c>
      <c r="AH47" s="44">
        <v>0.84060000000000001</v>
      </c>
    </row>
    <row r="48" spans="1:34" x14ac:dyDescent="0.25">
      <c r="A48">
        <v>51</v>
      </c>
      <c r="B48">
        <v>16804</v>
      </c>
      <c r="C48" t="s">
        <v>60</v>
      </c>
      <c r="D48" t="s">
        <v>334</v>
      </c>
      <c r="E48" t="s">
        <v>202</v>
      </c>
      <c r="F48" t="s">
        <v>243</v>
      </c>
      <c r="G48">
        <v>4</v>
      </c>
      <c r="H48">
        <v>4</v>
      </c>
      <c r="I48" s="44">
        <v>1</v>
      </c>
      <c r="J48">
        <v>51</v>
      </c>
      <c r="K48">
        <v>49</v>
      </c>
      <c r="L48">
        <v>1</v>
      </c>
      <c r="M48" s="44">
        <v>0.96079999999999999</v>
      </c>
      <c r="N48" s="44">
        <f t="shared" si="0"/>
        <v>0.74545454545454559</v>
      </c>
      <c r="O48" s="44">
        <v>0.96</v>
      </c>
      <c r="P48" s="44">
        <v>0.94</v>
      </c>
      <c r="Q48" s="44">
        <v>0.06</v>
      </c>
      <c r="R48" s="44">
        <v>0.96</v>
      </c>
      <c r="S48" s="44">
        <v>0.02</v>
      </c>
      <c r="T48" s="44">
        <v>0.98</v>
      </c>
      <c r="U48" s="44">
        <v>0.98</v>
      </c>
      <c r="V48" s="44">
        <v>0.98</v>
      </c>
      <c r="W48" s="44">
        <v>0.98</v>
      </c>
      <c r="X48" s="44">
        <v>0.98</v>
      </c>
      <c r="Y48" s="44">
        <v>0.36</v>
      </c>
      <c r="Z48" s="44">
        <v>0.34</v>
      </c>
      <c r="AA48" s="44">
        <v>0.34</v>
      </c>
      <c r="AB48" s="44">
        <v>0.02</v>
      </c>
      <c r="AC48" s="44">
        <v>0.02</v>
      </c>
      <c r="AD48" s="44">
        <v>0.02</v>
      </c>
      <c r="AE48">
        <v>2</v>
      </c>
      <c r="AF48">
        <v>1</v>
      </c>
      <c r="AG48" s="44">
        <v>0.5</v>
      </c>
      <c r="AH48" s="44">
        <v>0.83989999999999998</v>
      </c>
    </row>
    <row r="49" spans="1:34" x14ac:dyDescent="0.25">
      <c r="A49">
        <v>52</v>
      </c>
      <c r="B49">
        <v>17097</v>
      </c>
      <c r="C49" t="s">
        <v>50</v>
      </c>
      <c r="D49" t="s">
        <v>334</v>
      </c>
      <c r="E49" t="s">
        <v>309</v>
      </c>
      <c r="F49" t="s">
        <v>242</v>
      </c>
      <c r="G49">
        <v>12</v>
      </c>
      <c r="H49">
        <v>12</v>
      </c>
      <c r="I49" s="44">
        <v>1</v>
      </c>
      <c r="J49">
        <v>113</v>
      </c>
      <c r="K49">
        <v>108</v>
      </c>
      <c r="L49">
        <v>4</v>
      </c>
      <c r="M49" s="44">
        <v>0.95579999999999998</v>
      </c>
      <c r="N49" s="44">
        <f t="shared" si="0"/>
        <v>0.79950909090909095</v>
      </c>
      <c r="O49" s="44">
        <v>1</v>
      </c>
      <c r="P49" s="44">
        <v>0.98209999999999997</v>
      </c>
      <c r="Q49" s="44">
        <v>0.15179999999999999</v>
      </c>
      <c r="R49" s="44">
        <v>1</v>
      </c>
      <c r="S49" s="44">
        <v>8.9300000000000004E-2</v>
      </c>
      <c r="T49" s="44">
        <v>1</v>
      </c>
      <c r="U49" s="44">
        <v>1</v>
      </c>
      <c r="V49" s="44">
        <v>1</v>
      </c>
      <c r="W49" s="44">
        <v>1</v>
      </c>
      <c r="X49" s="44">
        <v>1</v>
      </c>
      <c r="Y49" s="44">
        <v>0.57140000000000002</v>
      </c>
      <c r="Z49" s="44">
        <v>0.1071</v>
      </c>
      <c r="AA49" s="44">
        <v>0.1071</v>
      </c>
      <c r="AB49" s="44">
        <v>0</v>
      </c>
      <c r="AC49" s="44">
        <v>0</v>
      </c>
      <c r="AD49" s="44">
        <v>0</v>
      </c>
      <c r="AE49">
        <v>55</v>
      </c>
      <c r="AF49">
        <v>21</v>
      </c>
      <c r="AG49" s="44">
        <v>0.38179999999999997</v>
      </c>
      <c r="AH49" s="44">
        <v>0.83960000000000001</v>
      </c>
    </row>
    <row r="50" spans="1:34" x14ac:dyDescent="0.25">
      <c r="A50">
        <v>53</v>
      </c>
      <c r="B50">
        <v>16904</v>
      </c>
      <c r="C50" t="s">
        <v>152</v>
      </c>
      <c r="D50" t="s">
        <v>334</v>
      </c>
      <c r="E50" t="s">
        <v>208</v>
      </c>
      <c r="F50" t="s">
        <v>243</v>
      </c>
      <c r="G50">
        <v>13</v>
      </c>
      <c r="H50">
        <v>13</v>
      </c>
      <c r="I50" s="44">
        <v>1</v>
      </c>
      <c r="J50">
        <v>83</v>
      </c>
      <c r="K50">
        <v>69</v>
      </c>
      <c r="L50">
        <v>4</v>
      </c>
      <c r="M50" s="44">
        <v>0.83130000000000004</v>
      </c>
      <c r="N50" s="44">
        <f t="shared" si="0"/>
        <v>0.85429999999999995</v>
      </c>
      <c r="O50" s="44">
        <v>1</v>
      </c>
      <c r="P50" s="44">
        <v>0.97260000000000002</v>
      </c>
      <c r="Q50" s="44">
        <v>0.36990000000000001</v>
      </c>
      <c r="R50" s="44">
        <v>1</v>
      </c>
      <c r="S50" s="44">
        <v>0.24660000000000001</v>
      </c>
      <c r="T50" s="44">
        <v>1</v>
      </c>
      <c r="U50" s="44">
        <v>1</v>
      </c>
      <c r="V50" s="44">
        <v>1</v>
      </c>
      <c r="W50" s="44">
        <v>1</v>
      </c>
      <c r="X50" s="44">
        <v>1</v>
      </c>
      <c r="Y50" s="44">
        <v>0.80820000000000003</v>
      </c>
      <c r="Z50" s="44">
        <v>0.80820000000000003</v>
      </c>
      <c r="AA50" s="44">
        <v>0.79449999999999998</v>
      </c>
      <c r="AB50" s="44">
        <v>0</v>
      </c>
      <c r="AC50" s="44">
        <v>0</v>
      </c>
      <c r="AD50" s="44">
        <v>0</v>
      </c>
      <c r="AE50">
        <v>34</v>
      </c>
      <c r="AF50">
        <v>31</v>
      </c>
      <c r="AG50" s="44">
        <v>0.91180000000000005</v>
      </c>
      <c r="AH50" s="44">
        <v>0.83960000000000001</v>
      </c>
    </row>
    <row r="51" spans="1:34" x14ac:dyDescent="0.25">
      <c r="A51">
        <v>54</v>
      </c>
      <c r="B51">
        <v>17078</v>
      </c>
      <c r="C51" t="s">
        <v>15</v>
      </c>
      <c r="D51" t="s">
        <v>334</v>
      </c>
      <c r="E51" t="s">
        <v>308</v>
      </c>
      <c r="F51" t="s">
        <v>241</v>
      </c>
      <c r="G51">
        <v>1</v>
      </c>
      <c r="H51">
        <v>1</v>
      </c>
      <c r="I51" s="44">
        <v>1</v>
      </c>
      <c r="J51">
        <v>25</v>
      </c>
      <c r="K51">
        <v>25</v>
      </c>
      <c r="L51">
        <v>2</v>
      </c>
      <c r="M51" s="44">
        <v>1</v>
      </c>
      <c r="N51" s="44">
        <f t="shared" si="0"/>
        <v>0.75084545454545448</v>
      </c>
      <c r="O51" s="44">
        <v>1</v>
      </c>
      <c r="P51" s="44">
        <v>0.96299999999999997</v>
      </c>
      <c r="Q51" s="44">
        <v>0</v>
      </c>
      <c r="R51" s="44">
        <v>1</v>
      </c>
      <c r="S51" s="44">
        <v>3.6999999999999998E-2</v>
      </c>
      <c r="T51" s="44">
        <v>1</v>
      </c>
      <c r="U51" s="44">
        <v>1</v>
      </c>
      <c r="V51" s="44">
        <v>1</v>
      </c>
      <c r="W51" s="44">
        <v>1</v>
      </c>
      <c r="X51" s="44">
        <v>1</v>
      </c>
      <c r="Y51" s="44">
        <v>0.25929999999999997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>
        <v>5</v>
      </c>
      <c r="AF51">
        <v>3</v>
      </c>
      <c r="AG51" s="44">
        <v>0.6</v>
      </c>
      <c r="AH51" s="44">
        <v>0.8387</v>
      </c>
    </row>
    <row r="52" spans="1:34" x14ac:dyDescent="0.25">
      <c r="A52">
        <v>57</v>
      </c>
      <c r="B52">
        <v>16829</v>
      </c>
      <c r="C52" t="s">
        <v>176</v>
      </c>
      <c r="D52" t="s">
        <v>334</v>
      </c>
      <c r="E52" t="s">
        <v>301</v>
      </c>
      <c r="F52" t="s">
        <v>243</v>
      </c>
      <c r="G52">
        <v>20</v>
      </c>
      <c r="H52">
        <v>19</v>
      </c>
      <c r="I52" s="44">
        <v>0.95</v>
      </c>
      <c r="J52">
        <v>144</v>
      </c>
      <c r="K52">
        <v>131</v>
      </c>
      <c r="L52">
        <v>11</v>
      </c>
      <c r="M52" s="44">
        <v>0.90969999999999995</v>
      </c>
      <c r="N52" s="44">
        <f t="shared" si="0"/>
        <v>0.80733636363636374</v>
      </c>
      <c r="O52" s="44">
        <v>0.99299999999999999</v>
      </c>
      <c r="P52" s="44">
        <v>0.97889999999999999</v>
      </c>
      <c r="Q52" s="44">
        <v>0.1268</v>
      </c>
      <c r="R52" s="44">
        <v>0.99299999999999999</v>
      </c>
      <c r="S52" s="44">
        <v>9.8599999999999993E-2</v>
      </c>
      <c r="T52" s="44">
        <v>0.99299999999999999</v>
      </c>
      <c r="U52" s="44">
        <v>0.99299999999999999</v>
      </c>
      <c r="V52" s="44">
        <v>0.99299999999999999</v>
      </c>
      <c r="W52" s="44">
        <v>0.99299999999999999</v>
      </c>
      <c r="X52" s="44">
        <v>0.99299999999999999</v>
      </c>
      <c r="Y52" s="44">
        <v>0.72540000000000004</v>
      </c>
      <c r="Z52" s="44">
        <v>0.52110000000000001</v>
      </c>
      <c r="AA52" s="44">
        <v>0.50700000000000001</v>
      </c>
      <c r="AB52" s="44">
        <v>0.18310000000000001</v>
      </c>
      <c r="AC52" s="44">
        <v>0.17610000000000001</v>
      </c>
      <c r="AD52" s="44">
        <v>0.18310000000000001</v>
      </c>
      <c r="AE52">
        <v>44</v>
      </c>
      <c r="AF52">
        <v>12</v>
      </c>
      <c r="AG52" s="44">
        <v>0.2727</v>
      </c>
      <c r="AH52" s="44">
        <v>0.83760000000000001</v>
      </c>
    </row>
    <row r="53" spans="1:34" x14ac:dyDescent="0.25">
      <c r="A53">
        <v>58</v>
      </c>
      <c r="B53">
        <v>16846</v>
      </c>
      <c r="C53" t="s">
        <v>81</v>
      </c>
      <c r="D53" t="s">
        <v>334</v>
      </c>
      <c r="E53" t="s">
        <v>203</v>
      </c>
      <c r="F53" t="s">
        <v>243</v>
      </c>
      <c r="G53">
        <v>20</v>
      </c>
      <c r="H53">
        <v>20</v>
      </c>
      <c r="I53" s="44">
        <v>1</v>
      </c>
      <c r="J53">
        <v>101</v>
      </c>
      <c r="K53">
        <v>91</v>
      </c>
      <c r="L53">
        <v>3</v>
      </c>
      <c r="M53" s="44">
        <v>0.90100000000000002</v>
      </c>
      <c r="N53" s="44">
        <f t="shared" si="0"/>
        <v>0.79692727272727271</v>
      </c>
      <c r="O53" s="44">
        <v>0.98939999999999995</v>
      </c>
      <c r="P53" s="44">
        <v>0.95740000000000003</v>
      </c>
      <c r="Q53" s="44">
        <v>0.26600000000000001</v>
      </c>
      <c r="R53" s="44">
        <v>0.98939999999999995</v>
      </c>
      <c r="S53" s="44">
        <v>9.5699999999999993E-2</v>
      </c>
      <c r="T53" s="44">
        <v>0.98939999999999995</v>
      </c>
      <c r="U53" s="44">
        <v>0.98939999999999995</v>
      </c>
      <c r="V53" s="44">
        <v>0.98939999999999995</v>
      </c>
      <c r="W53" s="44">
        <v>0.98939999999999995</v>
      </c>
      <c r="X53" s="44">
        <v>0.98939999999999995</v>
      </c>
      <c r="Y53" s="44">
        <v>0.52129999999999999</v>
      </c>
      <c r="Z53" s="44">
        <v>0.52129999999999999</v>
      </c>
      <c r="AA53" s="44">
        <v>0.5</v>
      </c>
      <c r="AB53" s="44">
        <v>0</v>
      </c>
      <c r="AC53" s="44">
        <v>0</v>
      </c>
      <c r="AD53" s="44">
        <v>0</v>
      </c>
      <c r="AE53">
        <v>17</v>
      </c>
      <c r="AF53">
        <v>9</v>
      </c>
      <c r="AG53" s="44">
        <v>0.52939999999999998</v>
      </c>
      <c r="AH53" s="44">
        <v>0.83760000000000001</v>
      </c>
    </row>
    <row r="54" spans="1:34" x14ac:dyDescent="0.25">
      <c r="A54">
        <v>59</v>
      </c>
      <c r="B54">
        <v>17140</v>
      </c>
      <c r="C54" t="s">
        <v>27</v>
      </c>
      <c r="D54" t="s">
        <v>334</v>
      </c>
      <c r="E54" t="s">
        <v>306</v>
      </c>
      <c r="F54" t="s">
        <v>241</v>
      </c>
      <c r="G54">
        <v>14</v>
      </c>
      <c r="H54">
        <v>14</v>
      </c>
      <c r="I54" s="44">
        <v>1</v>
      </c>
      <c r="J54">
        <v>91</v>
      </c>
      <c r="K54">
        <v>77</v>
      </c>
      <c r="L54">
        <v>6</v>
      </c>
      <c r="M54" s="44">
        <v>0.84619999999999995</v>
      </c>
      <c r="N54" s="44">
        <f t="shared" si="0"/>
        <v>0.8050272727272727</v>
      </c>
      <c r="O54" s="44">
        <v>1</v>
      </c>
      <c r="P54" s="44">
        <v>0.95179999999999998</v>
      </c>
      <c r="Q54" s="44">
        <v>0.1084</v>
      </c>
      <c r="R54" s="44">
        <v>1</v>
      </c>
      <c r="S54" s="44">
        <v>6.0199999999999997E-2</v>
      </c>
      <c r="T54" s="44">
        <v>1</v>
      </c>
      <c r="U54" s="44">
        <v>1</v>
      </c>
      <c r="V54" s="44">
        <v>1</v>
      </c>
      <c r="W54" s="44">
        <v>1</v>
      </c>
      <c r="X54" s="44">
        <v>1</v>
      </c>
      <c r="Y54" s="44">
        <v>0.7349</v>
      </c>
      <c r="Z54" s="44">
        <v>0.69879999999999998</v>
      </c>
      <c r="AA54" s="44">
        <v>0.7349</v>
      </c>
      <c r="AB54" s="44">
        <v>0.1205</v>
      </c>
      <c r="AC54" s="44">
        <v>0.1205</v>
      </c>
      <c r="AD54" s="44">
        <v>0.13250000000000001</v>
      </c>
      <c r="AE54">
        <v>8</v>
      </c>
      <c r="AF54">
        <v>6</v>
      </c>
      <c r="AG54" s="44">
        <v>0.75</v>
      </c>
      <c r="AH54" s="44">
        <v>0.83750000000000002</v>
      </c>
    </row>
    <row r="55" spans="1:34" x14ac:dyDescent="0.25">
      <c r="A55">
        <v>60</v>
      </c>
      <c r="B55">
        <v>17080</v>
      </c>
      <c r="C55" t="s">
        <v>17</v>
      </c>
      <c r="D55" t="s">
        <v>334</v>
      </c>
      <c r="E55" t="s">
        <v>308</v>
      </c>
      <c r="F55" t="s">
        <v>241</v>
      </c>
      <c r="G55">
        <v>13</v>
      </c>
      <c r="H55">
        <v>13</v>
      </c>
      <c r="I55" s="44">
        <v>1</v>
      </c>
      <c r="J55">
        <v>92</v>
      </c>
      <c r="K55">
        <v>84</v>
      </c>
      <c r="L55">
        <v>7</v>
      </c>
      <c r="M55" s="44">
        <v>0.91300000000000003</v>
      </c>
      <c r="N55" s="44">
        <f t="shared" si="0"/>
        <v>0.78221818181818181</v>
      </c>
      <c r="O55" s="44">
        <v>0.98899999999999999</v>
      </c>
      <c r="P55" s="44">
        <v>0.94510000000000005</v>
      </c>
      <c r="Q55" s="44">
        <v>4.3999999999999997E-2</v>
      </c>
      <c r="R55" s="44">
        <v>0.98899999999999999</v>
      </c>
      <c r="S55" s="44">
        <v>0.1978</v>
      </c>
      <c r="T55" s="44">
        <v>0.98899999999999999</v>
      </c>
      <c r="U55" s="44">
        <v>0.98899999999999999</v>
      </c>
      <c r="V55" s="44">
        <v>0.98899999999999999</v>
      </c>
      <c r="W55" s="44">
        <v>0.98899999999999999</v>
      </c>
      <c r="X55" s="44">
        <v>0.98899999999999999</v>
      </c>
      <c r="Y55" s="44">
        <v>0.4945</v>
      </c>
      <c r="Z55" s="44">
        <v>0.48349999999999999</v>
      </c>
      <c r="AA55" s="44">
        <v>0.46150000000000002</v>
      </c>
      <c r="AB55" s="44">
        <v>0</v>
      </c>
      <c r="AC55" s="44">
        <v>1.0999999999999999E-2</v>
      </c>
      <c r="AD55" s="44">
        <v>0</v>
      </c>
      <c r="AE55">
        <v>15</v>
      </c>
      <c r="AF55">
        <v>10</v>
      </c>
      <c r="AG55" s="44">
        <v>0.66669999999999996</v>
      </c>
      <c r="AH55" s="44">
        <v>0.83679999999999999</v>
      </c>
    </row>
    <row r="56" spans="1:34" x14ac:dyDescent="0.25">
      <c r="A56">
        <v>61</v>
      </c>
      <c r="B56">
        <v>17122</v>
      </c>
      <c r="C56" t="s">
        <v>124</v>
      </c>
      <c r="D56" t="s">
        <v>334</v>
      </c>
      <c r="E56" t="s">
        <v>207</v>
      </c>
      <c r="F56" t="s">
        <v>241</v>
      </c>
      <c r="G56">
        <v>3</v>
      </c>
      <c r="H56">
        <v>3</v>
      </c>
      <c r="I56" s="44">
        <v>1</v>
      </c>
      <c r="J56">
        <v>60</v>
      </c>
      <c r="K56">
        <v>58</v>
      </c>
      <c r="L56">
        <v>4</v>
      </c>
      <c r="M56" s="44">
        <v>0.9667</v>
      </c>
      <c r="N56" s="44">
        <f t="shared" si="0"/>
        <v>0.77711818181818171</v>
      </c>
      <c r="O56" s="44">
        <v>1</v>
      </c>
      <c r="P56" s="44">
        <v>0.9677</v>
      </c>
      <c r="Q56" s="44">
        <v>0.129</v>
      </c>
      <c r="R56" s="44">
        <v>1</v>
      </c>
      <c r="S56" s="44">
        <v>0.129</v>
      </c>
      <c r="T56" s="44">
        <v>1</v>
      </c>
      <c r="U56" s="44">
        <v>1</v>
      </c>
      <c r="V56" s="44">
        <v>1</v>
      </c>
      <c r="W56" s="44">
        <v>1</v>
      </c>
      <c r="X56" s="44">
        <v>1</v>
      </c>
      <c r="Y56" s="44">
        <v>0.3226</v>
      </c>
      <c r="Z56" s="44">
        <v>6.4500000000000002E-2</v>
      </c>
      <c r="AA56" s="44">
        <v>6.4500000000000002E-2</v>
      </c>
      <c r="AB56" s="44">
        <v>0</v>
      </c>
      <c r="AC56" s="44">
        <v>0</v>
      </c>
      <c r="AD56" s="44">
        <v>0</v>
      </c>
      <c r="AE56">
        <v>15</v>
      </c>
      <c r="AF56">
        <v>10</v>
      </c>
      <c r="AG56" s="44">
        <v>0.66669999999999996</v>
      </c>
      <c r="AH56" s="44">
        <v>0.83630000000000004</v>
      </c>
    </row>
    <row r="57" spans="1:34" x14ac:dyDescent="0.25">
      <c r="A57">
        <v>62</v>
      </c>
      <c r="B57">
        <v>16901</v>
      </c>
      <c r="C57" t="s">
        <v>149</v>
      </c>
      <c r="D57" t="s">
        <v>334</v>
      </c>
      <c r="E57" t="s">
        <v>208</v>
      </c>
      <c r="F57" t="s">
        <v>243</v>
      </c>
      <c r="G57">
        <v>14</v>
      </c>
      <c r="H57">
        <v>14</v>
      </c>
      <c r="I57" s="44">
        <v>1</v>
      </c>
      <c r="J57">
        <v>94</v>
      </c>
      <c r="K57">
        <v>91</v>
      </c>
      <c r="L57">
        <v>4</v>
      </c>
      <c r="M57" s="44">
        <v>0.96809999999999996</v>
      </c>
      <c r="N57" s="44">
        <f t="shared" si="0"/>
        <v>0.77224545454545457</v>
      </c>
      <c r="O57" s="44">
        <v>1</v>
      </c>
      <c r="P57" s="44">
        <v>0.96840000000000004</v>
      </c>
      <c r="Q57" s="44">
        <v>0.16839999999999999</v>
      </c>
      <c r="R57" s="44">
        <v>1</v>
      </c>
      <c r="S57" s="44">
        <v>8.4199999999999997E-2</v>
      </c>
      <c r="T57" s="44">
        <v>1</v>
      </c>
      <c r="U57" s="44">
        <v>1</v>
      </c>
      <c r="V57" s="44">
        <v>1</v>
      </c>
      <c r="W57" s="44">
        <v>1</v>
      </c>
      <c r="X57" s="44">
        <v>1</v>
      </c>
      <c r="Y57" s="44">
        <v>0.2737</v>
      </c>
      <c r="Z57" s="44">
        <v>2.1100000000000001E-2</v>
      </c>
      <c r="AA57" s="44">
        <v>2.1100000000000001E-2</v>
      </c>
      <c r="AB57" s="44">
        <v>1.0500000000000001E-2</v>
      </c>
      <c r="AC57" s="44">
        <v>2.1100000000000001E-2</v>
      </c>
      <c r="AD57" s="44">
        <v>1.0500000000000001E-2</v>
      </c>
      <c r="AE57">
        <v>11</v>
      </c>
      <c r="AF57">
        <v>9</v>
      </c>
      <c r="AG57" s="44">
        <v>0.81820000000000004</v>
      </c>
      <c r="AH57" s="44">
        <v>0.83479999999999999</v>
      </c>
    </row>
    <row r="58" spans="1:34" x14ac:dyDescent="0.25">
      <c r="A58">
        <v>63</v>
      </c>
      <c r="B58">
        <v>17089</v>
      </c>
      <c r="C58" t="s">
        <v>26</v>
      </c>
      <c r="D58" t="s">
        <v>334</v>
      </c>
      <c r="E58" t="s">
        <v>308</v>
      </c>
      <c r="F58" t="s">
        <v>241</v>
      </c>
      <c r="G58">
        <v>4</v>
      </c>
      <c r="H58">
        <v>4</v>
      </c>
      <c r="I58" s="44">
        <v>1</v>
      </c>
      <c r="J58">
        <v>39</v>
      </c>
      <c r="K58">
        <v>37</v>
      </c>
      <c r="L58">
        <v>4</v>
      </c>
      <c r="M58" s="44">
        <v>0.94869999999999999</v>
      </c>
      <c r="N58" s="44">
        <f t="shared" si="0"/>
        <v>0.75609090909090915</v>
      </c>
      <c r="O58" s="44">
        <v>0.97560000000000002</v>
      </c>
      <c r="P58" s="44">
        <v>0.95120000000000005</v>
      </c>
      <c r="Q58" s="44">
        <v>0.17069999999999999</v>
      </c>
      <c r="R58" s="44">
        <v>0.97560000000000002</v>
      </c>
      <c r="S58" s="44">
        <v>0</v>
      </c>
      <c r="T58" s="44">
        <v>0.97560000000000002</v>
      </c>
      <c r="U58" s="44">
        <v>0.97560000000000002</v>
      </c>
      <c r="V58" s="44">
        <v>0.97560000000000002</v>
      </c>
      <c r="W58" s="44">
        <v>0.97560000000000002</v>
      </c>
      <c r="X58" s="44">
        <v>0.97560000000000002</v>
      </c>
      <c r="Y58" s="44">
        <v>0.3659</v>
      </c>
      <c r="Z58" s="44">
        <v>0.26829999999999998</v>
      </c>
      <c r="AA58" s="44">
        <v>0.2195</v>
      </c>
      <c r="AB58" s="44">
        <v>2.4400000000000002E-2</v>
      </c>
      <c r="AC58" s="44">
        <v>2.4400000000000002E-2</v>
      </c>
      <c r="AD58" s="44">
        <v>2.4400000000000002E-2</v>
      </c>
      <c r="AE58">
        <v>0</v>
      </c>
      <c r="AF58">
        <v>0</v>
      </c>
      <c r="AG58" s="44">
        <v>0</v>
      </c>
      <c r="AH58" s="44">
        <v>0.83450000000000002</v>
      </c>
    </row>
    <row r="59" spans="1:34" x14ac:dyDescent="0.25">
      <c r="A59">
        <v>64</v>
      </c>
      <c r="B59">
        <v>17170</v>
      </c>
      <c r="C59" t="s">
        <v>98</v>
      </c>
      <c r="D59" t="s">
        <v>334</v>
      </c>
      <c r="E59" t="s">
        <v>307</v>
      </c>
      <c r="F59" t="s">
        <v>242</v>
      </c>
      <c r="G59">
        <v>13</v>
      </c>
      <c r="H59">
        <v>13</v>
      </c>
      <c r="I59" s="44">
        <v>1</v>
      </c>
      <c r="J59">
        <v>139</v>
      </c>
      <c r="K59">
        <v>135</v>
      </c>
      <c r="L59">
        <v>19</v>
      </c>
      <c r="M59" s="44">
        <v>0.97119999999999995</v>
      </c>
      <c r="N59" s="44">
        <f t="shared" si="0"/>
        <v>0.76918181818181819</v>
      </c>
      <c r="O59" s="44">
        <v>1</v>
      </c>
      <c r="P59" s="44">
        <v>0.98050000000000004</v>
      </c>
      <c r="Q59" s="44">
        <v>0.18179999999999999</v>
      </c>
      <c r="R59" s="44">
        <v>1</v>
      </c>
      <c r="S59" s="44">
        <v>5.8400000000000001E-2</v>
      </c>
      <c r="T59" s="44">
        <v>1</v>
      </c>
      <c r="U59" s="44">
        <v>1</v>
      </c>
      <c r="V59" s="44">
        <v>1</v>
      </c>
      <c r="W59" s="44">
        <v>1</v>
      </c>
      <c r="X59" s="44">
        <v>1</v>
      </c>
      <c r="Y59" s="44">
        <v>0.24030000000000001</v>
      </c>
      <c r="Z59" s="44">
        <v>6.4999999999999997E-3</v>
      </c>
      <c r="AA59" s="44">
        <v>6.4999999999999997E-3</v>
      </c>
      <c r="AB59" s="44">
        <v>6.4999999999999997E-3</v>
      </c>
      <c r="AC59" s="44">
        <v>6.4999999999999997E-3</v>
      </c>
      <c r="AD59" s="44">
        <v>6.4999999999999997E-3</v>
      </c>
      <c r="AE59">
        <v>30</v>
      </c>
      <c r="AF59">
        <v>18</v>
      </c>
      <c r="AG59" s="44">
        <v>0.6</v>
      </c>
      <c r="AH59" s="44">
        <v>0.83399999999999996</v>
      </c>
    </row>
    <row r="60" spans="1:34" x14ac:dyDescent="0.25">
      <c r="A60">
        <v>65</v>
      </c>
      <c r="B60">
        <v>17130</v>
      </c>
      <c r="C60" t="s">
        <v>132</v>
      </c>
      <c r="D60" t="s">
        <v>334</v>
      </c>
      <c r="E60" t="s">
        <v>207</v>
      </c>
      <c r="F60" t="s">
        <v>241</v>
      </c>
      <c r="G60">
        <v>19</v>
      </c>
      <c r="H60">
        <v>19</v>
      </c>
      <c r="I60" s="44">
        <v>1</v>
      </c>
      <c r="J60">
        <v>129</v>
      </c>
      <c r="K60">
        <v>123</v>
      </c>
      <c r="L60">
        <v>3</v>
      </c>
      <c r="M60" s="44">
        <v>0.95350000000000001</v>
      </c>
      <c r="N60" s="44">
        <f t="shared" si="0"/>
        <v>0.77994545454545472</v>
      </c>
      <c r="O60" s="44">
        <v>1</v>
      </c>
      <c r="P60" s="44">
        <v>0.96830000000000005</v>
      </c>
      <c r="Q60" s="44">
        <v>0.16669999999999999</v>
      </c>
      <c r="R60" s="44">
        <v>1</v>
      </c>
      <c r="S60" s="44">
        <v>0.11899999999999999</v>
      </c>
      <c r="T60" s="44">
        <v>1</v>
      </c>
      <c r="U60" s="44">
        <v>1</v>
      </c>
      <c r="V60" s="44">
        <v>1</v>
      </c>
      <c r="W60" s="44">
        <v>1</v>
      </c>
      <c r="X60" s="44">
        <v>1</v>
      </c>
      <c r="Y60" s="44">
        <v>0.32540000000000002</v>
      </c>
      <c r="Z60" s="44">
        <v>9.5200000000000007E-2</v>
      </c>
      <c r="AA60" s="44">
        <v>9.5200000000000007E-2</v>
      </c>
      <c r="AB60" s="44">
        <v>0</v>
      </c>
      <c r="AC60" s="44">
        <v>0</v>
      </c>
      <c r="AD60" s="44">
        <v>0</v>
      </c>
      <c r="AE60">
        <v>41</v>
      </c>
      <c r="AF60">
        <v>23</v>
      </c>
      <c r="AG60" s="44">
        <v>0.56100000000000005</v>
      </c>
      <c r="AH60" s="44">
        <v>0.83389999999999997</v>
      </c>
    </row>
    <row r="61" spans="1:34" x14ac:dyDescent="0.25">
      <c r="A61">
        <v>66</v>
      </c>
      <c r="B61">
        <v>17143</v>
      </c>
      <c r="C61" t="s">
        <v>30</v>
      </c>
      <c r="D61" t="s">
        <v>334</v>
      </c>
      <c r="E61" t="s">
        <v>306</v>
      </c>
      <c r="F61" t="s">
        <v>241</v>
      </c>
      <c r="G61">
        <v>15</v>
      </c>
      <c r="H61">
        <v>15</v>
      </c>
      <c r="I61" s="44">
        <v>1</v>
      </c>
      <c r="J61">
        <v>71</v>
      </c>
      <c r="K61">
        <v>65</v>
      </c>
      <c r="L61">
        <v>18</v>
      </c>
      <c r="M61" s="44">
        <v>0.91549999999999998</v>
      </c>
      <c r="N61" s="44">
        <f t="shared" si="0"/>
        <v>0.84884545454545457</v>
      </c>
      <c r="O61" s="44">
        <v>1</v>
      </c>
      <c r="P61" s="44">
        <v>0.97589999999999999</v>
      </c>
      <c r="Q61" s="44">
        <v>0.65059999999999996</v>
      </c>
      <c r="R61" s="44">
        <v>1</v>
      </c>
      <c r="S61" s="44">
        <v>0.13250000000000001</v>
      </c>
      <c r="T61" s="44">
        <v>1</v>
      </c>
      <c r="U61" s="44">
        <v>1</v>
      </c>
      <c r="V61" s="44">
        <v>1</v>
      </c>
      <c r="W61" s="44">
        <v>1</v>
      </c>
      <c r="X61" s="44">
        <v>1</v>
      </c>
      <c r="Y61" s="44">
        <v>0.57830000000000004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>
        <v>9</v>
      </c>
      <c r="AF61">
        <v>8</v>
      </c>
      <c r="AG61" s="44">
        <v>0.88890000000000002</v>
      </c>
      <c r="AH61" s="44">
        <v>0.83299999999999996</v>
      </c>
    </row>
    <row r="62" spans="1:34" x14ac:dyDescent="0.25">
      <c r="A62">
        <v>67</v>
      </c>
      <c r="B62">
        <v>17124</v>
      </c>
      <c r="C62" t="s">
        <v>126</v>
      </c>
      <c r="D62" t="s">
        <v>334</v>
      </c>
      <c r="E62" t="s">
        <v>207</v>
      </c>
      <c r="F62" t="s">
        <v>241</v>
      </c>
      <c r="G62">
        <v>6</v>
      </c>
      <c r="H62">
        <v>6</v>
      </c>
      <c r="I62" s="44">
        <v>1</v>
      </c>
      <c r="J62">
        <v>80</v>
      </c>
      <c r="K62">
        <v>73</v>
      </c>
      <c r="L62">
        <v>4</v>
      </c>
      <c r="M62" s="44">
        <v>0.91249999999999998</v>
      </c>
      <c r="N62" s="44">
        <f t="shared" si="0"/>
        <v>0.7461363636363636</v>
      </c>
      <c r="O62" s="44">
        <v>0.87009999999999998</v>
      </c>
      <c r="P62" s="44">
        <v>0.85709999999999997</v>
      </c>
      <c r="Q62" s="44">
        <v>0.74029999999999996</v>
      </c>
      <c r="R62" s="44">
        <v>0.87009999999999998</v>
      </c>
      <c r="S62" s="44">
        <v>5.1900000000000002E-2</v>
      </c>
      <c r="T62" s="44">
        <v>0.87009999999999998</v>
      </c>
      <c r="U62" s="44">
        <v>0.87009999999999998</v>
      </c>
      <c r="V62" s="44">
        <v>0.87009999999999998</v>
      </c>
      <c r="W62" s="44">
        <v>0.87009999999999998</v>
      </c>
      <c r="X62" s="44">
        <v>0.87009999999999998</v>
      </c>
      <c r="Y62" s="44">
        <v>0.46750000000000003</v>
      </c>
      <c r="Z62" s="44">
        <v>0.20780000000000001</v>
      </c>
      <c r="AA62" s="44">
        <v>0.1948</v>
      </c>
      <c r="AB62" s="44">
        <v>0.24679999999999999</v>
      </c>
      <c r="AC62" s="44">
        <v>0.24679999999999999</v>
      </c>
      <c r="AD62" s="44">
        <v>0.24679999999999999</v>
      </c>
      <c r="AE62">
        <v>9</v>
      </c>
      <c r="AF62">
        <v>4</v>
      </c>
      <c r="AG62" s="44">
        <v>0.44440000000000002</v>
      </c>
      <c r="AH62" s="44">
        <v>0.83230000000000004</v>
      </c>
    </row>
    <row r="63" spans="1:34" x14ac:dyDescent="0.25">
      <c r="A63">
        <v>68</v>
      </c>
      <c r="B63">
        <v>16843</v>
      </c>
      <c r="C63" t="s">
        <v>70</v>
      </c>
      <c r="D63" t="s">
        <v>334</v>
      </c>
      <c r="E63" t="s">
        <v>202</v>
      </c>
      <c r="F63" t="s">
        <v>243</v>
      </c>
      <c r="G63">
        <v>8</v>
      </c>
      <c r="H63">
        <v>8</v>
      </c>
      <c r="I63" s="44">
        <v>1</v>
      </c>
      <c r="J63">
        <v>89</v>
      </c>
      <c r="K63">
        <v>78</v>
      </c>
      <c r="L63">
        <v>4</v>
      </c>
      <c r="M63" s="44">
        <v>0.87639999999999996</v>
      </c>
      <c r="N63" s="44">
        <f t="shared" si="0"/>
        <v>0.75610909090909084</v>
      </c>
      <c r="O63" s="44">
        <v>1</v>
      </c>
      <c r="P63" s="44">
        <v>0.97560000000000002</v>
      </c>
      <c r="Q63" s="44">
        <v>6.0999999999999999E-2</v>
      </c>
      <c r="R63" s="44">
        <v>1</v>
      </c>
      <c r="S63" s="44">
        <v>0.39019999999999999</v>
      </c>
      <c r="T63" s="44">
        <v>0.84150000000000003</v>
      </c>
      <c r="U63" s="44">
        <v>1</v>
      </c>
      <c r="V63" s="44">
        <v>0.84150000000000003</v>
      </c>
      <c r="W63" s="44">
        <v>0.84150000000000003</v>
      </c>
      <c r="X63" s="44">
        <v>0.84150000000000003</v>
      </c>
      <c r="Y63" s="44">
        <v>0.52439999999999998</v>
      </c>
      <c r="Z63" s="44">
        <v>0.40239999999999998</v>
      </c>
      <c r="AA63" s="44">
        <v>0.40239999999999998</v>
      </c>
      <c r="AB63" s="44">
        <v>0.24390000000000001</v>
      </c>
      <c r="AC63" s="44">
        <v>0.24390000000000001</v>
      </c>
      <c r="AD63" s="44">
        <v>0.24390000000000001</v>
      </c>
      <c r="AE63">
        <v>26</v>
      </c>
      <c r="AF63">
        <v>5</v>
      </c>
      <c r="AG63" s="44">
        <v>0.1923</v>
      </c>
      <c r="AH63" s="44">
        <v>0.83079999999999998</v>
      </c>
    </row>
    <row r="64" spans="1:34" x14ac:dyDescent="0.25">
      <c r="A64">
        <v>69</v>
      </c>
      <c r="B64">
        <v>16692</v>
      </c>
      <c r="C64" t="s">
        <v>76</v>
      </c>
      <c r="D64" t="s">
        <v>334</v>
      </c>
      <c r="E64" t="s">
        <v>203</v>
      </c>
      <c r="F64" t="s">
        <v>243</v>
      </c>
      <c r="G64">
        <v>30</v>
      </c>
      <c r="H64">
        <v>30</v>
      </c>
      <c r="I64" s="44">
        <v>1</v>
      </c>
      <c r="J64">
        <v>126</v>
      </c>
      <c r="K64">
        <v>117</v>
      </c>
      <c r="L64">
        <v>4</v>
      </c>
      <c r="M64" s="44">
        <v>0.92859999999999998</v>
      </c>
      <c r="N64" s="44">
        <f t="shared" si="0"/>
        <v>0.80165454545454551</v>
      </c>
      <c r="O64" s="44">
        <v>1</v>
      </c>
      <c r="P64" s="44">
        <v>0.97519999999999996</v>
      </c>
      <c r="Q64" s="44">
        <v>9.0899999999999995E-2</v>
      </c>
      <c r="R64" s="44">
        <v>1</v>
      </c>
      <c r="S64" s="44">
        <v>0.42980000000000002</v>
      </c>
      <c r="T64" s="44">
        <v>1</v>
      </c>
      <c r="U64" s="44">
        <v>1</v>
      </c>
      <c r="V64" s="44">
        <v>1</v>
      </c>
      <c r="W64" s="44">
        <v>0.99170000000000003</v>
      </c>
      <c r="X64" s="44">
        <v>1</v>
      </c>
      <c r="Y64" s="44">
        <v>0.3306</v>
      </c>
      <c r="Z64" s="44">
        <v>6.6100000000000006E-2</v>
      </c>
      <c r="AA64" s="44">
        <v>6.6100000000000006E-2</v>
      </c>
      <c r="AB64" s="44">
        <v>0</v>
      </c>
      <c r="AC64" s="44">
        <v>0</v>
      </c>
      <c r="AD64" s="44">
        <v>0</v>
      </c>
      <c r="AE64">
        <v>33</v>
      </c>
      <c r="AF64">
        <v>25</v>
      </c>
      <c r="AG64" s="44">
        <v>0.75760000000000005</v>
      </c>
      <c r="AH64" s="44">
        <v>0.82930000000000004</v>
      </c>
    </row>
    <row r="65" spans="1:34" x14ac:dyDescent="0.25">
      <c r="A65">
        <v>70</v>
      </c>
      <c r="B65">
        <v>16895</v>
      </c>
      <c r="C65" t="s">
        <v>143</v>
      </c>
      <c r="D65" t="s">
        <v>334</v>
      </c>
      <c r="E65" t="s">
        <v>208</v>
      </c>
      <c r="F65" t="s">
        <v>243</v>
      </c>
      <c r="G65">
        <v>3</v>
      </c>
      <c r="H65">
        <v>3</v>
      </c>
      <c r="I65" s="44">
        <v>1</v>
      </c>
      <c r="J65">
        <v>27</v>
      </c>
      <c r="K65">
        <v>26</v>
      </c>
      <c r="L65">
        <v>2</v>
      </c>
      <c r="M65" s="44">
        <v>0.96299999999999997</v>
      </c>
      <c r="N65" s="44">
        <f t="shared" si="0"/>
        <v>0.75973636363636354</v>
      </c>
      <c r="O65" s="44">
        <v>1</v>
      </c>
      <c r="P65" s="44">
        <v>0.96430000000000005</v>
      </c>
      <c r="Q65" s="44">
        <v>0.1071</v>
      </c>
      <c r="R65" s="44">
        <v>1</v>
      </c>
      <c r="S65" s="44">
        <v>3.5700000000000003E-2</v>
      </c>
      <c r="T65" s="44">
        <v>1</v>
      </c>
      <c r="U65" s="44">
        <v>1</v>
      </c>
      <c r="V65" s="44">
        <v>1</v>
      </c>
      <c r="W65" s="44">
        <v>1</v>
      </c>
      <c r="X65" s="44">
        <v>1</v>
      </c>
      <c r="Y65" s="44">
        <v>0.25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>
        <v>1</v>
      </c>
      <c r="AF65">
        <v>1</v>
      </c>
      <c r="AG65" s="44">
        <v>1</v>
      </c>
      <c r="AH65" s="44">
        <v>0.82840000000000003</v>
      </c>
    </row>
    <row r="66" spans="1:34" x14ac:dyDescent="0.25">
      <c r="A66">
        <v>71</v>
      </c>
      <c r="B66">
        <v>17085</v>
      </c>
      <c r="C66" t="s">
        <v>22</v>
      </c>
      <c r="D66" t="s">
        <v>334</v>
      </c>
      <c r="E66" t="s">
        <v>308</v>
      </c>
      <c r="F66" t="s">
        <v>241</v>
      </c>
      <c r="G66">
        <v>1</v>
      </c>
      <c r="H66">
        <v>1</v>
      </c>
      <c r="I66" s="44">
        <v>1</v>
      </c>
      <c r="J66">
        <v>25</v>
      </c>
      <c r="K66">
        <v>23</v>
      </c>
      <c r="L66">
        <v>1</v>
      </c>
      <c r="M66" s="44">
        <v>0.92</v>
      </c>
      <c r="N66" s="44">
        <f t="shared" si="0"/>
        <v>0.73865454545454545</v>
      </c>
      <c r="O66" s="44">
        <v>0.91669999999999996</v>
      </c>
      <c r="P66" s="44">
        <v>0.875</v>
      </c>
      <c r="Q66" s="44">
        <v>0</v>
      </c>
      <c r="R66" s="44">
        <v>0.875</v>
      </c>
      <c r="S66" s="44">
        <v>0.375</v>
      </c>
      <c r="T66" s="44">
        <v>0.91669999999999996</v>
      </c>
      <c r="U66" s="44">
        <v>0.91669999999999996</v>
      </c>
      <c r="V66" s="44">
        <v>0.91669999999999996</v>
      </c>
      <c r="W66" s="44">
        <v>0.91669999999999996</v>
      </c>
      <c r="X66" s="44">
        <v>0.91669999999999996</v>
      </c>
      <c r="Y66" s="44">
        <v>0.5</v>
      </c>
      <c r="Z66" s="44">
        <v>0.45829999999999999</v>
      </c>
      <c r="AA66" s="44">
        <v>0.45829999999999999</v>
      </c>
      <c r="AB66" s="44">
        <v>0</v>
      </c>
      <c r="AC66" s="44">
        <v>0</v>
      </c>
      <c r="AD66" s="44">
        <v>0</v>
      </c>
      <c r="AE66">
        <v>0</v>
      </c>
      <c r="AF66">
        <v>0</v>
      </c>
      <c r="AG66" s="44">
        <v>0</v>
      </c>
      <c r="AH66" s="44">
        <v>0.82840000000000003</v>
      </c>
    </row>
    <row r="67" spans="1:34" x14ac:dyDescent="0.25">
      <c r="A67">
        <v>72</v>
      </c>
      <c r="B67">
        <v>16787</v>
      </c>
      <c r="C67" t="s">
        <v>162</v>
      </c>
      <c r="D67" t="s">
        <v>334</v>
      </c>
      <c r="E67" t="s">
        <v>209</v>
      </c>
      <c r="F67" t="s">
        <v>243</v>
      </c>
      <c r="G67">
        <v>12</v>
      </c>
      <c r="H67">
        <v>12</v>
      </c>
      <c r="I67" s="44">
        <v>1</v>
      </c>
      <c r="J67">
        <v>71</v>
      </c>
      <c r="K67">
        <v>57</v>
      </c>
      <c r="L67">
        <v>6</v>
      </c>
      <c r="M67" s="44">
        <v>0.80279999999999996</v>
      </c>
      <c r="N67" s="44">
        <f t="shared" ref="N67:N130" si="1">+AVERAGE(O67,P67,Q67,R67,S67,T67,U67,V67,W67,X67,Y67)</f>
        <v>0.82828181818181823</v>
      </c>
      <c r="O67" s="44">
        <v>1</v>
      </c>
      <c r="P67" s="44">
        <v>0.98409999999999997</v>
      </c>
      <c r="Q67" s="44">
        <v>0</v>
      </c>
      <c r="R67" s="44">
        <v>1</v>
      </c>
      <c r="S67" s="44">
        <v>0.39679999999999999</v>
      </c>
      <c r="T67" s="44">
        <v>1</v>
      </c>
      <c r="U67" s="44">
        <v>1</v>
      </c>
      <c r="V67" s="44">
        <v>1</v>
      </c>
      <c r="W67" s="44">
        <v>1</v>
      </c>
      <c r="X67" s="44">
        <v>1</v>
      </c>
      <c r="Y67" s="44">
        <v>0.73019999999999996</v>
      </c>
      <c r="Z67" s="44">
        <v>0.6825</v>
      </c>
      <c r="AA67" s="44">
        <v>0.71430000000000005</v>
      </c>
      <c r="AB67" s="44">
        <v>0.1429</v>
      </c>
      <c r="AC67" s="44">
        <v>0.127</v>
      </c>
      <c r="AD67" s="44">
        <v>0.127</v>
      </c>
      <c r="AE67">
        <v>14</v>
      </c>
      <c r="AF67">
        <v>11</v>
      </c>
      <c r="AG67" s="44">
        <v>0.78569999999999995</v>
      </c>
      <c r="AH67" s="44">
        <v>0.82809999999999995</v>
      </c>
    </row>
    <row r="68" spans="1:34" x14ac:dyDescent="0.25">
      <c r="A68">
        <v>73</v>
      </c>
      <c r="B68">
        <v>16897</v>
      </c>
      <c r="C68" t="s">
        <v>145</v>
      </c>
      <c r="D68" t="s">
        <v>334</v>
      </c>
      <c r="E68" t="s">
        <v>208</v>
      </c>
      <c r="F68" t="s">
        <v>243</v>
      </c>
      <c r="G68">
        <v>6</v>
      </c>
      <c r="H68">
        <v>6</v>
      </c>
      <c r="I68" s="44">
        <v>1</v>
      </c>
      <c r="J68">
        <v>57</v>
      </c>
      <c r="K68">
        <v>52</v>
      </c>
      <c r="L68">
        <v>5</v>
      </c>
      <c r="M68" s="44">
        <v>0.9123</v>
      </c>
      <c r="N68" s="44">
        <f t="shared" si="1"/>
        <v>0.78149999999999986</v>
      </c>
      <c r="O68" s="44">
        <v>1</v>
      </c>
      <c r="P68" s="44">
        <v>0.98250000000000004</v>
      </c>
      <c r="Q68" s="44">
        <v>0.24560000000000001</v>
      </c>
      <c r="R68" s="44">
        <v>1</v>
      </c>
      <c r="S68" s="44">
        <v>5.2600000000000001E-2</v>
      </c>
      <c r="T68" s="44">
        <v>1</v>
      </c>
      <c r="U68" s="44">
        <v>1</v>
      </c>
      <c r="V68" s="44">
        <v>1</v>
      </c>
      <c r="W68" s="44">
        <v>1</v>
      </c>
      <c r="X68" s="44">
        <v>1</v>
      </c>
      <c r="Y68" s="44">
        <v>0.31580000000000003</v>
      </c>
      <c r="Z68" s="44">
        <v>0</v>
      </c>
      <c r="AA68" s="44">
        <v>0</v>
      </c>
      <c r="AB68" s="44">
        <v>0.1754</v>
      </c>
      <c r="AC68" s="44">
        <v>0.1754</v>
      </c>
      <c r="AD68" s="44">
        <v>0.1754</v>
      </c>
      <c r="AE68">
        <v>10</v>
      </c>
      <c r="AF68">
        <v>9</v>
      </c>
      <c r="AG68" s="44">
        <v>0.9</v>
      </c>
      <c r="AH68" s="44">
        <v>0.82750000000000001</v>
      </c>
    </row>
    <row r="69" spans="1:34" x14ac:dyDescent="0.25">
      <c r="A69">
        <v>74</v>
      </c>
      <c r="B69">
        <v>17136</v>
      </c>
      <c r="C69" t="s">
        <v>138</v>
      </c>
      <c r="D69" t="s">
        <v>334</v>
      </c>
      <c r="E69" t="s">
        <v>207</v>
      </c>
      <c r="F69" t="s">
        <v>241</v>
      </c>
      <c r="G69">
        <v>17</v>
      </c>
      <c r="H69">
        <v>16</v>
      </c>
      <c r="I69" s="44">
        <v>0.94120000000000004</v>
      </c>
      <c r="J69">
        <v>132</v>
      </c>
      <c r="K69">
        <v>119</v>
      </c>
      <c r="L69">
        <v>5</v>
      </c>
      <c r="M69" s="44">
        <v>0.90149999999999997</v>
      </c>
      <c r="N69" s="44">
        <f t="shared" si="1"/>
        <v>0.91861818181818178</v>
      </c>
      <c r="O69" s="44">
        <v>1</v>
      </c>
      <c r="P69" s="44">
        <v>0.9919</v>
      </c>
      <c r="Q69" s="44">
        <v>0.9597</v>
      </c>
      <c r="R69" s="44">
        <v>1</v>
      </c>
      <c r="S69" s="44">
        <v>0.44350000000000001</v>
      </c>
      <c r="T69" s="44">
        <v>1</v>
      </c>
      <c r="U69" s="44">
        <v>1</v>
      </c>
      <c r="V69" s="44">
        <v>1</v>
      </c>
      <c r="W69" s="44">
        <v>1</v>
      </c>
      <c r="X69" s="44">
        <v>1</v>
      </c>
      <c r="Y69" s="44">
        <v>0.7097</v>
      </c>
      <c r="Z69" s="44">
        <v>2.4199999999999999E-2</v>
      </c>
      <c r="AA69" s="44">
        <v>3.2300000000000002E-2</v>
      </c>
      <c r="AB69" s="44">
        <v>0</v>
      </c>
      <c r="AC69" s="44">
        <v>2.4199999999999999E-2</v>
      </c>
      <c r="AD69" s="44">
        <v>0</v>
      </c>
      <c r="AE69">
        <v>32</v>
      </c>
      <c r="AF69">
        <v>27</v>
      </c>
      <c r="AG69" s="44">
        <v>0.84379999999999999</v>
      </c>
      <c r="AH69" s="44">
        <v>0.82640000000000002</v>
      </c>
    </row>
    <row r="70" spans="1:34" x14ac:dyDescent="0.25">
      <c r="A70">
        <v>75</v>
      </c>
      <c r="B70">
        <v>17154</v>
      </c>
      <c r="C70" t="s">
        <v>41</v>
      </c>
      <c r="D70" t="s">
        <v>334</v>
      </c>
      <c r="E70" t="s">
        <v>306</v>
      </c>
      <c r="F70" t="s">
        <v>241</v>
      </c>
      <c r="G70">
        <v>4</v>
      </c>
      <c r="H70">
        <v>4</v>
      </c>
      <c r="I70" s="44">
        <v>1</v>
      </c>
      <c r="J70">
        <v>59</v>
      </c>
      <c r="K70">
        <v>46</v>
      </c>
      <c r="L70">
        <v>1</v>
      </c>
      <c r="M70" s="44">
        <v>0.77969999999999995</v>
      </c>
      <c r="N70" s="44">
        <f t="shared" si="1"/>
        <v>0.85299999999999987</v>
      </c>
      <c r="O70" s="44">
        <v>1</v>
      </c>
      <c r="P70" s="44">
        <v>0.93620000000000003</v>
      </c>
      <c r="Q70" s="44">
        <v>0.65959999999999996</v>
      </c>
      <c r="R70" s="44">
        <v>1</v>
      </c>
      <c r="S70" s="44">
        <v>0.25530000000000003</v>
      </c>
      <c r="T70" s="44">
        <v>1</v>
      </c>
      <c r="U70" s="44">
        <v>1</v>
      </c>
      <c r="V70" s="44">
        <v>1</v>
      </c>
      <c r="W70" s="44">
        <v>1</v>
      </c>
      <c r="X70" s="44">
        <v>1</v>
      </c>
      <c r="Y70" s="44">
        <v>0.53190000000000004</v>
      </c>
      <c r="Z70" s="44">
        <v>0.46810000000000002</v>
      </c>
      <c r="AA70" s="44">
        <v>0.44679999999999997</v>
      </c>
      <c r="AB70" s="44">
        <v>0.27660000000000001</v>
      </c>
      <c r="AC70" s="44">
        <v>0.27660000000000001</v>
      </c>
      <c r="AD70" s="44">
        <v>0.27660000000000001</v>
      </c>
      <c r="AE70">
        <v>4</v>
      </c>
      <c r="AF70">
        <v>3</v>
      </c>
      <c r="AG70" s="44">
        <v>0.75</v>
      </c>
      <c r="AH70" s="44">
        <v>0.82509999999999994</v>
      </c>
    </row>
    <row r="71" spans="1:34" x14ac:dyDescent="0.25">
      <c r="A71">
        <v>76</v>
      </c>
      <c r="B71">
        <v>16785</v>
      </c>
      <c r="C71" t="s">
        <v>160</v>
      </c>
      <c r="D71" t="s">
        <v>334</v>
      </c>
      <c r="E71" t="s">
        <v>209</v>
      </c>
      <c r="F71" t="s">
        <v>243</v>
      </c>
      <c r="G71">
        <v>16</v>
      </c>
      <c r="H71">
        <v>16</v>
      </c>
      <c r="I71" s="44">
        <v>1</v>
      </c>
      <c r="J71">
        <v>102</v>
      </c>
      <c r="K71">
        <v>78</v>
      </c>
      <c r="L71">
        <v>6</v>
      </c>
      <c r="M71" s="44">
        <v>0.76470000000000005</v>
      </c>
      <c r="N71" s="44">
        <f t="shared" si="1"/>
        <v>0.83440909090909088</v>
      </c>
      <c r="O71" s="44">
        <v>1</v>
      </c>
      <c r="P71" s="44">
        <v>0.97619999999999996</v>
      </c>
      <c r="Q71" s="44">
        <v>0.22620000000000001</v>
      </c>
      <c r="R71" s="44">
        <v>1</v>
      </c>
      <c r="S71" s="44">
        <v>0.11899999999999999</v>
      </c>
      <c r="T71" s="44">
        <v>1</v>
      </c>
      <c r="U71" s="44">
        <v>1</v>
      </c>
      <c r="V71" s="44">
        <v>1</v>
      </c>
      <c r="W71" s="44">
        <v>1</v>
      </c>
      <c r="X71" s="44">
        <v>1</v>
      </c>
      <c r="Y71" s="44">
        <v>0.85709999999999997</v>
      </c>
      <c r="Z71" s="44">
        <v>0.82140000000000002</v>
      </c>
      <c r="AA71" s="44">
        <v>0.82140000000000002</v>
      </c>
      <c r="AB71" s="44">
        <v>0.16669999999999999</v>
      </c>
      <c r="AC71" s="44">
        <v>0.16669999999999999</v>
      </c>
      <c r="AD71" s="44">
        <v>0.15479999999999999</v>
      </c>
      <c r="AE71">
        <v>65</v>
      </c>
      <c r="AF71">
        <v>2</v>
      </c>
      <c r="AG71" s="44">
        <v>3.0800000000000001E-2</v>
      </c>
      <c r="AH71" s="44">
        <v>0.82379999999999998</v>
      </c>
    </row>
    <row r="72" spans="1:34" x14ac:dyDescent="0.25">
      <c r="A72">
        <v>78</v>
      </c>
      <c r="B72">
        <v>16831</v>
      </c>
      <c r="C72" t="s">
        <v>66</v>
      </c>
      <c r="D72" t="s">
        <v>334</v>
      </c>
      <c r="E72" t="s">
        <v>202</v>
      </c>
      <c r="F72" t="s">
        <v>243</v>
      </c>
      <c r="G72">
        <v>14</v>
      </c>
      <c r="H72">
        <v>14</v>
      </c>
      <c r="I72" s="44">
        <v>1</v>
      </c>
      <c r="J72">
        <v>118</v>
      </c>
      <c r="K72">
        <v>97</v>
      </c>
      <c r="L72">
        <v>9</v>
      </c>
      <c r="M72" s="44">
        <v>0.82199999999999995</v>
      </c>
      <c r="N72" s="44">
        <f t="shared" si="1"/>
        <v>0.79330909090909085</v>
      </c>
      <c r="O72" s="44">
        <v>1</v>
      </c>
      <c r="P72" s="44">
        <v>0.97170000000000001</v>
      </c>
      <c r="Q72" s="44">
        <v>0</v>
      </c>
      <c r="R72" s="44">
        <v>1</v>
      </c>
      <c r="S72" s="44">
        <v>0.15090000000000001</v>
      </c>
      <c r="T72" s="44">
        <v>1</v>
      </c>
      <c r="U72" s="44">
        <v>1</v>
      </c>
      <c r="V72" s="44">
        <v>1</v>
      </c>
      <c r="W72" s="44">
        <v>1</v>
      </c>
      <c r="X72" s="44">
        <v>1</v>
      </c>
      <c r="Y72" s="44">
        <v>0.6038</v>
      </c>
      <c r="Z72" s="44">
        <v>0.56599999999999995</v>
      </c>
      <c r="AA72" s="44">
        <v>0.56599999999999995</v>
      </c>
      <c r="AB72" s="44">
        <v>0.15090000000000001</v>
      </c>
      <c r="AC72" s="44">
        <v>0.16039999999999999</v>
      </c>
      <c r="AD72" s="44">
        <v>0.15090000000000001</v>
      </c>
      <c r="AE72">
        <v>20</v>
      </c>
      <c r="AF72">
        <v>17</v>
      </c>
      <c r="AG72" s="44">
        <v>0.85</v>
      </c>
      <c r="AH72" s="44">
        <v>0.82230000000000003</v>
      </c>
    </row>
    <row r="73" spans="1:34" x14ac:dyDescent="0.25">
      <c r="A73">
        <v>79</v>
      </c>
      <c r="B73">
        <v>17103</v>
      </c>
      <c r="C73" t="s">
        <v>56</v>
      </c>
      <c r="D73" t="s">
        <v>334</v>
      </c>
      <c r="E73" t="s">
        <v>309</v>
      </c>
      <c r="F73" t="s">
        <v>242</v>
      </c>
      <c r="G73">
        <v>3</v>
      </c>
      <c r="H73">
        <v>3</v>
      </c>
      <c r="I73" s="44">
        <v>1</v>
      </c>
      <c r="J73">
        <v>47</v>
      </c>
      <c r="K73">
        <v>43</v>
      </c>
      <c r="L73">
        <v>1</v>
      </c>
      <c r="M73" s="44">
        <v>0.91490000000000005</v>
      </c>
      <c r="N73" s="44">
        <f t="shared" si="1"/>
        <v>0.75</v>
      </c>
      <c r="O73" s="44">
        <v>1</v>
      </c>
      <c r="P73" s="44">
        <v>0.95450000000000002</v>
      </c>
      <c r="Q73" s="44">
        <v>2.2700000000000001E-2</v>
      </c>
      <c r="R73" s="44">
        <v>1</v>
      </c>
      <c r="S73" s="44">
        <v>0</v>
      </c>
      <c r="T73" s="44">
        <v>1</v>
      </c>
      <c r="U73" s="44">
        <v>1</v>
      </c>
      <c r="V73" s="44">
        <v>0.97729999999999995</v>
      </c>
      <c r="W73" s="44">
        <v>1</v>
      </c>
      <c r="X73" s="44">
        <v>1</v>
      </c>
      <c r="Y73" s="44">
        <v>0.29549999999999998</v>
      </c>
      <c r="Z73" s="44">
        <v>0.2727</v>
      </c>
      <c r="AA73" s="44">
        <v>0.2727</v>
      </c>
      <c r="AB73" s="44">
        <v>0</v>
      </c>
      <c r="AC73" s="44">
        <v>0</v>
      </c>
      <c r="AD73" s="44">
        <v>0</v>
      </c>
      <c r="AE73">
        <v>10</v>
      </c>
      <c r="AF73">
        <v>0</v>
      </c>
      <c r="AG73" s="44">
        <v>0</v>
      </c>
      <c r="AH73" s="44">
        <v>0.82150000000000001</v>
      </c>
    </row>
    <row r="74" spans="1:34" x14ac:dyDescent="0.25">
      <c r="A74">
        <v>80</v>
      </c>
      <c r="B74">
        <v>17075</v>
      </c>
      <c r="C74" t="s">
        <v>12</v>
      </c>
      <c r="D74" t="s">
        <v>334</v>
      </c>
      <c r="E74" t="s">
        <v>308</v>
      </c>
      <c r="F74" t="s">
        <v>241</v>
      </c>
      <c r="G74">
        <v>16</v>
      </c>
      <c r="H74">
        <v>16</v>
      </c>
      <c r="I74" s="44">
        <v>1</v>
      </c>
      <c r="J74">
        <v>91</v>
      </c>
      <c r="K74">
        <v>86</v>
      </c>
      <c r="L74">
        <v>10</v>
      </c>
      <c r="M74" s="44">
        <v>0.94510000000000005</v>
      </c>
      <c r="N74" s="44">
        <f t="shared" si="1"/>
        <v>0.75190000000000012</v>
      </c>
      <c r="O74" s="44">
        <v>1</v>
      </c>
      <c r="P74" s="44">
        <v>0.97919999999999996</v>
      </c>
      <c r="Q74" s="44">
        <v>0</v>
      </c>
      <c r="R74" s="44">
        <v>1</v>
      </c>
      <c r="S74" s="44">
        <v>3.1300000000000001E-2</v>
      </c>
      <c r="T74" s="44">
        <v>1</v>
      </c>
      <c r="U74" s="44">
        <v>1</v>
      </c>
      <c r="V74" s="44">
        <v>1</v>
      </c>
      <c r="W74" s="44">
        <v>1</v>
      </c>
      <c r="X74" s="44">
        <v>1</v>
      </c>
      <c r="Y74" s="44">
        <v>0.26040000000000002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>
        <v>14</v>
      </c>
      <c r="AF74">
        <v>3</v>
      </c>
      <c r="AG74" s="44">
        <v>0.21429999999999999</v>
      </c>
      <c r="AH74" s="44">
        <v>0.82069999999999999</v>
      </c>
    </row>
    <row r="75" spans="1:34" x14ac:dyDescent="0.25">
      <c r="A75">
        <v>81</v>
      </c>
      <c r="B75">
        <v>17111</v>
      </c>
      <c r="C75" t="s">
        <v>188</v>
      </c>
      <c r="D75" t="s">
        <v>334</v>
      </c>
      <c r="E75" t="s">
        <v>310</v>
      </c>
      <c r="F75" t="s">
        <v>242</v>
      </c>
      <c r="G75">
        <v>5</v>
      </c>
      <c r="H75">
        <v>5</v>
      </c>
      <c r="I75" s="44">
        <v>1</v>
      </c>
      <c r="J75">
        <v>41</v>
      </c>
      <c r="K75">
        <v>38</v>
      </c>
      <c r="L75">
        <v>4</v>
      </c>
      <c r="M75" s="44">
        <v>0.92679999999999996</v>
      </c>
      <c r="N75" s="44">
        <f t="shared" si="1"/>
        <v>0.77271818181818186</v>
      </c>
      <c r="O75" s="44">
        <v>1</v>
      </c>
      <c r="P75" s="44">
        <v>0.97619999999999996</v>
      </c>
      <c r="Q75" s="44">
        <v>7.1400000000000005E-2</v>
      </c>
      <c r="R75" s="44">
        <v>1</v>
      </c>
      <c r="S75" s="44">
        <v>9.5200000000000007E-2</v>
      </c>
      <c r="T75" s="44">
        <v>1</v>
      </c>
      <c r="U75" s="44">
        <v>1</v>
      </c>
      <c r="V75" s="44">
        <v>1</v>
      </c>
      <c r="W75" s="44">
        <v>1</v>
      </c>
      <c r="X75" s="44">
        <v>1</v>
      </c>
      <c r="Y75" s="44">
        <v>0.35709999999999997</v>
      </c>
      <c r="Z75" s="44">
        <v>2.3800000000000002E-2</v>
      </c>
      <c r="AA75" s="44">
        <v>0</v>
      </c>
      <c r="AB75" s="44">
        <v>0</v>
      </c>
      <c r="AC75" s="44">
        <v>0</v>
      </c>
      <c r="AD75" s="44">
        <v>0</v>
      </c>
      <c r="AE75">
        <v>10</v>
      </c>
      <c r="AF75">
        <v>7</v>
      </c>
      <c r="AG75" s="44">
        <v>0.7</v>
      </c>
      <c r="AH75" s="44">
        <v>0.81979999999999997</v>
      </c>
    </row>
    <row r="76" spans="1:34" x14ac:dyDescent="0.25">
      <c r="A76">
        <v>82</v>
      </c>
      <c r="B76">
        <v>17090</v>
      </c>
      <c r="C76" t="s">
        <v>43</v>
      </c>
      <c r="D76" t="s">
        <v>334</v>
      </c>
      <c r="E76" t="s">
        <v>309</v>
      </c>
      <c r="F76" t="s">
        <v>242</v>
      </c>
      <c r="G76">
        <v>7</v>
      </c>
      <c r="H76">
        <v>7</v>
      </c>
      <c r="I76" s="44">
        <v>1</v>
      </c>
      <c r="J76">
        <v>67</v>
      </c>
      <c r="K76">
        <v>63</v>
      </c>
      <c r="L76">
        <v>6</v>
      </c>
      <c r="M76" s="44">
        <v>0.94030000000000002</v>
      </c>
      <c r="N76" s="44">
        <f t="shared" si="1"/>
        <v>0.7536272727272727</v>
      </c>
      <c r="O76" s="44">
        <v>1</v>
      </c>
      <c r="P76" s="44">
        <v>0.97099999999999997</v>
      </c>
      <c r="Q76" s="44">
        <v>0</v>
      </c>
      <c r="R76" s="44">
        <v>1</v>
      </c>
      <c r="S76" s="44">
        <v>5.8000000000000003E-2</v>
      </c>
      <c r="T76" s="44">
        <v>1</v>
      </c>
      <c r="U76" s="44">
        <v>1</v>
      </c>
      <c r="V76" s="44">
        <v>1</v>
      </c>
      <c r="W76" s="44">
        <v>1</v>
      </c>
      <c r="X76" s="44">
        <v>1</v>
      </c>
      <c r="Y76" s="44">
        <v>0.26090000000000002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>
        <v>7</v>
      </c>
      <c r="AF76">
        <v>5</v>
      </c>
      <c r="AG76" s="44">
        <v>0.71430000000000005</v>
      </c>
      <c r="AH76" s="44">
        <v>0.81950000000000001</v>
      </c>
    </row>
    <row r="77" spans="1:34" x14ac:dyDescent="0.25">
      <c r="A77">
        <v>83</v>
      </c>
      <c r="B77">
        <v>16788</v>
      </c>
      <c r="C77" t="s">
        <v>113</v>
      </c>
      <c r="D77" t="s">
        <v>334</v>
      </c>
      <c r="E77" t="s">
        <v>311</v>
      </c>
      <c r="F77" t="s">
        <v>243</v>
      </c>
      <c r="G77">
        <v>14</v>
      </c>
      <c r="H77">
        <v>14</v>
      </c>
      <c r="I77" s="44">
        <v>1</v>
      </c>
      <c r="J77">
        <v>73</v>
      </c>
      <c r="K77">
        <v>58</v>
      </c>
      <c r="L77">
        <v>3</v>
      </c>
      <c r="M77" s="44">
        <v>0.79449999999999998</v>
      </c>
      <c r="N77" s="44">
        <f t="shared" si="1"/>
        <v>0.8077545454545455</v>
      </c>
      <c r="O77" s="44">
        <v>1</v>
      </c>
      <c r="P77" s="44">
        <v>0.96719999999999995</v>
      </c>
      <c r="Q77" s="44">
        <v>6.5600000000000006E-2</v>
      </c>
      <c r="R77" s="44">
        <v>1</v>
      </c>
      <c r="S77" s="44">
        <v>0</v>
      </c>
      <c r="T77" s="44">
        <v>1</v>
      </c>
      <c r="U77" s="44">
        <v>1</v>
      </c>
      <c r="V77" s="44">
        <v>1</v>
      </c>
      <c r="W77" s="44">
        <v>1</v>
      </c>
      <c r="X77" s="44">
        <v>1</v>
      </c>
      <c r="Y77" s="44">
        <v>0.85250000000000004</v>
      </c>
      <c r="Z77" s="44">
        <v>0.83609999999999995</v>
      </c>
      <c r="AA77" s="44">
        <v>0.83609999999999995</v>
      </c>
      <c r="AB77" s="44">
        <v>0</v>
      </c>
      <c r="AC77" s="44">
        <v>0</v>
      </c>
      <c r="AD77" s="44">
        <v>0</v>
      </c>
      <c r="AE77">
        <v>15</v>
      </c>
      <c r="AF77">
        <v>0</v>
      </c>
      <c r="AG77" s="44">
        <v>0</v>
      </c>
      <c r="AH77" s="44">
        <v>0.81810000000000005</v>
      </c>
    </row>
    <row r="78" spans="1:34" x14ac:dyDescent="0.25">
      <c r="A78">
        <v>84</v>
      </c>
      <c r="B78">
        <v>16832</v>
      </c>
      <c r="C78" t="s">
        <v>177</v>
      </c>
      <c r="D78" t="s">
        <v>334</v>
      </c>
      <c r="E78" t="s">
        <v>301</v>
      </c>
      <c r="F78" t="s">
        <v>243</v>
      </c>
      <c r="G78">
        <v>15</v>
      </c>
      <c r="H78">
        <v>14</v>
      </c>
      <c r="I78" s="44">
        <v>0.93330000000000002</v>
      </c>
      <c r="J78">
        <v>105</v>
      </c>
      <c r="K78">
        <v>98</v>
      </c>
      <c r="L78">
        <v>8</v>
      </c>
      <c r="M78" s="44">
        <v>0.93330000000000002</v>
      </c>
      <c r="N78" s="44">
        <f t="shared" si="1"/>
        <v>0.78473636363636379</v>
      </c>
      <c r="O78" s="44">
        <v>1</v>
      </c>
      <c r="P78" s="44">
        <v>0.97170000000000001</v>
      </c>
      <c r="Q78" s="44">
        <v>0.217</v>
      </c>
      <c r="R78" s="44">
        <v>1</v>
      </c>
      <c r="S78" s="44">
        <v>2.8299999999999999E-2</v>
      </c>
      <c r="T78" s="44">
        <v>1</v>
      </c>
      <c r="U78" s="44">
        <v>1</v>
      </c>
      <c r="V78" s="44">
        <v>1</v>
      </c>
      <c r="W78" s="44">
        <v>1</v>
      </c>
      <c r="X78" s="44">
        <v>1</v>
      </c>
      <c r="Y78" s="44">
        <v>0.41510000000000002</v>
      </c>
      <c r="Z78" s="44">
        <v>0.37740000000000001</v>
      </c>
      <c r="AA78" s="44">
        <v>0.3679</v>
      </c>
      <c r="AB78" s="44">
        <v>0</v>
      </c>
      <c r="AC78" s="44">
        <v>0</v>
      </c>
      <c r="AD78" s="44">
        <v>0</v>
      </c>
      <c r="AE78">
        <v>7</v>
      </c>
      <c r="AF78">
        <v>6</v>
      </c>
      <c r="AG78" s="44">
        <v>0.85709999999999997</v>
      </c>
      <c r="AH78" s="44">
        <v>0.81759999999999999</v>
      </c>
    </row>
    <row r="79" spans="1:34" x14ac:dyDescent="0.25">
      <c r="A79">
        <v>85</v>
      </c>
      <c r="B79">
        <v>17105</v>
      </c>
      <c r="C79" t="s">
        <v>58</v>
      </c>
      <c r="D79" t="s">
        <v>334</v>
      </c>
      <c r="E79" t="s">
        <v>309</v>
      </c>
      <c r="F79" t="s">
        <v>242</v>
      </c>
      <c r="G79">
        <v>13</v>
      </c>
      <c r="H79">
        <v>13</v>
      </c>
      <c r="I79" s="44">
        <v>1</v>
      </c>
      <c r="J79">
        <v>105</v>
      </c>
      <c r="K79">
        <v>93</v>
      </c>
      <c r="L79">
        <v>3</v>
      </c>
      <c r="M79" s="44">
        <v>0.88570000000000004</v>
      </c>
      <c r="N79" s="44">
        <f t="shared" si="1"/>
        <v>0.76043636363636358</v>
      </c>
      <c r="O79" s="44">
        <v>0.98960000000000004</v>
      </c>
      <c r="P79" s="44">
        <v>0.97919999999999996</v>
      </c>
      <c r="Q79" s="44">
        <v>4.1700000000000001E-2</v>
      </c>
      <c r="R79" s="44">
        <v>0.98960000000000004</v>
      </c>
      <c r="S79" s="44">
        <v>8.3299999999999999E-2</v>
      </c>
      <c r="T79" s="44">
        <v>0.97919999999999996</v>
      </c>
      <c r="U79" s="44">
        <v>0.98960000000000004</v>
      </c>
      <c r="V79" s="44">
        <v>0.97919999999999996</v>
      </c>
      <c r="W79" s="44">
        <v>0.97919999999999996</v>
      </c>
      <c r="X79" s="44">
        <v>0.97919999999999996</v>
      </c>
      <c r="Y79" s="44">
        <v>0.375</v>
      </c>
      <c r="Z79" s="44">
        <v>0.35420000000000001</v>
      </c>
      <c r="AA79" s="44">
        <v>0.35420000000000001</v>
      </c>
      <c r="AB79" s="44">
        <v>0</v>
      </c>
      <c r="AC79" s="44">
        <v>0</v>
      </c>
      <c r="AD79" s="44">
        <v>0</v>
      </c>
      <c r="AE79">
        <v>54</v>
      </c>
      <c r="AF79">
        <v>12</v>
      </c>
      <c r="AG79" s="44">
        <v>0.22220000000000001</v>
      </c>
      <c r="AH79" s="44">
        <v>0.81759999999999999</v>
      </c>
    </row>
    <row r="80" spans="1:34" x14ac:dyDescent="0.25">
      <c r="A80">
        <v>87</v>
      </c>
      <c r="B80">
        <v>16695</v>
      </c>
      <c r="C80" t="s">
        <v>173</v>
      </c>
      <c r="D80" t="s">
        <v>334</v>
      </c>
      <c r="E80" t="s">
        <v>301</v>
      </c>
      <c r="F80" t="s">
        <v>243</v>
      </c>
      <c r="G80">
        <v>7</v>
      </c>
      <c r="H80">
        <v>7</v>
      </c>
      <c r="I80" s="44">
        <v>1</v>
      </c>
      <c r="J80">
        <v>64</v>
      </c>
      <c r="K80">
        <v>59</v>
      </c>
      <c r="L80">
        <v>1</v>
      </c>
      <c r="M80" s="44">
        <v>0.92190000000000005</v>
      </c>
      <c r="N80" s="44">
        <f t="shared" si="1"/>
        <v>0.76818181818181808</v>
      </c>
      <c r="O80" s="44">
        <v>1</v>
      </c>
      <c r="P80" s="44">
        <v>0.95</v>
      </c>
      <c r="Q80" s="44">
        <v>0.16669999999999999</v>
      </c>
      <c r="R80" s="44">
        <v>1</v>
      </c>
      <c r="S80" s="44">
        <v>8.3299999999999999E-2</v>
      </c>
      <c r="T80" s="44">
        <v>1</v>
      </c>
      <c r="U80" s="44">
        <v>1</v>
      </c>
      <c r="V80" s="44">
        <v>1</v>
      </c>
      <c r="W80" s="44">
        <v>1</v>
      </c>
      <c r="X80" s="44">
        <v>1</v>
      </c>
      <c r="Y80" s="44">
        <v>0.25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>
        <v>12</v>
      </c>
      <c r="AF80">
        <v>11</v>
      </c>
      <c r="AG80" s="44">
        <v>0.91669999999999996</v>
      </c>
      <c r="AH80" s="44">
        <v>0.81669999999999998</v>
      </c>
    </row>
    <row r="81" spans="1:34" x14ac:dyDescent="0.25">
      <c r="A81">
        <v>88</v>
      </c>
      <c r="B81">
        <v>17086</v>
      </c>
      <c r="C81" t="s">
        <v>23</v>
      </c>
      <c r="D81" t="s">
        <v>334</v>
      </c>
      <c r="E81" t="s">
        <v>308</v>
      </c>
      <c r="F81" t="s">
        <v>241</v>
      </c>
      <c r="G81">
        <v>4</v>
      </c>
      <c r="H81">
        <v>4</v>
      </c>
      <c r="I81" s="44">
        <v>1</v>
      </c>
      <c r="J81">
        <v>63</v>
      </c>
      <c r="K81">
        <v>58</v>
      </c>
      <c r="L81">
        <v>1</v>
      </c>
      <c r="M81" s="44">
        <v>0.92059999999999997</v>
      </c>
      <c r="N81" s="44">
        <f t="shared" si="1"/>
        <v>0.76424545454545456</v>
      </c>
      <c r="O81" s="44">
        <v>1</v>
      </c>
      <c r="P81" s="44">
        <v>0.96609999999999996</v>
      </c>
      <c r="Q81" s="44">
        <v>0.1525</v>
      </c>
      <c r="R81" s="44">
        <v>1</v>
      </c>
      <c r="S81" s="44">
        <v>3.39E-2</v>
      </c>
      <c r="T81" s="44">
        <v>1</v>
      </c>
      <c r="U81" s="44">
        <v>1</v>
      </c>
      <c r="V81" s="44">
        <v>1</v>
      </c>
      <c r="W81" s="44">
        <v>1</v>
      </c>
      <c r="X81" s="44">
        <v>1</v>
      </c>
      <c r="Y81" s="44">
        <v>0.25419999999999998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>
        <v>6</v>
      </c>
      <c r="AF81">
        <v>1</v>
      </c>
      <c r="AG81" s="44">
        <v>0.16669999999999999</v>
      </c>
      <c r="AH81" s="44">
        <v>0.81530000000000002</v>
      </c>
    </row>
    <row r="82" spans="1:34" x14ac:dyDescent="0.25">
      <c r="A82">
        <v>89</v>
      </c>
      <c r="B82">
        <v>16896</v>
      </c>
      <c r="C82" t="s">
        <v>144</v>
      </c>
      <c r="D82" t="s">
        <v>334</v>
      </c>
      <c r="E82" t="s">
        <v>208</v>
      </c>
      <c r="F82" t="s">
        <v>243</v>
      </c>
      <c r="G82">
        <v>5</v>
      </c>
      <c r="H82">
        <v>5</v>
      </c>
      <c r="I82" s="44">
        <v>1</v>
      </c>
      <c r="J82">
        <v>61</v>
      </c>
      <c r="K82">
        <v>56</v>
      </c>
      <c r="L82">
        <v>2</v>
      </c>
      <c r="M82" s="44">
        <v>0.91800000000000004</v>
      </c>
      <c r="N82" s="44">
        <f t="shared" si="1"/>
        <v>0.76018181818181818</v>
      </c>
      <c r="O82" s="44">
        <v>1</v>
      </c>
      <c r="P82" s="44">
        <v>0.96550000000000002</v>
      </c>
      <c r="Q82" s="44">
        <v>1.72E-2</v>
      </c>
      <c r="R82" s="44">
        <v>1</v>
      </c>
      <c r="S82" s="44">
        <v>8.6199999999999999E-2</v>
      </c>
      <c r="T82" s="44">
        <v>1</v>
      </c>
      <c r="U82" s="44">
        <v>1</v>
      </c>
      <c r="V82" s="44">
        <v>1</v>
      </c>
      <c r="W82" s="44">
        <v>1</v>
      </c>
      <c r="X82" s="44">
        <v>1</v>
      </c>
      <c r="Y82" s="44">
        <v>0.29310000000000003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>
        <v>16</v>
      </c>
      <c r="AF82">
        <v>12</v>
      </c>
      <c r="AG82" s="44">
        <v>0.75</v>
      </c>
      <c r="AH82" s="44">
        <v>0.8135</v>
      </c>
    </row>
    <row r="83" spans="1:34" x14ac:dyDescent="0.25">
      <c r="A83">
        <v>90</v>
      </c>
      <c r="B83">
        <v>16841</v>
      </c>
      <c r="C83" t="s">
        <v>103</v>
      </c>
      <c r="D83" t="s">
        <v>334</v>
      </c>
      <c r="E83" t="s">
        <v>205</v>
      </c>
      <c r="F83" t="s">
        <v>243</v>
      </c>
      <c r="G83">
        <v>19</v>
      </c>
      <c r="H83">
        <v>18</v>
      </c>
      <c r="I83" s="44">
        <v>0.94740000000000002</v>
      </c>
      <c r="J83">
        <v>111</v>
      </c>
      <c r="K83">
        <v>106</v>
      </c>
      <c r="L83">
        <v>5</v>
      </c>
      <c r="M83" s="44">
        <v>0.95499999999999996</v>
      </c>
      <c r="N83" s="44">
        <f t="shared" si="1"/>
        <v>0.77805454545454533</v>
      </c>
      <c r="O83" s="44">
        <v>1</v>
      </c>
      <c r="P83" s="44">
        <v>0.99099999999999999</v>
      </c>
      <c r="Q83" s="44">
        <v>0.17119999999999999</v>
      </c>
      <c r="R83" s="44">
        <v>1</v>
      </c>
      <c r="S83" s="44">
        <v>0.1081</v>
      </c>
      <c r="T83" s="44">
        <v>1</v>
      </c>
      <c r="U83" s="44">
        <v>1</v>
      </c>
      <c r="V83" s="44">
        <v>1</v>
      </c>
      <c r="W83" s="44">
        <v>1</v>
      </c>
      <c r="X83" s="44">
        <v>1</v>
      </c>
      <c r="Y83" s="44">
        <v>0.2883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>
        <v>32</v>
      </c>
      <c r="AF83">
        <v>30</v>
      </c>
      <c r="AG83" s="44">
        <v>0.9375</v>
      </c>
      <c r="AH83" s="44">
        <v>0.81240000000000001</v>
      </c>
    </row>
    <row r="84" spans="1:34" x14ac:dyDescent="0.25">
      <c r="A84">
        <v>92</v>
      </c>
      <c r="B84">
        <v>17101</v>
      </c>
      <c r="C84" t="s">
        <v>54</v>
      </c>
      <c r="D84" t="s">
        <v>334</v>
      </c>
      <c r="E84" t="s">
        <v>309</v>
      </c>
      <c r="F84" t="s">
        <v>242</v>
      </c>
      <c r="G84">
        <v>3</v>
      </c>
      <c r="H84">
        <v>3</v>
      </c>
      <c r="I84" s="44">
        <v>1</v>
      </c>
      <c r="J84">
        <v>42</v>
      </c>
      <c r="K84">
        <v>36</v>
      </c>
      <c r="L84">
        <v>1</v>
      </c>
      <c r="M84" s="44">
        <v>0.85709999999999997</v>
      </c>
      <c r="N84" s="44">
        <f t="shared" si="1"/>
        <v>0.74939999999999996</v>
      </c>
      <c r="O84" s="44">
        <v>0.97299999999999998</v>
      </c>
      <c r="P84" s="44">
        <v>0.97299999999999998</v>
      </c>
      <c r="Q84" s="44">
        <v>0</v>
      </c>
      <c r="R84" s="44">
        <v>0.97299999999999998</v>
      </c>
      <c r="S84" s="44">
        <v>2.7E-2</v>
      </c>
      <c r="T84" s="44">
        <v>0.97299999999999998</v>
      </c>
      <c r="U84" s="44">
        <v>0.97299999999999998</v>
      </c>
      <c r="V84" s="44">
        <v>0.97299999999999998</v>
      </c>
      <c r="W84" s="44">
        <v>0.97299999999999998</v>
      </c>
      <c r="X84" s="44">
        <v>0.97299999999999998</v>
      </c>
      <c r="Y84" s="44">
        <v>0.43240000000000001</v>
      </c>
      <c r="Z84" s="44">
        <v>0.43240000000000001</v>
      </c>
      <c r="AA84" s="44">
        <v>0.43240000000000001</v>
      </c>
      <c r="AB84" s="44">
        <v>2.7E-2</v>
      </c>
      <c r="AC84" s="44">
        <v>2.7E-2</v>
      </c>
      <c r="AD84" s="44">
        <v>2.7E-2</v>
      </c>
      <c r="AE84">
        <v>13</v>
      </c>
      <c r="AF84">
        <v>2</v>
      </c>
      <c r="AG84" s="44">
        <v>0.15379999999999999</v>
      </c>
      <c r="AH84" s="44">
        <v>0.8105</v>
      </c>
    </row>
    <row r="85" spans="1:34" x14ac:dyDescent="0.25">
      <c r="A85">
        <v>93</v>
      </c>
      <c r="B85">
        <v>17141</v>
      </c>
      <c r="C85" t="s">
        <v>28</v>
      </c>
      <c r="D85" t="s">
        <v>334</v>
      </c>
      <c r="E85" t="s">
        <v>306</v>
      </c>
      <c r="F85" t="s">
        <v>241</v>
      </c>
      <c r="G85">
        <v>16</v>
      </c>
      <c r="H85">
        <v>16</v>
      </c>
      <c r="I85" s="44">
        <v>1</v>
      </c>
      <c r="J85">
        <v>120</v>
      </c>
      <c r="K85">
        <v>103</v>
      </c>
      <c r="L85">
        <v>2</v>
      </c>
      <c r="M85" s="44">
        <v>0.85829999999999995</v>
      </c>
      <c r="N85" s="44">
        <f t="shared" si="1"/>
        <v>0.76277272727272727</v>
      </c>
      <c r="O85" s="44">
        <v>0.99050000000000005</v>
      </c>
      <c r="P85" s="44">
        <v>0.97140000000000004</v>
      </c>
      <c r="Q85" s="44">
        <v>0</v>
      </c>
      <c r="R85" s="44">
        <v>0.99050000000000005</v>
      </c>
      <c r="S85" s="44">
        <v>0.12379999999999999</v>
      </c>
      <c r="T85" s="44">
        <v>1</v>
      </c>
      <c r="U85" s="44">
        <v>1</v>
      </c>
      <c r="V85" s="44">
        <v>1</v>
      </c>
      <c r="W85" s="44">
        <v>1</v>
      </c>
      <c r="X85" s="44">
        <v>1</v>
      </c>
      <c r="Y85" s="44">
        <v>0.31430000000000002</v>
      </c>
      <c r="Z85" s="44">
        <v>0.31430000000000002</v>
      </c>
      <c r="AA85" s="44">
        <v>0.31430000000000002</v>
      </c>
      <c r="AB85" s="44">
        <v>0</v>
      </c>
      <c r="AC85" s="44">
        <v>0</v>
      </c>
      <c r="AD85" s="44">
        <v>0</v>
      </c>
      <c r="AE85">
        <v>68</v>
      </c>
      <c r="AF85">
        <v>31</v>
      </c>
      <c r="AG85" s="44">
        <v>0.45590000000000003</v>
      </c>
      <c r="AH85" s="44">
        <v>0.80730000000000002</v>
      </c>
    </row>
    <row r="86" spans="1:34" x14ac:dyDescent="0.25">
      <c r="A86">
        <v>94</v>
      </c>
      <c r="B86">
        <v>16689</v>
      </c>
      <c r="C86" t="s">
        <v>73</v>
      </c>
      <c r="D86" t="s">
        <v>334</v>
      </c>
      <c r="E86" t="s">
        <v>203</v>
      </c>
      <c r="F86" t="s">
        <v>243</v>
      </c>
      <c r="G86">
        <v>21</v>
      </c>
      <c r="H86">
        <v>19</v>
      </c>
      <c r="I86" s="44">
        <v>0.90480000000000005</v>
      </c>
      <c r="J86">
        <v>111</v>
      </c>
      <c r="K86">
        <v>91</v>
      </c>
      <c r="L86">
        <v>5</v>
      </c>
      <c r="M86" s="44">
        <v>0.81979999999999997</v>
      </c>
      <c r="N86" s="44">
        <f t="shared" si="1"/>
        <v>0.81913636363636355</v>
      </c>
      <c r="O86" s="44">
        <v>1</v>
      </c>
      <c r="P86" s="44">
        <v>0.96879999999999999</v>
      </c>
      <c r="Q86" s="44">
        <v>5.21E-2</v>
      </c>
      <c r="R86" s="44">
        <v>1</v>
      </c>
      <c r="S86" s="44">
        <v>0.14580000000000001</v>
      </c>
      <c r="T86" s="44">
        <v>1</v>
      </c>
      <c r="U86" s="44">
        <v>1</v>
      </c>
      <c r="V86" s="44">
        <v>1</v>
      </c>
      <c r="W86" s="44">
        <v>1</v>
      </c>
      <c r="X86" s="44">
        <v>1</v>
      </c>
      <c r="Y86" s="44">
        <v>0.84379999999999999</v>
      </c>
      <c r="Z86" s="44">
        <v>0.80210000000000004</v>
      </c>
      <c r="AA86" s="44">
        <v>0.80210000000000004</v>
      </c>
      <c r="AB86" s="44">
        <v>0.16669999999999999</v>
      </c>
      <c r="AC86" s="44">
        <v>0.16669999999999999</v>
      </c>
      <c r="AD86" s="44">
        <v>0.15629999999999999</v>
      </c>
      <c r="AE86">
        <v>20</v>
      </c>
      <c r="AF86">
        <v>11</v>
      </c>
      <c r="AG86" s="44">
        <v>0.55000000000000004</v>
      </c>
      <c r="AH86" s="44">
        <v>0.80620000000000003</v>
      </c>
    </row>
    <row r="87" spans="1:34" x14ac:dyDescent="0.25">
      <c r="A87">
        <v>95</v>
      </c>
      <c r="B87">
        <v>16840</v>
      </c>
      <c r="C87" t="s">
        <v>110</v>
      </c>
      <c r="D87" t="s">
        <v>334</v>
      </c>
      <c r="E87" t="s">
        <v>205</v>
      </c>
      <c r="F87" t="s">
        <v>243</v>
      </c>
      <c r="G87">
        <v>15</v>
      </c>
      <c r="H87">
        <v>15</v>
      </c>
      <c r="I87" s="44">
        <v>1</v>
      </c>
      <c r="J87">
        <v>107</v>
      </c>
      <c r="K87">
        <v>95</v>
      </c>
      <c r="L87">
        <v>10</v>
      </c>
      <c r="M87" s="44">
        <v>0.88790000000000002</v>
      </c>
      <c r="N87" s="44">
        <f t="shared" si="1"/>
        <v>0.76104545454545469</v>
      </c>
      <c r="O87" s="44">
        <v>1</v>
      </c>
      <c r="P87" s="44">
        <v>0.98099999999999998</v>
      </c>
      <c r="Q87" s="44">
        <v>9.4999999999999998E-3</v>
      </c>
      <c r="R87" s="44">
        <v>1</v>
      </c>
      <c r="S87" s="44">
        <v>0.1143</v>
      </c>
      <c r="T87" s="44">
        <v>1</v>
      </c>
      <c r="U87" s="44">
        <v>1</v>
      </c>
      <c r="V87" s="44">
        <v>1</v>
      </c>
      <c r="W87" s="44">
        <v>1</v>
      </c>
      <c r="X87" s="44">
        <v>1</v>
      </c>
      <c r="Y87" s="44">
        <v>0.26669999999999999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>
        <v>27</v>
      </c>
      <c r="AF87">
        <v>21</v>
      </c>
      <c r="AG87" s="44">
        <v>0.77780000000000005</v>
      </c>
      <c r="AH87" s="44">
        <v>0.80369999999999997</v>
      </c>
    </row>
    <row r="88" spans="1:34" x14ac:dyDescent="0.25">
      <c r="A88">
        <v>97</v>
      </c>
      <c r="B88">
        <v>17100</v>
      </c>
      <c r="C88" t="s">
        <v>53</v>
      </c>
      <c r="D88" t="s">
        <v>334</v>
      </c>
      <c r="E88" t="s">
        <v>309</v>
      </c>
      <c r="F88" t="s">
        <v>242</v>
      </c>
      <c r="G88">
        <v>16</v>
      </c>
      <c r="H88">
        <v>16</v>
      </c>
      <c r="I88" s="44">
        <v>1</v>
      </c>
      <c r="J88">
        <v>127</v>
      </c>
      <c r="K88">
        <v>111</v>
      </c>
      <c r="L88">
        <v>5</v>
      </c>
      <c r="M88" s="44">
        <v>0.874</v>
      </c>
      <c r="N88" s="44">
        <f t="shared" si="1"/>
        <v>0.77899090909090918</v>
      </c>
      <c r="O88" s="44">
        <v>1</v>
      </c>
      <c r="P88" s="44">
        <v>0.97409999999999997</v>
      </c>
      <c r="Q88" s="44">
        <v>0.1638</v>
      </c>
      <c r="R88" s="44">
        <v>1</v>
      </c>
      <c r="S88" s="44">
        <v>0.10340000000000001</v>
      </c>
      <c r="T88" s="44">
        <v>1</v>
      </c>
      <c r="U88" s="44">
        <v>1</v>
      </c>
      <c r="V88" s="44">
        <v>1</v>
      </c>
      <c r="W88" s="44">
        <v>1</v>
      </c>
      <c r="X88" s="44">
        <v>1</v>
      </c>
      <c r="Y88" s="44">
        <v>0.3276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>
        <v>26</v>
      </c>
      <c r="AF88">
        <v>17</v>
      </c>
      <c r="AG88" s="44">
        <v>0.65380000000000005</v>
      </c>
      <c r="AH88" s="44">
        <v>0.80320000000000003</v>
      </c>
    </row>
    <row r="89" spans="1:34" x14ac:dyDescent="0.25">
      <c r="A89">
        <v>98</v>
      </c>
      <c r="B89">
        <v>17132</v>
      </c>
      <c r="C89" t="s">
        <v>134</v>
      </c>
      <c r="D89" t="s">
        <v>334</v>
      </c>
      <c r="E89" t="s">
        <v>207</v>
      </c>
      <c r="F89" t="s">
        <v>241</v>
      </c>
      <c r="G89">
        <v>5</v>
      </c>
      <c r="H89">
        <v>5</v>
      </c>
      <c r="I89" s="44">
        <v>1</v>
      </c>
      <c r="J89">
        <v>60</v>
      </c>
      <c r="K89">
        <v>53</v>
      </c>
      <c r="L89">
        <v>6</v>
      </c>
      <c r="M89" s="44">
        <v>0.88329999999999997</v>
      </c>
      <c r="N89" s="44">
        <f t="shared" si="1"/>
        <v>0.762709090909091</v>
      </c>
      <c r="O89" s="44">
        <v>1</v>
      </c>
      <c r="P89" s="44">
        <v>0.96609999999999996</v>
      </c>
      <c r="Q89" s="44">
        <v>3.39E-2</v>
      </c>
      <c r="R89" s="44">
        <v>1</v>
      </c>
      <c r="S89" s="44">
        <v>0.1186</v>
      </c>
      <c r="T89" s="44">
        <v>1</v>
      </c>
      <c r="U89" s="44">
        <v>1</v>
      </c>
      <c r="V89" s="44">
        <v>1</v>
      </c>
      <c r="W89" s="44">
        <v>1</v>
      </c>
      <c r="X89" s="44">
        <v>1</v>
      </c>
      <c r="Y89" s="44">
        <v>0.2712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>
        <v>10</v>
      </c>
      <c r="AF89">
        <v>5</v>
      </c>
      <c r="AG89" s="44">
        <v>0.5</v>
      </c>
      <c r="AH89" s="44">
        <v>0.80259999999999998</v>
      </c>
    </row>
    <row r="90" spans="1:34" x14ac:dyDescent="0.25">
      <c r="A90">
        <v>99</v>
      </c>
      <c r="B90">
        <v>17156</v>
      </c>
      <c r="C90" t="s">
        <v>84</v>
      </c>
      <c r="D90" t="s">
        <v>334</v>
      </c>
      <c r="E90" t="s">
        <v>307</v>
      </c>
      <c r="F90" t="s">
        <v>242</v>
      </c>
      <c r="G90">
        <v>16</v>
      </c>
      <c r="H90">
        <v>14</v>
      </c>
      <c r="I90" s="44">
        <v>0.875</v>
      </c>
      <c r="J90">
        <v>105</v>
      </c>
      <c r="K90">
        <v>98</v>
      </c>
      <c r="L90">
        <v>7</v>
      </c>
      <c r="M90" s="44">
        <v>0.93330000000000002</v>
      </c>
      <c r="N90" s="44">
        <f t="shared" si="1"/>
        <v>0.82598181818181826</v>
      </c>
      <c r="O90" s="44">
        <v>1</v>
      </c>
      <c r="P90" s="44">
        <v>0.94289999999999996</v>
      </c>
      <c r="Q90" s="44">
        <v>0.1905</v>
      </c>
      <c r="R90" s="44">
        <v>1</v>
      </c>
      <c r="S90" s="44">
        <v>0.47620000000000001</v>
      </c>
      <c r="T90" s="44">
        <v>1</v>
      </c>
      <c r="U90" s="44">
        <v>1</v>
      </c>
      <c r="V90" s="44">
        <v>1</v>
      </c>
      <c r="W90" s="44">
        <v>1</v>
      </c>
      <c r="X90" s="44">
        <v>1</v>
      </c>
      <c r="Y90" s="44">
        <v>0.47620000000000001</v>
      </c>
      <c r="Z90" s="44">
        <v>0.1905</v>
      </c>
      <c r="AA90" s="44">
        <v>0.2571</v>
      </c>
      <c r="AB90" s="44">
        <v>0</v>
      </c>
      <c r="AC90" s="44">
        <v>1.9E-2</v>
      </c>
      <c r="AD90" s="44">
        <v>0</v>
      </c>
      <c r="AE90">
        <v>25</v>
      </c>
      <c r="AF90">
        <v>18</v>
      </c>
      <c r="AG90" s="44">
        <v>0.72</v>
      </c>
      <c r="AH90" s="44">
        <v>0.80179999999999996</v>
      </c>
    </row>
    <row r="91" spans="1:34" x14ac:dyDescent="0.25">
      <c r="A91">
        <v>100</v>
      </c>
      <c r="B91">
        <v>17153</v>
      </c>
      <c r="C91" t="s">
        <v>40</v>
      </c>
      <c r="D91" t="s">
        <v>334</v>
      </c>
      <c r="E91" t="s">
        <v>306</v>
      </c>
      <c r="F91" t="s">
        <v>241</v>
      </c>
      <c r="G91">
        <v>13</v>
      </c>
      <c r="H91">
        <v>13</v>
      </c>
      <c r="I91" s="44">
        <v>1</v>
      </c>
      <c r="J91">
        <v>101</v>
      </c>
      <c r="K91">
        <v>85</v>
      </c>
      <c r="L91">
        <v>6</v>
      </c>
      <c r="M91" s="44">
        <v>0.84160000000000001</v>
      </c>
      <c r="N91" s="44">
        <f t="shared" si="1"/>
        <v>0.80819090909090907</v>
      </c>
      <c r="O91" s="44">
        <v>1</v>
      </c>
      <c r="P91" s="44">
        <v>0.96699999999999997</v>
      </c>
      <c r="Q91" s="44">
        <v>9.8900000000000002E-2</v>
      </c>
      <c r="R91" s="44">
        <v>1</v>
      </c>
      <c r="S91" s="44">
        <v>0.1099</v>
      </c>
      <c r="T91" s="44">
        <v>1</v>
      </c>
      <c r="U91" s="44">
        <v>1</v>
      </c>
      <c r="V91" s="44">
        <v>1</v>
      </c>
      <c r="W91" s="44">
        <v>1</v>
      </c>
      <c r="X91" s="44">
        <v>1</v>
      </c>
      <c r="Y91" s="44">
        <v>0.71430000000000005</v>
      </c>
      <c r="Z91" s="44">
        <v>5.4899999999999997E-2</v>
      </c>
      <c r="AA91" s="44">
        <v>4.3999999999999997E-2</v>
      </c>
      <c r="AB91" s="44">
        <v>0</v>
      </c>
      <c r="AC91" s="44">
        <v>0</v>
      </c>
      <c r="AD91" s="44">
        <v>0</v>
      </c>
      <c r="AE91">
        <v>35</v>
      </c>
      <c r="AF91">
        <v>14</v>
      </c>
      <c r="AG91" s="44">
        <v>0.4</v>
      </c>
      <c r="AH91" s="44">
        <v>0.80110000000000003</v>
      </c>
    </row>
    <row r="92" spans="1:34" x14ac:dyDescent="0.25">
      <c r="A92">
        <v>101</v>
      </c>
      <c r="B92">
        <v>16694</v>
      </c>
      <c r="C92" t="s">
        <v>172</v>
      </c>
      <c r="D92" t="s">
        <v>334</v>
      </c>
      <c r="E92" t="s">
        <v>301</v>
      </c>
      <c r="F92" t="s">
        <v>243</v>
      </c>
      <c r="G92">
        <v>16</v>
      </c>
      <c r="H92">
        <v>16</v>
      </c>
      <c r="I92" s="44">
        <v>1</v>
      </c>
      <c r="J92">
        <v>141</v>
      </c>
      <c r="K92">
        <v>118</v>
      </c>
      <c r="L92">
        <v>4</v>
      </c>
      <c r="M92" s="44">
        <v>0.83689999999999998</v>
      </c>
      <c r="N92" s="44">
        <f t="shared" si="1"/>
        <v>0.81072727272727263</v>
      </c>
      <c r="O92" s="44">
        <v>1</v>
      </c>
      <c r="P92" s="44">
        <v>1</v>
      </c>
      <c r="Q92" s="44">
        <v>0.48359999999999997</v>
      </c>
      <c r="R92" s="44">
        <v>1</v>
      </c>
      <c r="S92" s="44">
        <v>0.13930000000000001</v>
      </c>
      <c r="T92" s="44">
        <v>1</v>
      </c>
      <c r="U92" s="44">
        <v>1</v>
      </c>
      <c r="V92" s="44">
        <v>1</v>
      </c>
      <c r="W92" s="44">
        <v>1</v>
      </c>
      <c r="X92" s="44">
        <v>1</v>
      </c>
      <c r="Y92" s="44">
        <v>0.29509999999999997</v>
      </c>
      <c r="Z92" s="44">
        <v>3.2800000000000003E-2</v>
      </c>
      <c r="AA92" s="44">
        <v>2.46E-2</v>
      </c>
      <c r="AB92" s="44">
        <v>2.46E-2</v>
      </c>
      <c r="AC92" s="44">
        <v>2.46E-2</v>
      </c>
      <c r="AD92" s="44">
        <v>2.46E-2</v>
      </c>
      <c r="AE92">
        <v>45</v>
      </c>
      <c r="AF92">
        <v>23</v>
      </c>
      <c r="AG92" s="44">
        <v>0.5111</v>
      </c>
      <c r="AH92" s="44">
        <v>0.80079999999999996</v>
      </c>
    </row>
    <row r="93" spans="1:34" x14ac:dyDescent="0.25">
      <c r="A93">
        <v>102</v>
      </c>
      <c r="B93">
        <v>16909</v>
      </c>
      <c r="C93" t="s">
        <v>157</v>
      </c>
      <c r="D93" t="s">
        <v>334</v>
      </c>
      <c r="E93" t="s">
        <v>208</v>
      </c>
      <c r="F93" t="s">
        <v>243</v>
      </c>
      <c r="G93">
        <v>12</v>
      </c>
      <c r="H93">
        <v>12</v>
      </c>
      <c r="I93" s="44">
        <v>1</v>
      </c>
      <c r="J93">
        <v>89</v>
      </c>
      <c r="K93">
        <v>77</v>
      </c>
      <c r="L93">
        <v>6</v>
      </c>
      <c r="M93" s="44">
        <v>0.86519999999999997</v>
      </c>
      <c r="N93" s="44">
        <f t="shared" si="1"/>
        <v>0.776590909090909</v>
      </c>
      <c r="O93" s="44">
        <v>0.98799999999999999</v>
      </c>
      <c r="P93" s="44">
        <v>0.95179999999999998</v>
      </c>
      <c r="Q93" s="44">
        <v>0.2651</v>
      </c>
      <c r="R93" s="44">
        <v>0.98799999999999999</v>
      </c>
      <c r="S93" s="44">
        <v>0.16869999999999999</v>
      </c>
      <c r="T93" s="44">
        <v>0.98799999999999999</v>
      </c>
      <c r="U93" s="44">
        <v>0.98799999999999999</v>
      </c>
      <c r="V93" s="44">
        <v>0.98799999999999999</v>
      </c>
      <c r="W93" s="44">
        <v>0.98799999999999999</v>
      </c>
      <c r="X93" s="44">
        <v>1</v>
      </c>
      <c r="Y93" s="44">
        <v>0.22889999999999999</v>
      </c>
      <c r="Z93" s="44">
        <v>1.2E-2</v>
      </c>
      <c r="AA93" s="44">
        <v>0</v>
      </c>
      <c r="AB93" s="44">
        <v>1.2E-2</v>
      </c>
      <c r="AC93" s="44">
        <v>1.2E-2</v>
      </c>
      <c r="AD93" s="44">
        <v>1.2E-2</v>
      </c>
      <c r="AE93">
        <v>42</v>
      </c>
      <c r="AF93">
        <v>32</v>
      </c>
      <c r="AG93" s="44">
        <v>0.76190000000000002</v>
      </c>
      <c r="AH93" s="44">
        <v>0.80069999999999997</v>
      </c>
    </row>
    <row r="94" spans="1:34" x14ac:dyDescent="0.25">
      <c r="A94">
        <v>103</v>
      </c>
      <c r="B94">
        <v>17151</v>
      </c>
      <c r="C94" t="s">
        <v>38</v>
      </c>
      <c r="D94" t="s">
        <v>334</v>
      </c>
      <c r="E94" t="s">
        <v>306</v>
      </c>
      <c r="F94" t="s">
        <v>241</v>
      </c>
      <c r="G94">
        <v>5</v>
      </c>
      <c r="H94">
        <v>4</v>
      </c>
      <c r="I94" s="44">
        <v>0.8</v>
      </c>
      <c r="J94">
        <v>57</v>
      </c>
      <c r="K94">
        <v>52</v>
      </c>
      <c r="L94">
        <v>3</v>
      </c>
      <c r="M94" s="44">
        <v>0.9123</v>
      </c>
      <c r="N94" s="44">
        <f t="shared" si="1"/>
        <v>0.83635454545454557</v>
      </c>
      <c r="O94" s="44">
        <v>1</v>
      </c>
      <c r="P94" s="44">
        <v>0.96360000000000001</v>
      </c>
      <c r="Q94" s="44">
        <v>0.2545</v>
      </c>
      <c r="R94" s="44">
        <v>1</v>
      </c>
      <c r="S94" s="44">
        <v>0.2</v>
      </c>
      <c r="T94" s="44">
        <v>1</v>
      </c>
      <c r="U94" s="44">
        <v>1</v>
      </c>
      <c r="V94" s="44">
        <v>1</v>
      </c>
      <c r="W94" s="44">
        <v>1</v>
      </c>
      <c r="X94" s="44">
        <v>1</v>
      </c>
      <c r="Y94" s="44">
        <v>0.78180000000000005</v>
      </c>
      <c r="Z94" s="44">
        <v>0.67269999999999996</v>
      </c>
      <c r="AA94" s="44">
        <v>0.69089999999999996</v>
      </c>
      <c r="AB94" s="44">
        <v>0.1091</v>
      </c>
      <c r="AC94" s="44">
        <v>0.1091</v>
      </c>
      <c r="AD94" s="44">
        <v>9.0899999999999995E-2</v>
      </c>
      <c r="AE94">
        <v>26</v>
      </c>
      <c r="AF94">
        <v>12</v>
      </c>
      <c r="AG94" s="44">
        <v>0.46150000000000002</v>
      </c>
      <c r="AH94" s="44">
        <v>0.79730000000000001</v>
      </c>
    </row>
    <row r="95" spans="1:34" x14ac:dyDescent="0.25">
      <c r="A95">
        <v>104</v>
      </c>
      <c r="B95">
        <v>16818</v>
      </c>
      <c r="C95" t="s">
        <v>108</v>
      </c>
      <c r="D95" t="s">
        <v>334</v>
      </c>
      <c r="E95" t="s">
        <v>205</v>
      </c>
      <c r="F95" t="s">
        <v>243</v>
      </c>
      <c r="G95">
        <v>17</v>
      </c>
      <c r="H95">
        <v>15</v>
      </c>
      <c r="I95" s="44">
        <v>0.88239999999999996</v>
      </c>
      <c r="J95">
        <v>131</v>
      </c>
      <c r="K95">
        <v>108</v>
      </c>
      <c r="L95">
        <v>3</v>
      </c>
      <c r="M95" s="44">
        <v>0.82440000000000002</v>
      </c>
      <c r="N95" s="44">
        <f t="shared" si="1"/>
        <v>0.79444545454545434</v>
      </c>
      <c r="O95" s="44">
        <v>0.99099999999999999</v>
      </c>
      <c r="P95" s="44">
        <v>0.95499999999999996</v>
      </c>
      <c r="Q95" s="44">
        <v>0</v>
      </c>
      <c r="R95" s="44">
        <v>0.99099999999999999</v>
      </c>
      <c r="S95" s="44">
        <v>9.01E-2</v>
      </c>
      <c r="T95" s="44">
        <v>0.99099999999999999</v>
      </c>
      <c r="U95" s="44">
        <v>0.99099999999999999</v>
      </c>
      <c r="V95" s="44">
        <v>0.99099999999999999</v>
      </c>
      <c r="W95" s="44">
        <v>0.99099999999999999</v>
      </c>
      <c r="X95" s="44">
        <v>0.99099999999999999</v>
      </c>
      <c r="Y95" s="44">
        <v>0.75680000000000003</v>
      </c>
      <c r="Z95" s="44">
        <v>0.72970000000000002</v>
      </c>
      <c r="AA95" s="44">
        <v>0.73870000000000002</v>
      </c>
      <c r="AB95" s="44">
        <v>0.23419999999999999</v>
      </c>
      <c r="AC95" s="44">
        <v>0.23419999999999999</v>
      </c>
      <c r="AD95" s="44">
        <v>0.23419999999999999</v>
      </c>
      <c r="AE95">
        <v>37</v>
      </c>
      <c r="AF95">
        <v>32</v>
      </c>
      <c r="AG95" s="44">
        <v>0.8649</v>
      </c>
      <c r="AH95" s="44">
        <v>0.79620000000000002</v>
      </c>
    </row>
    <row r="96" spans="1:34" x14ac:dyDescent="0.25">
      <c r="A96">
        <v>105</v>
      </c>
      <c r="B96">
        <v>16828</v>
      </c>
      <c r="C96" t="s">
        <v>175</v>
      </c>
      <c r="D96" t="s">
        <v>334</v>
      </c>
      <c r="E96" t="s">
        <v>301</v>
      </c>
      <c r="F96" t="s">
        <v>243</v>
      </c>
      <c r="G96">
        <v>17</v>
      </c>
      <c r="H96">
        <v>16</v>
      </c>
      <c r="I96" s="44">
        <v>0.94120000000000004</v>
      </c>
      <c r="J96">
        <v>111</v>
      </c>
      <c r="K96">
        <v>99</v>
      </c>
      <c r="L96">
        <v>3</v>
      </c>
      <c r="M96" s="44">
        <v>0.89190000000000003</v>
      </c>
      <c r="N96" s="44">
        <f t="shared" si="1"/>
        <v>0.80481818181818177</v>
      </c>
      <c r="O96" s="44">
        <v>1</v>
      </c>
      <c r="P96" s="44">
        <v>0.95099999999999996</v>
      </c>
      <c r="Q96" s="44">
        <v>0.17649999999999999</v>
      </c>
      <c r="R96" s="44">
        <v>1</v>
      </c>
      <c r="S96" s="44">
        <v>0.43140000000000001</v>
      </c>
      <c r="T96" s="44">
        <v>1</v>
      </c>
      <c r="U96" s="44">
        <v>1</v>
      </c>
      <c r="V96" s="44">
        <v>1</v>
      </c>
      <c r="W96" s="44">
        <v>1</v>
      </c>
      <c r="X96" s="44">
        <v>1</v>
      </c>
      <c r="Y96" s="44">
        <v>0.29409999999999997</v>
      </c>
      <c r="Z96" s="44">
        <v>0</v>
      </c>
      <c r="AA96" s="44">
        <v>0</v>
      </c>
      <c r="AB96" s="44">
        <v>9.7999999999999997E-3</v>
      </c>
      <c r="AC96" s="44">
        <v>9.7999999999999997E-3</v>
      </c>
      <c r="AD96" s="44">
        <v>9.7999999999999997E-3</v>
      </c>
      <c r="AE96">
        <v>55</v>
      </c>
      <c r="AF96">
        <v>48</v>
      </c>
      <c r="AG96" s="44">
        <v>0.87270000000000003</v>
      </c>
      <c r="AH96" s="44">
        <v>0.79610000000000003</v>
      </c>
    </row>
    <row r="97" spans="1:34" x14ac:dyDescent="0.25">
      <c r="A97">
        <v>106</v>
      </c>
      <c r="B97">
        <v>16796</v>
      </c>
      <c r="C97" t="s">
        <v>80</v>
      </c>
      <c r="D97" t="s">
        <v>334</v>
      </c>
      <c r="E97" t="s">
        <v>203</v>
      </c>
      <c r="F97" t="s">
        <v>243</v>
      </c>
      <c r="G97">
        <v>25</v>
      </c>
      <c r="H97">
        <v>24</v>
      </c>
      <c r="I97" s="44">
        <v>0.96</v>
      </c>
      <c r="J97">
        <v>116</v>
      </c>
      <c r="K97">
        <v>104</v>
      </c>
      <c r="L97">
        <v>4</v>
      </c>
      <c r="M97" s="44">
        <v>0.89659999999999995</v>
      </c>
      <c r="N97" s="44">
        <f t="shared" si="1"/>
        <v>0.77189090909090907</v>
      </c>
      <c r="O97" s="44">
        <v>1</v>
      </c>
      <c r="P97" s="44">
        <v>0.96299999999999997</v>
      </c>
      <c r="Q97" s="44">
        <v>0.21299999999999999</v>
      </c>
      <c r="R97" s="44">
        <v>1</v>
      </c>
      <c r="S97" s="44">
        <v>6.4799999999999996E-2</v>
      </c>
      <c r="T97" s="44">
        <v>1</v>
      </c>
      <c r="U97" s="44">
        <v>1</v>
      </c>
      <c r="V97" s="44">
        <v>1</v>
      </c>
      <c r="W97" s="44">
        <v>1</v>
      </c>
      <c r="X97" s="44">
        <v>1</v>
      </c>
      <c r="Y97" s="44">
        <v>0.25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>
        <v>22</v>
      </c>
      <c r="AF97">
        <v>3</v>
      </c>
      <c r="AG97" s="44">
        <v>0.13639999999999999</v>
      </c>
      <c r="AH97" s="44">
        <v>0.79579999999999995</v>
      </c>
    </row>
    <row r="98" spans="1:34" x14ac:dyDescent="0.25">
      <c r="A98">
        <v>107</v>
      </c>
      <c r="B98">
        <v>16839</v>
      </c>
      <c r="C98" t="s">
        <v>109</v>
      </c>
      <c r="D98" t="s">
        <v>334</v>
      </c>
      <c r="E98" t="s">
        <v>205</v>
      </c>
      <c r="F98" t="s">
        <v>243</v>
      </c>
      <c r="G98">
        <v>21</v>
      </c>
      <c r="H98">
        <v>21</v>
      </c>
      <c r="I98" s="44">
        <v>1</v>
      </c>
      <c r="J98">
        <v>136</v>
      </c>
      <c r="K98">
        <v>115</v>
      </c>
      <c r="L98">
        <v>9</v>
      </c>
      <c r="M98" s="44">
        <v>0.84560000000000002</v>
      </c>
      <c r="N98" s="44">
        <f t="shared" si="1"/>
        <v>0.75879090909090907</v>
      </c>
      <c r="O98" s="44">
        <v>1</v>
      </c>
      <c r="P98" s="44">
        <v>0.9677</v>
      </c>
      <c r="Q98" s="44">
        <v>1.61E-2</v>
      </c>
      <c r="R98" s="44">
        <v>1</v>
      </c>
      <c r="S98" s="44">
        <v>0.1129</v>
      </c>
      <c r="T98" s="44">
        <v>1</v>
      </c>
      <c r="U98" s="44">
        <v>1</v>
      </c>
      <c r="V98" s="44">
        <v>1</v>
      </c>
      <c r="W98" s="44">
        <v>1</v>
      </c>
      <c r="X98" s="44">
        <v>1</v>
      </c>
      <c r="Y98" s="44">
        <v>0.25</v>
      </c>
      <c r="Z98" s="44">
        <v>0.1613</v>
      </c>
      <c r="AA98" s="44">
        <v>8.0600000000000005E-2</v>
      </c>
      <c r="AB98" s="44">
        <v>0</v>
      </c>
      <c r="AC98" s="44">
        <v>8.0999999999999996E-3</v>
      </c>
      <c r="AD98" s="44">
        <v>1.61E-2</v>
      </c>
      <c r="AE98">
        <v>38</v>
      </c>
      <c r="AF98">
        <v>33</v>
      </c>
      <c r="AG98" s="44">
        <v>0.86839999999999995</v>
      </c>
      <c r="AH98" s="44">
        <v>0.79459999999999997</v>
      </c>
    </row>
    <row r="99" spans="1:34" x14ac:dyDescent="0.25">
      <c r="A99">
        <v>108</v>
      </c>
      <c r="B99">
        <v>16826</v>
      </c>
      <c r="C99" t="s">
        <v>181</v>
      </c>
      <c r="D99" t="s">
        <v>334</v>
      </c>
      <c r="E99" t="s">
        <v>301</v>
      </c>
      <c r="F99" t="s">
        <v>243</v>
      </c>
      <c r="G99">
        <v>15</v>
      </c>
      <c r="H99">
        <v>14</v>
      </c>
      <c r="I99" s="44">
        <v>0.93330000000000002</v>
      </c>
      <c r="J99">
        <v>94</v>
      </c>
      <c r="K99">
        <v>86</v>
      </c>
      <c r="L99">
        <v>8</v>
      </c>
      <c r="M99" s="44">
        <v>0.91490000000000005</v>
      </c>
      <c r="N99" s="44">
        <f t="shared" si="1"/>
        <v>0.76791818181818183</v>
      </c>
      <c r="O99" s="44">
        <v>1</v>
      </c>
      <c r="P99" s="44">
        <v>0.96809999999999996</v>
      </c>
      <c r="Q99" s="44">
        <v>0.12770000000000001</v>
      </c>
      <c r="R99" s="44">
        <v>1</v>
      </c>
      <c r="S99" s="44">
        <v>0.12770000000000001</v>
      </c>
      <c r="T99" s="44">
        <v>0.98939999999999995</v>
      </c>
      <c r="U99" s="44">
        <v>0.98939999999999995</v>
      </c>
      <c r="V99" s="44">
        <v>0.98939999999999995</v>
      </c>
      <c r="W99" s="44">
        <v>0.98939999999999995</v>
      </c>
      <c r="X99" s="44">
        <v>0.98939999999999995</v>
      </c>
      <c r="Y99" s="44">
        <v>0.27660000000000001</v>
      </c>
      <c r="Z99" s="44">
        <v>4.2599999999999999E-2</v>
      </c>
      <c r="AA99" s="44">
        <v>4.2599999999999999E-2</v>
      </c>
      <c r="AB99" s="44">
        <v>0</v>
      </c>
      <c r="AC99" s="44">
        <v>0</v>
      </c>
      <c r="AD99" s="44">
        <v>0</v>
      </c>
      <c r="AE99">
        <v>29</v>
      </c>
      <c r="AF99">
        <v>25</v>
      </c>
      <c r="AG99" s="44">
        <v>0.86209999999999998</v>
      </c>
      <c r="AH99" s="44">
        <v>0.79379999999999995</v>
      </c>
    </row>
    <row r="100" spans="1:34" x14ac:dyDescent="0.25">
      <c r="A100">
        <v>109</v>
      </c>
      <c r="B100">
        <v>17106</v>
      </c>
      <c r="C100" t="s">
        <v>183</v>
      </c>
      <c r="D100" t="s">
        <v>334</v>
      </c>
      <c r="E100" t="s">
        <v>310</v>
      </c>
      <c r="F100" t="s">
        <v>242</v>
      </c>
      <c r="G100">
        <v>12</v>
      </c>
      <c r="H100">
        <v>12</v>
      </c>
      <c r="I100" s="44">
        <v>1</v>
      </c>
      <c r="J100">
        <v>104</v>
      </c>
      <c r="K100">
        <v>87</v>
      </c>
      <c r="L100">
        <v>3</v>
      </c>
      <c r="M100" s="44">
        <v>0.83650000000000002</v>
      </c>
      <c r="N100" s="44">
        <f t="shared" si="1"/>
        <v>0.72020909090909091</v>
      </c>
      <c r="O100" s="44">
        <v>0.9889</v>
      </c>
      <c r="P100" s="44">
        <v>0.9556</v>
      </c>
      <c r="Q100" s="44">
        <v>1.11E-2</v>
      </c>
      <c r="R100" s="44">
        <v>0.9889</v>
      </c>
      <c r="S100" s="44">
        <v>2.2200000000000001E-2</v>
      </c>
      <c r="T100" s="44">
        <v>0.88890000000000002</v>
      </c>
      <c r="U100" s="44">
        <v>0.9778</v>
      </c>
      <c r="V100" s="44">
        <v>0.88890000000000002</v>
      </c>
      <c r="W100" s="44">
        <v>0.92220000000000002</v>
      </c>
      <c r="X100" s="44">
        <v>0.88890000000000002</v>
      </c>
      <c r="Y100" s="44">
        <v>0.38890000000000002</v>
      </c>
      <c r="Z100" s="44">
        <v>0.38890000000000002</v>
      </c>
      <c r="AA100" s="44">
        <v>0.38890000000000002</v>
      </c>
      <c r="AB100" s="44">
        <v>0</v>
      </c>
      <c r="AC100" s="44">
        <v>0</v>
      </c>
      <c r="AD100" s="44">
        <v>0</v>
      </c>
      <c r="AE100">
        <v>47</v>
      </c>
      <c r="AF100">
        <v>2</v>
      </c>
      <c r="AG100" s="44">
        <v>4.2599999999999999E-2</v>
      </c>
      <c r="AH100" s="44">
        <v>0.79339999999999999</v>
      </c>
    </row>
    <row r="101" spans="1:34" x14ac:dyDescent="0.25">
      <c r="A101">
        <v>110</v>
      </c>
      <c r="B101">
        <v>16790</v>
      </c>
      <c r="C101" t="s">
        <v>164</v>
      </c>
      <c r="D101" t="s">
        <v>334</v>
      </c>
      <c r="E101" t="s">
        <v>209</v>
      </c>
      <c r="F101" t="s">
        <v>243</v>
      </c>
      <c r="G101">
        <v>8</v>
      </c>
      <c r="H101">
        <v>8</v>
      </c>
      <c r="I101" s="44">
        <v>1</v>
      </c>
      <c r="J101">
        <v>60</v>
      </c>
      <c r="K101">
        <v>51</v>
      </c>
      <c r="L101">
        <v>3</v>
      </c>
      <c r="M101" s="44">
        <v>0.85</v>
      </c>
      <c r="N101" s="44">
        <f t="shared" si="1"/>
        <v>0.76262727272727271</v>
      </c>
      <c r="O101" s="44">
        <v>1</v>
      </c>
      <c r="P101" s="44">
        <v>1</v>
      </c>
      <c r="Q101" s="44">
        <v>0</v>
      </c>
      <c r="R101" s="44">
        <v>1</v>
      </c>
      <c r="S101" s="44">
        <v>0.12959999999999999</v>
      </c>
      <c r="T101" s="44">
        <v>1</v>
      </c>
      <c r="U101" s="44">
        <v>1</v>
      </c>
      <c r="V101" s="44">
        <v>1</v>
      </c>
      <c r="W101" s="44">
        <v>1</v>
      </c>
      <c r="X101" s="44">
        <v>1</v>
      </c>
      <c r="Y101" s="44">
        <v>0.25929999999999997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>
        <v>16</v>
      </c>
      <c r="AF101">
        <v>9</v>
      </c>
      <c r="AG101" s="44">
        <v>0.5625</v>
      </c>
      <c r="AH101" s="44">
        <v>0.79139999999999999</v>
      </c>
    </row>
    <row r="102" spans="1:34" x14ac:dyDescent="0.25">
      <c r="A102">
        <v>111</v>
      </c>
      <c r="B102">
        <v>17164</v>
      </c>
      <c r="C102" t="s">
        <v>92</v>
      </c>
      <c r="D102" t="s">
        <v>334</v>
      </c>
      <c r="E102" t="s">
        <v>307</v>
      </c>
      <c r="F102" t="s">
        <v>242</v>
      </c>
      <c r="G102">
        <v>13</v>
      </c>
      <c r="H102">
        <v>11</v>
      </c>
      <c r="I102" s="44">
        <v>0.84619999999999995</v>
      </c>
      <c r="J102">
        <v>84</v>
      </c>
      <c r="K102">
        <v>69</v>
      </c>
      <c r="L102">
        <v>2</v>
      </c>
      <c r="M102" s="44">
        <v>0.82140000000000002</v>
      </c>
      <c r="N102" s="44">
        <f t="shared" si="1"/>
        <v>0.82714545454545452</v>
      </c>
      <c r="O102" s="44">
        <v>1</v>
      </c>
      <c r="P102" s="44">
        <v>0.9718</v>
      </c>
      <c r="Q102" s="44">
        <v>0.21129999999999999</v>
      </c>
      <c r="R102" s="44">
        <v>1</v>
      </c>
      <c r="S102" s="44">
        <v>0.1268</v>
      </c>
      <c r="T102" s="44">
        <v>1</v>
      </c>
      <c r="U102" s="44">
        <v>1</v>
      </c>
      <c r="V102" s="44">
        <v>1</v>
      </c>
      <c r="W102" s="44">
        <v>1</v>
      </c>
      <c r="X102" s="44">
        <v>1</v>
      </c>
      <c r="Y102" s="44">
        <v>0.78869999999999996</v>
      </c>
      <c r="Z102" s="44">
        <v>0.76060000000000005</v>
      </c>
      <c r="AA102" s="44">
        <v>0.78869999999999996</v>
      </c>
      <c r="AB102" s="44">
        <v>0.21129999999999999</v>
      </c>
      <c r="AC102" s="44">
        <v>0.21129999999999999</v>
      </c>
      <c r="AD102" s="44">
        <v>0.21129999999999999</v>
      </c>
      <c r="AE102">
        <v>14</v>
      </c>
      <c r="AF102">
        <v>1</v>
      </c>
      <c r="AG102" s="44">
        <v>7.1400000000000005E-2</v>
      </c>
      <c r="AH102" s="44">
        <v>0.79090000000000005</v>
      </c>
    </row>
    <row r="103" spans="1:34" x14ac:dyDescent="0.25">
      <c r="A103">
        <v>112</v>
      </c>
      <c r="B103">
        <v>16902</v>
      </c>
      <c r="C103" t="s">
        <v>150</v>
      </c>
      <c r="D103" t="s">
        <v>334</v>
      </c>
      <c r="E103" t="s">
        <v>208</v>
      </c>
      <c r="F103" t="s">
        <v>243</v>
      </c>
      <c r="G103">
        <v>11</v>
      </c>
      <c r="H103">
        <v>10</v>
      </c>
      <c r="I103" s="44">
        <v>0.90910000000000002</v>
      </c>
      <c r="J103">
        <v>87</v>
      </c>
      <c r="K103">
        <v>80</v>
      </c>
      <c r="L103">
        <v>3</v>
      </c>
      <c r="M103" s="44">
        <v>0.91949999999999998</v>
      </c>
      <c r="N103" s="44">
        <f t="shared" si="1"/>
        <v>0.77765454545454549</v>
      </c>
      <c r="O103" s="44">
        <v>1</v>
      </c>
      <c r="P103" s="44">
        <v>0.97589999999999999</v>
      </c>
      <c r="Q103" s="44">
        <v>0.1807</v>
      </c>
      <c r="R103" s="44">
        <v>1</v>
      </c>
      <c r="S103" s="44">
        <v>0.13250000000000001</v>
      </c>
      <c r="T103" s="44">
        <v>1</v>
      </c>
      <c r="U103" s="44">
        <v>1</v>
      </c>
      <c r="V103" s="44">
        <v>1</v>
      </c>
      <c r="W103" s="44">
        <v>1</v>
      </c>
      <c r="X103" s="44">
        <v>1</v>
      </c>
      <c r="Y103" s="44">
        <v>0.2651</v>
      </c>
      <c r="Z103" s="44">
        <v>1.2E-2</v>
      </c>
      <c r="AA103" s="44">
        <v>1.2E-2</v>
      </c>
      <c r="AB103" s="44">
        <v>2.41E-2</v>
      </c>
      <c r="AC103" s="44">
        <v>1.2E-2</v>
      </c>
      <c r="AD103" s="44">
        <v>1.2E-2</v>
      </c>
      <c r="AE103">
        <v>32</v>
      </c>
      <c r="AF103">
        <v>18</v>
      </c>
      <c r="AG103" s="44">
        <v>0.5625</v>
      </c>
      <c r="AH103" s="44">
        <v>0.7893</v>
      </c>
    </row>
    <row r="104" spans="1:34" x14ac:dyDescent="0.25">
      <c r="A104">
        <v>113</v>
      </c>
      <c r="B104">
        <v>16687</v>
      </c>
      <c r="C104" t="s">
        <v>101</v>
      </c>
      <c r="D104" t="s">
        <v>334</v>
      </c>
      <c r="E104" t="s">
        <v>205</v>
      </c>
      <c r="F104" t="s">
        <v>243</v>
      </c>
      <c r="G104">
        <v>25</v>
      </c>
      <c r="H104">
        <v>23</v>
      </c>
      <c r="I104" s="44">
        <v>0.92</v>
      </c>
      <c r="J104">
        <v>137</v>
      </c>
      <c r="K104">
        <v>123</v>
      </c>
      <c r="L104">
        <v>5</v>
      </c>
      <c r="M104" s="44">
        <v>0.89780000000000004</v>
      </c>
      <c r="N104" s="44">
        <f t="shared" si="1"/>
        <v>0.79049090909090902</v>
      </c>
      <c r="O104" s="44">
        <v>1</v>
      </c>
      <c r="P104" s="44">
        <v>0.97660000000000002</v>
      </c>
      <c r="Q104" s="44">
        <v>0.2422</v>
      </c>
      <c r="R104" s="44">
        <v>1</v>
      </c>
      <c r="S104" s="44">
        <v>0.1719</v>
      </c>
      <c r="T104" s="44">
        <v>1</v>
      </c>
      <c r="U104" s="44">
        <v>1</v>
      </c>
      <c r="V104" s="44">
        <v>1</v>
      </c>
      <c r="W104" s="44">
        <v>1</v>
      </c>
      <c r="X104" s="44">
        <v>1</v>
      </c>
      <c r="Y104" s="44">
        <v>0.30470000000000003</v>
      </c>
      <c r="Z104" s="44">
        <v>7.7999999999999996E-3</v>
      </c>
      <c r="AA104" s="44">
        <v>7.7999999999999996E-3</v>
      </c>
      <c r="AB104" s="44">
        <v>0</v>
      </c>
      <c r="AC104" s="44">
        <v>0</v>
      </c>
      <c r="AD104" s="44">
        <v>0</v>
      </c>
      <c r="AE104">
        <v>57</v>
      </c>
      <c r="AF104">
        <v>51</v>
      </c>
      <c r="AG104" s="44">
        <v>0.89470000000000005</v>
      </c>
      <c r="AH104" s="44">
        <v>0.78739999999999999</v>
      </c>
    </row>
    <row r="105" spans="1:34" x14ac:dyDescent="0.25">
      <c r="A105">
        <v>114</v>
      </c>
      <c r="B105">
        <v>16794</v>
      </c>
      <c r="C105" t="s">
        <v>78</v>
      </c>
      <c r="D105" t="s">
        <v>334</v>
      </c>
      <c r="E105" t="s">
        <v>203</v>
      </c>
      <c r="F105" t="s">
        <v>243</v>
      </c>
      <c r="G105">
        <v>25</v>
      </c>
      <c r="H105">
        <v>25</v>
      </c>
      <c r="I105" s="44">
        <v>1</v>
      </c>
      <c r="J105">
        <v>127</v>
      </c>
      <c r="K105">
        <v>80</v>
      </c>
      <c r="L105">
        <v>0</v>
      </c>
      <c r="M105" s="44">
        <v>0.62990000000000002</v>
      </c>
      <c r="N105" s="44">
        <f t="shared" si="1"/>
        <v>0.85227272727272729</v>
      </c>
      <c r="O105" s="44">
        <v>1</v>
      </c>
      <c r="P105" s="44">
        <v>1</v>
      </c>
      <c r="Q105" s="44">
        <v>0.47499999999999998</v>
      </c>
      <c r="R105" s="44">
        <v>1</v>
      </c>
      <c r="S105" s="44">
        <v>0.21249999999999999</v>
      </c>
      <c r="T105" s="44">
        <v>1</v>
      </c>
      <c r="U105" s="44">
        <v>1</v>
      </c>
      <c r="V105" s="44">
        <v>1</v>
      </c>
      <c r="W105" s="44">
        <v>1</v>
      </c>
      <c r="X105" s="44">
        <v>1</v>
      </c>
      <c r="Y105" s="44">
        <v>0.6875</v>
      </c>
      <c r="Z105" s="44">
        <v>0.65</v>
      </c>
      <c r="AA105" s="44">
        <v>0.63749999999999996</v>
      </c>
      <c r="AB105" s="44">
        <v>0.35</v>
      </c>
      <c r="AC105" s="44">
        <v>0.35</v>
      </c>
      <c r="AD105" s="44">
        <v>0.35</v>
      </c>
      <c r="AE105">
        <v>24</v>
      </c>
      <c r="AF105">
        <v>1</v>
      </c>
      <c r="AG105" s="44">
        <v>4.1700000000000001E-2</v>
      </c>
      <c r="AH105" s="44">
        <v>0.7873</v>
      </c>
    </row>
    <row r="106" spans="1:34" x14ac:dyDescent="0.25">
      <c r="A106">
        <v>115</v>
      </c>
      <c r="B106">
        <v>16779</v>
      </c>
      <c r="C106" t="s">
        <v>115</v>
      </c>
      <c r="D106" t="s">
        <v>334</v>
      </c>
      <c r="E106" t="s">
        <v>311</v>
      </c>
      <c r="F106" t="s">
        <v>243</v>
      </c>
      <c r="G106">
        <v>15</v>
      </c>
      <c r="H106">
        <v>15</v>
      </c>
      <c r="I106" s="44">
        <v>1</v>
      </c>
      <c r="J106">
        <v>71</v>
      </c>
      <c r="K106">
        <v>59</v>
      </c>
      <c r="L106">
        <v>3</v>
      </c>
      <c r="M106" s="44">
        <v>0.83099999999999996</v>
      </c>
      <c r="N106" s="44">
        <f t="shared" si="1"/>
        <v>0.75952727272727261</v>
      </c>
      <c r="O106" s="44">
        <v>1</v>
      </c>
      <c r="P106" s="44">
        <v>0.9839</v>
      </c>
      <c r="Q106" s="44">
        <v>1.61E-2</v>
      </c>
      <c r="R106" s="44">
        <v>1</v>
      </c>
      <c r="S106" s="44">
        <v>6.4500000000000002E-2</v>
      </c>
      <c r="T106" s="44">
        <v>1</v>
      </c>
      <c r="U106" s="44">
        <v>1</v>
      </c>
      <c r="V106" s="44">
        <v>1</v>
      </c>
      <c r="W106" s="44">
        <v>1</v>
      </c>
      <c r="X106" s="44">
        <v>1</v>
      </c>
      <c r="Y106" s="44">
        <v>0.2903</v>
      </c>
      <c r="Z106" s="44">
        <v>0</v>
      </c>
      <c r="AA106" s="44">
        <v>0</v>
      </c>
      <c r="AB106" s="44">
        <v>0</v>
      </c>
      <c r="AC106" s="44">
        <v>0</v>
      </c>
      <c r="AD106" s="44">
        <v>0</v>
      </c>
      <c r="AE106">
        <v>57</v>
      </c>
      <c r="AF106">
        <v>4</v>
      </c>
      <c r="AG106" s="44">
        <v>7.0199999999999999E-2</v>
      </c>
      <c r="AH106" s="44">
        <v>0.78439999999999999</v>
      </c>
    </row>
    <row r="107" spans="1:34" x14ac:dyDescent="0.25">
      <c r="A107">
        <v>116</v>
      </c>
      <c r="B107">
        <v>16795</v>
      </c>
      <c r="C107" t="s">
        <v>79</v>
      </c>
      <c r="D107" t="s">
        <v>334</v>
      </c>
      <c r="E107" t="s">
        <v>203</v>
      </c>
      <c r="F107" t="s">
        <v>243</v>
      </c>
      <c r="G107">
        <v>27</v>
      </c>
      <c r="H107">
        <v>26</v>
      </c>
      <c r="I107" s="44">
        <v>0.96299999999999997</v>
      </c>
      <c r="J107">
        <v>125</v>
      </c>
      <c r="K107">
        <v>83</v>
      </c>
      <c r="L107">
        <v>6</v>
      </c>
      <c r="M107" s="44">
        <v>0.66400000000000003</v>
      </c>
      <c r="N107" s="44">
        <f t="shared" si="1"/>
        <v>0.87129090909090923</v>
      </c>
      <c r="O107" s="44">
        <v>1</v>
      </c>
      <c r="P107" s="44">
        <v>0.94379999999999997</v>
      </c>
      <c r="Q107" s="44">
        <v>0.59550000000000003</v>
      </c>
      <c r="R107" s="44">
        <v>1</v>
      </c>
      <c r="S107" s="44">
        <v>0.20219999999999999</v>
      </c>
      <c r="T107" s="44">
        <v>1</v>
      </c>
      <c r="U107" s="44">
        <v>1</v>
      </c>
      <c r="V107" s="44">
        <v>1</v>
      </c>
      <c r="W107" s="44">
        <v>1</v>
      </c>
      <c r="X107" s="44">
        <v>1</v>
      </c>
      <c r="Y107" s="44">
        <v>0.8427</v>
      </c>
      <c r="Z107" s="44">
        <v>0.8427</v>
      </c>
      <c r="AA107" s="44">
        <v>0.83150000000000002</v>
      </c>
      <c r="AB107" s="44">
        <v>0.1124</v>
      </c>
      <c r="AC107" s="44">
        <v>0.1124</v>
      </c>
      <c r="AD107" s="44">
        <v>0.1124</v>
      </c>
      <c r="AE107">
        <v>20</v>
      </c>
      <c r="AF107">
        <v>3</v>
      </c>
      <c r="AG107" s="44">
        <v>0.15</v>
      </c>
      <c r="AH107" s="44">
        <v>0.78390000000000004</v>
      </c>
    </row>
    <row r="108" spans="1:34" x14ac:dyDescent="0.25">
      <c r="A108">
        <v>117</v>
      </c>
      <c r="B108">
        <v>17093</v>
      </c>
      <c r="C108" t="s">
        <v>46</v>
      </c>
      <c r="D108" t="s">
        <v>334</v>
      </c>
      <c r="E108" t="s">
        <v>309</v>
      </c>
      <c r="F108" t="s">
        <v>242</v>
      </c>
      <c r="G108">
        <v>21</v>
      </c>
      <c r="H108">
        <v>20</v>
      </c>
      <c r="I108" s="44">
        <v>0.95240000000000002</v>
      </c>
      <c r="J108">
        <v>124</v>
      </c>
      <c r="K108">
        <v>108</v>
      </c>
      <c r="L108">
        <v>5</v>
      </c>
      <c r="M108" s="44">
        <v>0.871</v>
      </c>
      <c r="N108" s="44">
        <f t="shared" si="1"/>
        <v>0.7530363636363635</v>
      </c>
      <c r="O108" s="44">
        <v>0.99119999999999997</v>
      </c>
      <c r="P108" s="44">
        <v>0.92920000000000003</v>
      </c>
      <c r="Q108" s="44">
        <v>5.3100000000000001E-2</v>
      </c>
      <c r="R108" s="44">
        <v>0.99119999999999997</v>
      </c>
      <c r="S108" s="44">
        <v>8.8499999999999995E-2</v>
      </c>
      <c r="T108" s="44">
        <v>0.98229999999999995</v>
      </c>
      <c r="U108" s="44">
        <v>0.99119999999999997</v>
      </c>
      <c r="V108" s="44">
        <v>0.98229999999999995</v>
      </c>
      <c r="W108" s="44">
        <v>0.98229999999999995</v>
      </c>
      <c r="X108" s="44">
        <v>0.97350000000000003</v>
      </c>
      <c r="Y108" s="44">
        <v>0.31859999999999999</v>
      </c>
      <c r="Z108" s="44">
        <v>2.6499999999999999E-2</v>
      </c>
      <c r="AA108" s="44">
        <v>1.77E-2</v>
      </c>
      <c r="AB108" s="44">
        <v>1.77E-2</v>
      </c>
      <c r="AC108" s="44">
        <v>1.77E-2</v>
      </c>
      <c r="AD108" s="44">
        <v>1.77E-2</v>
      </c>
      <c r="AE108">
        <v>69</v>
      </c>
      <c r="AF108">
        <v>30</v>
      </c>
      <c r="AG108" s="44">
        <v>0.43480000000000002</v>
      </c>
      <c r="AH108" s="44">
        <v>0.78239999999999998</v>
      </c>
    </row>
    <row r="109" spans="1:34" x14ac:dyDescent="0.25">
      <c r="A109">
        <v>118</v>
      </c>
      <c r="B109">
        <v>16900</v>
      </c>
      <c r="C109" t="s">
        <v>148</v>
      </c>
      <c r="D109" t="s">
        <v>334</v>
      </c>
      <c r="E109" t="s">
        <v>208</v>
      </c>
      <c r="F109" t="s">
        <v>243</v>
      </c>
      <c r="G109">
        <v>15</v>
      </c>
      <c r="H109">
        <v>14</v>
      </c>
      <c r="I109" s="44">
        <v>0.93330000000000002</v>
      </c>
      <c r="J109">
        <v>94</v>
      </c>
      <c r="K109">
        <v>83</v>
      </c>
      <c r="L109">
        <v>2</v>
      </c>
      <c r="M109" s="44">
        <v>0.88300000000000001</v>
      </c>
      <c r="N109" s="44">
        <f t="shared" si="1"/>
        <v>0.76468181818181824</v>
      </c>
      <c r="O109" s="44">
        <v>0.98819999999999997</v>
      </c>
      <c r="P109" s="44">
        <v>0.95289999999999997</v>
      </c>
      <c r="Q109" s="44">
        <v>0.14119999999999999</v>
      </c>
      <c r="R109" s="44">
        <v>0.98819999999999997</v>
      </c>
      <c r="S109" s="44">
        <v>0.10589999999999999</v>
      </c>
      <c r="T109" s="44">
        <v>0.98819999999999997</v>
      </c>
      <c r="U109" s="44">
        <v>0.98819999999999997</v>
      </c>
      <c r="V109" s="44">
        <v>0.98819999999999997</v>
      </c>
      <c r="W109" s="44">
        <v>0.98819999999999997</v>
      </c>
      <c r="X109" s="44">
        <v>0.98819999999999997</v>
      </c>
      <c r="Y109" s="44">
        <v>0.29409999999999997</v>
      </c>
      <c r="Z109" s="44">
        <v>0</v>
      </c>
      <c r="AA109" s="44">
        <v>0</v>
      </c>
      <c r="AB109" s="44">
        <v>0</v>
      </c>
      <c r="AC109" s="44">
        <v>0</v>
      </c>
      <c r="AD109" s="44">
        <v>0</v>
      </c>
      <c r="AE109">
        <v>24</v>
      </c>
      <c r="AF109">
        <v>23</v>
      </c>
      <c r="AG109" s="44">
        <v>0.95830000000000004</v>
      </c>
      <c r="AH109" s="44">
        <v>0.78069999999999995</v>
      </c>
    </row>
    <row r="110" spans="1:34" x14ac:dyDescent="0.25">
      <c r="A110">
        <v>119</v>
      </c>
      <c r="B110">
        <v>16836</v>
      </c>
      <c r="C110" t="s">
        <v>119</v>
      </c>
      <c r="D110" t="s">
        <v>334</v>
      </c>
      <c r="E110" t="s">
        <v>311</v>
      </c>
      <c r="F110" t="s">
        <v>243</v>
      </c>
      <c r="G110">
        <v>13</v>
      </c>
      <c r="H110">
        <v>13</v>
      </c>
      <c r="I110" s="44">
        <v>1</v>
      </c>
      <c r="J110">
        <v>75</v>
      </c>
      <c r="K110">
        <v>63</v>
      </c>
      <c r="L110">
        <v>1</v>
      </c>
      <c r="M110" s="44">
        <v>0.84</v>
      </c>
      <c r="N110" s="44">
        <f t="shared" si="1"/>
        <v>0.73012727272727274</v>
      </c>
      <c r="O110" s="44">
        <v>0.98440000000000005</v>
      </c>
      <c r="P110" s="44">
        <v>0.95309999999999995</v>
      </c>
      <c r="Q110" s="44">
        <v>0</v>
      </c>
      <c r="R110" s="44">
        <v>0.98440000000000005</v>
      </c>
      <c r="S110" s="44">
        <v>1.5599999999999999E-2</v>
      </c>
      <c r="T110" s="44">
        <v>0.98440000000000005</v>
      </c>
      <c r="U110" s="44">
        <v>0.98440000000000005</v>
      </c>
      <c r="V110" s="44">
        <v>0.98440000000000005</v>
      </c>
      <c r="W110" s="44">
        <v>0.98440000000000005</v>
      </c>
      <c r="X110" s="44">
        <v>0.98440000000000005</v>
      </c>
      <c r="Y110" s="44">
        <v>0.1719</v>
      </c>
      <c r="Z110" s="44">
        <v>0</v>
      </c>
      <c r="AA110" s="44">
        <v>0</v>
      </c>
      <c r="AB110" s="44">
        <v>0</v>
      </c>
      <c r="AC110" s="44">
        <v>0</v>
      </c>
      <c r="AD110" s="44">
        <v>0</v>
      </c>
      <c r="AE110">
        <v>27</v>
      </c>
      <c r="AF110">
        <v>1</v>
      </c>
      <c r="AG110" s="44">
        <v>3.6999999999999998E-2</v>
      </c>
      <c r="AH110" s="44">
        <v>0.78069999999999995</v>
      </c>
    </row>
    <row r="111" spans="1:34" x14ac:dyDescent="0.25">
      <c r="A111">
        <v>120</v>
      </c>
      <c r="B111">
        <v>16793</v>
      </c>
      <c r="C111" t="s">
        <v>167</v>
      </c>
      <c r="D111" t="s">
        <v>334</v>
      </c>
      <c r="E111" t="s">
        <v>209</v>
      </c>
      <c r="F111" t="s">
        <v>243</v>
      </c>
      <c r="G111">
        <v>13</v>
      </c>
      <c r="H111">
        <v>13</v>
      </c>
      <c r="I111" s="44">
        <v>1</v>
      </c>
      <c r="J111">
        <v>87</v>
      </c>
      <c r="K111">
        <v>48</v>
      </c>
      <c r="L111">
        <v>0</v>
      </c>
      <c r="M111" s="44">
        <v>0.55169999999999997</v>
      </c>
      <c r="N111" s="44">
        <f t="shared" si="1"/>
        <v>0.92803636363636377</v>
      </c>
      <c r="O111" s="44">
        <v>1</v>
      </c>
      <c r="P111" s="44">
        <v>1</v>
      </c>
      <c r="Q111" s="44">
        <v>0.97919999999999996</v>
      </c>
      <c r="R111" s="44">
        <v>1</v>
      </c>
      <c r="S111" s="44">
        <v>0.60419999999999996</v>
      </c>
      <c r="T111" s="44">
        <v>1</v>
      </c>
      <c r="U111" s="44">
        <v>1</v>
      </c>
      <c r="V111" s="44">
        <v>1</v>
      </c>
      <c r="W111" s="44">
        <v>1</v>
      </c>
      <c r="X111" s="44">
        <v>1</v>
      </c>
      <c r="Y111" s="44">
        <v>0.625</v>
      </c>
      <c r="Z111" s="44">
        <v>0.58330000000000004</v>
      </c>
      <c r="AA111" s="44">
        <v>0.60419999999999996</v>
      </c>
      <c r="AB111" s="44">
        <v>0.41670000000000001</v>
      </c>
      <c r="AC111" s="44">
        <v>0.41670000000000001</v>
      </c>
      <c r="AD111" s="44">
        <v>0.39579999999999999</v>
      </c>
      <c r="AE111">
        <v>46</v>
      </c>
      <c r="AF111">
        <v>12</v>
      </c>
      <c r="AG111" s="44">
        <v>0.26090000000000002</v>
      </c>
      <c r="AH111" s="44">
        <v>0.78029999999999999</v>
      </c>
    </row>
    <row r="112" spans="1:34" x14ac:dyDescent="0.25">
      <c r="A112">
        <v>121</v>
      </c>
      <c r="B112">
        <v>16899</v>
      </c>
      <c r="C112" t="s">
        <v>147</v>
      </c>
      <c r="D112" t="s">
        <v>334</v>
      </c>
      <c r="E112" t="s">
        <v>208</v>
      </c>
      <c r="F112" t="s">
        <v>243</v>
      </c>
      <c r="G112">
        <v>13</v>
      </c>
      <c r="H112">
        <v>13</v>
      </c>
      <c r="I112" s="44">
        <v>1</v>
      </c>
      <c r="J112">
        <v>88</v>
      </c>
      <c r="K112">
        <v>72</v>
      </c>
      <c r="L112">
        <v>4</v>
      </c>
      <c r="M112" s="44">
        <v>0.81820000000000004</v>
      </c>
      <c r="N112" s="44">
        <f t="shared" si="1"/>
        <v>0.7487818181818181</v>
      </c>
      <c r="O112" s="44">
        <v>0.98680000000000001</v>
      </c>
      <c r="P112" s="44">
        <v>0.94740000000000002</v>
      </c>
      <c r="Q112" s="44">
        <v>0</v>
      </c>
      <c r="R112" s="44">
        <v>0.98680000000000001</v>
      </c>
      <c r="S112" s="44">
        <v>3.95E-2</v>
      </c>
      <c r="T112" s="44">
        <v>0.98680000000000001</v>
      </c>
      <c r="U112" s="44">
        <v>0.98680000000000001</v>
      </c>
      <c r="V112" s="44">
        <v>0.98680000000000001</v>
      </c>
      <c r="W112" s="44">
        <v>0.98680000000000001</v>
      </c>
      <c r="X112" s="44">
        <v>0.98680000000000001</v>
      </c>
      <c r="Y112" s="44">
        <v>0.34210000000000002</v>
      </c>
      <c r="Z112" s="44">
        <v>5.2600000000000001E-2</v>
      </c>
      <c r="AA112" s="44">
        <v>5.2600000000000001E-2</v>
      </c>
      <c r="AB112" s="44">
        <v>0</v>
      </c>
      <c r="AC112" s="44">
        <v>0</v>
      </c>
      <c r="AD112" s="44">
        <v>0</v>
      </c>
      <c r="AE112">
        <v>26</v>
      </c>
      <c r="AF112">
        <v>5</v>
      </c>
      <c r="AG112" s="44">
        <v>0.1923</v>
      </c>
      <c r="AH112" s="44">
        <v>0.77990000000000004</v>
      </c>
    </row>
    <row r="113" spans="1:34" x14ac:dyDescent="0.25">
      <c r="A113">
        <v>122</v>
      </c>
      <c r="B113">
        <v>16805</v>
      </c>
      <c r="C113" t="s">
        <v>61</v>
      </c>
      <c r="D113" t="s">
        <v>334</v>
      </c>
      <c r="E113" t="s">
        <v>202</v>
      </c>
      <c r="F113" t="s">
        <v>243</v>
      </c>
      <c r="G113">
        <v>9</v>
      </c>
      <c r="H113">
        <v>9</v>
      </c>
      <c r="I113" s="44">
        <v>1</v>
      </c>
      <c r="J113">
        <v>98</v>
      </c>
      <c r="K113">
        <v>75</v>
      </c>
      <c r="L113">
        <v>3</v>
      </c>
      <c r="M113" s="44">
        <v>0.76529999999999998</v>
      </c>
      <c r="N113" s="44">
        <f t="shared" si="1"/>
        <v>0.81584545454545454</v>
      </c>
      <c r="O113" s="44">
        <v>1</v>
      </c>
      <c r="P113" s="44">
        <v>0.96150000000000002</v>
      </c>
      <c r="Q113" s="44">
        <v>0.61539999999999995</v>
      </c>
      <c r="R113" s="44">
        <v>1</v>
      </c>
      <c r="S113" s="44">
        <v>2.5600000000000001E-2</v>
      </c>
      <c r="T113" s="44">
        <v>1</v>
      </c>
      <c r="U113" s="44">
        <v>1</v>
      </c>
      <c r="V113" s="44">
        <v>1</v>
      </c>
      <c r="W113" s="44">
        <v>1</v>
      </c>
      <c r="X113" s="44">
        <v>1</v>
      </c>
      <c r="Y113" s="44">
        <v>0.37180000000000002</v>
      </c>
      <c r="Z113" s="44">
        <v>7.6899999999999996E-2</v>
      </c>
      <c r="AA113" s="44">
        <v>3.85E-2</v>
      </c>
      <c r="AB113" s="44">
        <v>3.85E-2</v>
      </c>
      <c r="AC113" s="44">
        <v>1.2800000000000001E-2</v>
      </c>
      <c r="AD113" s="44">
        <v>1.2800000000000001E-2</v>
      </c>
      <c r="AE113">
        <v>19</v>
      </c>
      <c r="AF113">
        <v>2</v>
      </c>
      <c r="AG113" s="44">
        <v>0.1053</v>
      </c>
      <c r="AH113" s="44">
        <v>0.77910000000000001</v>
      </c>
    </row>
    <row r="114" spans="1:34" x14ac:dyDescent="0.25">
      <c r="A114">
        <v>123</v>
      </c>
      <c r="B114">
        <v>16772</v>
      </c>
      <c r="C114" t="s">
        <v>111</v>
      </c>
      <c r="D114" t="s">
        <v>334</v>
      </c>
      <c r="E114" t="s">
        <v>311</v>
      </c>
      <c r="F114" t="s">
        <v>243</v>
      </c>
      <c r="G114">
        <v>13</v>
      </c>
      <c r="H114">
        <v>12</v>
      </c>
      <c r="I114" s="44">
        <v>0.92310000000000003</v>
      </c>
      <c r="J114">
        <v>63</v>
      </c>
      <c r="K114">
        <v>55</v>
      </c>
      <c r="L114">
        <v>2</v>
      </c>
      <c r="M114" s="44">
        <v>0.873</v>
      </c>
      <c r="N114" s="44">
        <f t="shared" si="1"/>
        <v>0.78153636363636358</v>
      </c>
      <c r="O114" s="44">
        <v>0.98250000000000004</v>
      </c>
      <c r="P114" s="44">
        <v>0.94740000000000002</v>
      </c>
      <c r="Q114" s="44">
        <v>0</v>
      </c>
      <c r="R114" s="44">
        <v>0.98250000000000004</v>
      </c>
      <c r="S114" s="44">
        <v>0.1053</v>
      </c>
      <c r="T114" s="44">
        <v>0.98250000000000004</v>
      </c>
      <c r="U114" s="44">
        <v>0.98250000000000004</v>
      </c>
      <c r="V114" s="44">
        <v>0.98250000000000004</v>
      </c>
      <c r="W114" s="44">
        <v>0.98250000000000004</v>
      </c>
      <c r="X114" s="44">
        <v>0.98250000000000004</v>
      </c>
      <c r="Y114" s="44">
        <v>0.66669999999999996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>
        <v>19</v>
      </c>
      <c r="AF114">
        <v>3</v>
      </c>
      <c r="AG114" s="44">
        <v>0.15790000000000001</v>
      </c>
      <c r="AH114" s="44">
        <v>0.77780000000000005</v>
      </c>
    </row>
    <row r="115" spans="1:34" x14ac:dyDescent="0.25">
      <c r="A115">
        <v>124</v>
      </c>
      <c r="B115">
        <v>17137</v>
      </c>
      <c r="C115" t="s">
        <v>139</v>
      </c>
      <c r="D115" t="s">
        <v>334</v>
      </c>
      <c r="E115" t="s">
        <v>207</v>
      </c>
      <c r="F115" t="s">
        <v>241</v>
      </c>
      <c r="G115">
        <v>23</v>
      </c>
      <c r="H115">
        <v>22</v>
      </c>
      <c r="I115" s="44">
        <v>0.95650000000000002</v>
      </c>
      <c r="J115">
        <v>130</v>
      </c>
      <c r="K115">
        <v>104</v>
      </c>
      <c r="L115">
        <v>17</v>
      </c>
      <c r="M115" s="44">
        <v>0.8</v>
      </c>
      <c r="N115" s="44">
        <f t="shared" si="1"/>
        <v>0.79864545454545455</v>
      </c>
      <c r="O115" s="44">
        <v>1</v>
      </c>
      <c r="P115" s="44">
        <v>0.97519999999999996</v>
      </c>
      <c r="Q115" s="44">
        <v>4.1300000000000003E-2</v>
      </c>
      <c r="R115" s="44">
        <v>1</v>
      </c>
      <c r="S115" s="44">
        <v>0.14050000000000001</v>
      </c>
      <c r="T115" s="44">
        <v>1</v>
      </c>
      <c r="U115" s="44">
        <v>1</v>
      </c>
      <c r="V115" s="44">
        <v>1</v>
      </c>
      <c r="W115" s="44">
        <v>1</v>
      </c>
      <c r="X115" s="44">
        <v>1</v>
      </c>
      <c r="Y115" s="44">
        <v>0.62809999999999999</v>
      </c>
      <c r="Z115" s="44">
        <v>9.9199999999999997E-2</v>
      </c>
      <c r="AA115" s="44">
        <v>9.0899999999999995E-2</v>
      </c>
      <c r="AB115" s="44">
        <v>7.4399999999999994E-2</v>
      </c>
      <c r="AC115" s="44">
        <v>6.6100000000000006E-2</v>
      </c>
      <c r="AD115" s="44">
        <v>6.6100000000000006E-2</v>
      </c>
      <c r="AE115">
        <v>27</v>
      </c>
      <c r="AF115">
        <v>15</v>
      </c>
      <c r="AG115" s="44">
        <v>0.55559999999999998</v>
      </c>
      <c r="AH115" s="44">
        <v>0.77680000000000005</v>
      </c>
    </row>
    <row r="116" spans="1:34" x14ac:dyDescent="0.25">
      <c r="A116">
        <v>125</v>
      </c>
      <c r="B116">
        <v>17166</v>
      </c>
      <c r="C116" t="s">
        <v>94</v>
      </c>
      <c r="D116" t="s">
        <v>334</v>
      </c>
      <c r="E116" t="s">
        <v>307</v>
      </c>
      <c r="F116" t="s">
        <v>242</v>
      </c>
      <c r="G116">
        <v>16</v>
      </c>
      <c r="H116">
        <v>16</v>
      </c>
      <c r="I116" s="44">
        <v>1</v>
      </c>
      <c r="J116">
        <v>129</v>
      </c>
      <c r="K116">
        <v>103</v>
      </c>
      <c r="L116">
        <v>9</v>
      </c>
      <c r="M116" s="44">
        <v>0.7984</v>
      </c>
      <c r="N116" s="44">
        <f t="shared" si="1"/>
        <v>0.74595454545454554</v>
      </c>
      <c r="O116" s="44">
        <v>1</v>
      </c>
      <c r="P116" s="44">
        <v>0.97319999999999995</v>
      </c>
      <c r="Q116" s="44">
        <v>0.15179999999999999</v>
      </c>
      <c r="R116" s="44">
        <v>1</v>
      </c>
      <c r="S116" s="44">
        <v>0</v>
      </c>
      <c r="T116" s="44">
        <v>0.95540000000000003</v>
      </c>
      <c r="U116" s="44">
        <v>1</v>
      </c>
      <c r="V116" s="44">
        <v>0.95540000000000003</v>
      </c>
      <c r="W116" s="44">
        <v>0.95540000000000003</v>
      </c>
      <c r="X116" s="44">
        <v>0.95540000000000003</v>
      </c>
      <c r="Y116" s="44">
        <v>0.25890000000000002</v>
      </c>
      <c r="Z116" s="44">
        <v>0.16070000000000001</v>
      </c>
      <c r="AA116" s="44">
        <v>0.1429</v>
      </c>
      <c r="AB116" s="44">
        <v>0</v>
      </c>
      <c r="AC116" s="44">
        <v>0</v>
      </c>
      <c r="AD116" s="44">
        <v>0</v>
      </c>
      <c r="AE116">
        <v>43</v>
      </c>
      <c r="AF116">
        <v>1</v>
      </c>
      <c r="AG116" s="44">
        <v>2.3300000000000001E-2</v>
      </c>
      <c r="AH116" s="44">
        <v>0.77669999999999995</v>
      </c>
    </row>
    <row r="117" spans="1:34" x14ac:dyDescent="0.25">
      <c r="A117">
        <v>126</v>
      </c>
      <c r="B117">
        <v>17138</v>
      </c>
      <c r="C117" t="s">
        <v>140</v>
      </c>
      <c r="D117" t="s">
        <v>334</v>
      </c>
      <c r="E117" t="s">
        <v>207</v>
      </c>
      <c r="F117" t="s">
        <v>241</v>
      </c>
      <c r="G117">
        <v>16</v>
      </c>
      <c r="H117">
        <v>15</v>
      </c>
      <c r="I117" s="44">
        <v>0.9375</v>
      </c>
      <c r="J117">
        <v>105</v>
      </c>
      <c r="K117">
        <v>92</v>
      </c>
      <c r="L117">
        <v>7</v>
      </c>
      <c r="M117" s="44">
        <v>0.87619999999999998</v>
      </c>
      <c r="N117" s="44">
        <f t="shared" si="1"/>
        <v>0.7474727272727274</v>
      </c>
      <c r="O117" s="44">
        <v>0.9798</v>
      </c>
      <c r="P117" s="44">
        <v>0.94950000000000001</v>
      </c>
      <c r="Q117" s="44">
        <v>6.0600000000000001E-2</v>
      </c>
      <c r="R117" s="44">
        <v>0.9798</v>
      </c>
      <c r="S117" s="44">
        <v>9.0899999999999995E-2</v>
      </c>
      <c r="T117" s="44">
        <v>0.9798</v>
      </c>
      <c r="U117" s="44">
        <v>0.9798</v>
      </c>
      <c r="V117" s="44">
        <v>0.9798</v>
      </c>
      <c r="W117" s="44">
        <v>0.9798</v>
      </c>
      <c r="X117" s="44">
        <v>0.9798</v>
      </c>
      <c r="Y117" s="44">
        <v>0.2626</v>
      </c>
      <c r="Z117" s="44">
        <v>2.0199999999999999E-2</v>
      </c>
      <c r="AA117" s="44">
        <v>2.0199999999999999E-2</v>
      </c>
      <c r="AB117" s="44">
        <v>0</v>
      </c>
      <c r="AC117" s="44">
        <v>0</v>
      </c>
      <c r="AD117" s="44">
        <v>0</v>
      </c>
      <c r="AE117">
        <v>32</v>
      </c>
      <c r="AF117">
        <v>15</v>
      </c>
      <c r="AG117" s="44">
        <v>0.46879999999999999</v>
      </c>
      <c r="AH117" s="44">
        <v>0.77669999999999995</v>
      </c>
    </row>
    <row r="118" spans="1:34" x14ac:dyDescent="0.25">
      <c r="A118">
        <v>127</v>
      </c>
      <c r="B118">
        <v>16817</v>
      </c>
      <c r="C118" t="s">
        <v>107</v>
      </c>
      <c r="D118" t="s">
        <v>334</v>
      </c>
      <c r="E118" t="s">
        <v>205</v>
      </c>
      <c r="F118" t="s">
        <v>243</v>
      </c>
      <c r="G118">
        <v>18</v>
      </c>
      <c r="H118">
        <v>17</v>
      </c>
      <c r="I118" s="44">
        <v>0.94440000000000002</v>
      </c>
      <c r="J118">
        <v>115</v>
      </c>
      <c r="K118">
        <v>98</v>
      </c>
      <c r="L118">
        <v>7</v>
      </c>
      <c r="M118" s="44">
        <v>0.85219999999999996</v>
      </c>
      <c r="N118" s="44">
        <f t="shared" si="1"/>
        <v>0.7662363636363636</v>
      </c>
      <c r="O118" s="44">
        <v>1</v>
      </c>
      <c r="P118" s="44">
        <v>0.96189999999999998</v>
      </c>
      <c r="Q118" s="44">
        <v>7.6200000000000004E-2</v>
      </c>
      <c r="R118" s="44">
        <v>1</v>
      </c>
      <c r="S118" s="44">
        <v>0.1143</v>
      </c>
      <c r="T118" s="44">
        <v>1</v>
      </c>
      <c r="U118" s="44">
        <v>1</v>
      </c>
      <c r="V118" s="44">
        <v>1</v>
      </c>
      <c r="W118" s="44">
        <v>1</v>
      </c>
      <c r="X118" s="44">
        <v>1</v>
      </c>
      <c r="Y118" s="44">
        <v>0.2762</v>
      </c>
      <c r="Z118" s="44">
        <v>0</v>
      </c>
      <c r="AA118" s="44">
        <v>0</v>
      </c>
      <c r="AB118" s="44">
        <v>0</v>
      </c>
      <c r="AC118" s="44">
        <v>0</v>
      </c>
      <c r="AD118" s="44">
        <v>0</v>
      </c>
      <c r="AE118">
        <v>34</v>
      </c>
      <c r="AF118">
        <v>25</v>
      </c>
      <c r="AG118" s="44">
        <v>0.73529999999999995</v>
      </c>
      <c r="AH118" s="44">
        <v>0.77449999999999997</v>
      </c>
    </row>
    <row r="119" spans="1:34" x14ac:dyDescent="0.25">
      <c r="A119">
        <v>128</v>
      </c>
      <c r="B119">
        <v>17081</v>
      </c>
      <c r="C119" t="s">
        <v>18</v>
      </c>
      <c r="D119" t="s">
        <v>334</v>
      </c>
      <c r="E119" t="s">
        <v>308</v>
      </c>
      <c r="F119" t="s">
        <v>241</v>
      </c>
      <c r="G119">
        <v>14</v>
      </c>
      <c r="H119">
        <v>13</v>
      </c>
      <c r="I119" s="44">
        <v>0.92859999999999998</v>
      </c>
      <c r="J119">
        <v>79</v>
      </c>
      <c r="K119">
        <v>62</v>
      </c>
      <c r="L119">
        <v>5</v>
      </c>
      <c r="M119" s="44">
        <v>0.78480000000000005</v>
      </c>
      <c r="N119" s="44">
        <f t="shared" si="1"/>
        <v>0.75439999999999996</v>
      </c>
      <c r="O119" s="44">
        <v>0.95520000000000005</v>
      </c>
      <c r="P119" s="44">
        <v>0.91039999999999999</v>
      </c>
      <c r="Q119" s="44">
        <v>0</v>
      </c>
      <c r="R119" s="44">
        <v>0.94030000000000002</v>
      </c>
      <c r="S119" s="44">
        <v>0.11940000000000001</v>
      </c>
      <c r="T119" s="44">
        <v>0.94030000000000002</v>
      </c>
      <c r="U119" s="44">
        <v>0.94030000000000002</v>
      </c>
      <c r="V119" s="44">
        <v>0.94030000000000002</v>
      </c>
      <c r="W119" s="44">
        <v>0.94030000000000002</v>
      </c>
      <c r="X119" s="44">
        <v>0.94030000000000002</v>
      </c>
      <c r="Y119" s="44">
        <v>0.67159999999999997</v>
      </c>
      <c r="Z119" s="44">
        <v>0.5373</v>
      </c>
      <c r="AA119" s="44">
        <v>0.50749999999999995</v>
      </c>
      <c r="AB119" s="44">
        <v>0.1343</v>
      </c>
      <c r="AC119" s="44">
        <v>0.1343</v>
      </c>
      <c r="AD119" s="44">
        <v>0.1343</v>
      </c>
      <c r="AE119">
        <v>18</v>
      </c>
      <c r="AF119">
        <v>3</v>
      </c>
      <c r="AG119" s="44">
        <v>0.16669999999999999</v>
      </c>
      <c r="AH119" s="44">
        <v>0.7742</v>
      </c>
    </row>
    <row r="120" spans="1:34" x14ac:dyDescent="0.25">
      <c r="A120">
        <v>129</v>
      </c>
      <c r="B120">
        <v>16789</v>
      </c>
      <c r="C120" t="s">
        <v>163</v>
      </c>
      <c r="D120" t="s">
        <v>334</v>
      </c>
      <c r="E120" t="s">
        <v>209</v>
      </c>
      <c r="F120" t="s">
        <v>243</v>
      </c>
      <c r="G120">
        <v>7</v>
      </c>
      <c r="H120">
        <v>6</v>
      </c>
      <c r="I120" s="44">
        <v>0.85709999999999997</v>
      </c>
      <c r="J120">
        <v>68</v>
      </c>
      <c r="K120">
        <v>52</v>
      </c>
      <c r="L120">
        <v>2</v>
      </c>
      <c r="M120" s="44">
        <v>0.76470000000000005</v>
      </c>
      <c r="N120" s="44">
        <f t="shared" si="1"/>
        <v>0.82155454545454554</v>
      </c>
      <c r="O120" s="44">
        <v>1</v>
      </c>
      <c r="P120" s="44">
        <v>0.98150000000000004</v>
      </c>
      <c r="Q120" s="44">
        <v>0.1852</v>
      </c>
      <c r="R120" s="44">
        <v>1</v>
      </c>
      <c r="S120" s="44">
        <v>5.5599999999999997E-2</v>
      </c>
      <c r="T120" s="44">
        <v>1</v>
      </c>
      <c r="U120" s="44">
        <v>1</v>
      </c>
      <c r="V120" s="44">
        <v>1</v>
      </c>
      <c r="W120" s="44">
        <v>1</v>
      </c>
      <c r="X120" s="44">
        <v>1</v>
      </c>
      <c r="Y120" s="44">
        <v>0.81479999999999997</v>
      </c>
      <c r="Z120" s="44">
        <v>0.79630000000000001</v>
      </c>
      <c r="AA120" s="44">
        <v>0.81479999999999997</v>
      </c>
      <c r="AB120" s="44">
        <v>0.1852</v>
      </c>
      <c r="AC120" s="44">
        <v>0.1852</v>
      </c>
      <c r="AD120" s="44">
        <v>0.1852</v>
      </c>
      <c r="AE120">
        <v>3</v>
      </c>
      <c r="AF120">
        <v>2</v>
      </c>
      <c r="AG120" s="44">
        <v>0.66669999999999996</v>
      </c>
      <c r="AH120" s="44">
        <v>0.77400000000000002</v>
      </c>
    </row>
    <row r="121" spans="1:34" x14ac:dyDescent="0.25">
      <c r="A121">
        <v>130</v>
      </c>
      <c r="B121">
        <v>17119</v>
      </c>
      <c r="C121" t="s">
        <v>196</v>
      </c>
      <c r="D121" t="s">
        <v>334</v>
      </c>
      <c r="E121" t="s">
        <v>310</v>
      </c>
      <c r="F121" t="s">
        <v>242</v>
      </c>
      <c r="G121">
        <v>5</v>
      </c>
      <c r="H121">
        <v>4</v>
      </c>
      <c r="I121" s="44">
        <v>0.8</v>
      </c>
      <c r="J121">
        <v>32</v>
      </c>
      <c r="K121">
        <v>30</v>
      </c>
      <c r="L121">
        <v>1</v>
      </c>
      <c r="M121" s="44">
        <v>0.9375</v>
      </c>
      <c r="N121" s="44">
        <f t="shared" si="1"/>
        <v>0.78591818181818196</v>
      </c>
      <c r="O121" s="44">
        <v>1</v>
      </c>
      <c r="P121" s="44">
        <v>0.9677</v>
      </c>
      <c r="Q121" s="44">
        <v>0</v>
      </c>
      <c r="R121" s="44">
        <v>1</v>
      </c>
      <c r="S121" s="44">
        <v>0.19350000000000001</v>
      </c>
      <c r="T121" s="44">
        <v>1</v>
      </c>
      <c r="U121" s="44">
        <v>1</v>
      </c>
      <c r="V121" s="44">
        <v>1</v>
      </c>
      <c r="W121" s="44">
        <v>1</v>
      </c>
      <c r="X121" s="44">
        <v>1</v>
      </c>
      <c r="Y121" s="44">
        <v>0.4839</v>
      </c>
      <c r="Z121" s="44">
        <v>0.3226</v>
      </c>
      <c r="AA121" s="44">
        <v>0.3226</v>
      </c>
      <c r="AB121" s="44">
        <v>0</v>
      </c>
      <c r="AC121" s="44">
        <v>0</v>
      </c>
      <c r="AD121" s="44">
        <v>0</v>
      </c>
      <c r="AE121">
        <v>4</v>
      </c>
      <c r="AF121">
        <v>3</v>
      </c>
      <c r="AG121" s="44">
        <v>0.75</v>
      </c>
      <c r="AH121" s="44">
        <v>0.77270000000000005</v>
      </c>
    </row>
    <row r="122" spans="1:34" x14ac:dyDescent="0.25">
      <c r="A122">
        <v>131</v>
      </c>
      <c r="B122">
        <v>17144</v>
      </c>
      <c r="C122" t="s">
        <v>31</v>
      </c>
      <c r="D122" t="s">
        <v>334</v>
      </c>
      <c r="E122" t="s">
        <v>306</v>
      </c>
      <c r="F122" t="s">
        <v>241</v>
      </c>
      <c r="G122">
        <v>17</v>
      </c>
      <c r="H122">
        <v>17</v>
      </c>
      <c r="I122" s="44">
        <v>1</v>
      </c>
      <c r="J122">
        <v>113</v>
      </c>
      <c r="K122">
        <v>89</v>
      </c>
      <c r="L122">
        <v>2</v>
      </c>
      <c r="M122" s="44">
        <v>0.78759999999999997</v>
      </c>
      <c r="N122" s="44">
        <f t="shared" si="1"/>
        <v>0.7612363636363636</v>
      </c>
      <c r="O122" s="44">
        <v>1</v>
      </c>
      <c r="P122" s="44">
        <v>0.95599999999999996</v>
      </c>
      <c r="Q122" s="44">
        <v>3.3000000000000002E-2</v>
      </c>
      <c r="R122" s="44">
        <v>1</v>
      </c>
      <c r="S122" s="44">
        <v>6.59E-2</v>
      </c>
      <c r="T122" s="44">
        <v>1</v>
      </c>
      <c r="U122" s="44">
        <v>1</v>
      </c>
      <c r="V122" s="44">
        <v>1</v>
      </c>
      <c r="W122" s="44">
        <v>1</v>
      </c>
      <c r="X122" s="44">
        <v>1</v>
      </c>
      <c r="Y122" s="44">
        <v>0.31869999999999998</v>
      </c>
      <c r="Z122" s="44">
        <v>5.4899999999999997E-2</v>
      </c>
      <c r="AA122" s="44">
        <v>5.4899999999999997E-2</v>
      </c>
      <c r="AB122" s="44">
        <v>0</v>
      </c>
      <c r="AC122" s="44">
        <v>0</v>
      </c>
      <c r="AD122" s="44">
        <v>0</v>
      </c>
      <c r="AE122">
        <v>23</v>
      </c>
      <c r="AF122">
        <v>20</v>
      </c>
      <c r="AG122" s="44">
        <v>0.86960000000000004</v>
      </c>
      <c r="AH122" s="44">
        <v>0.77259999999999995</v>
      </c>
    </row>
    <row r="123" spans="1:34" x14ac:dyDescent="0.25">
      <c r="A123">
        <v>132</v>
      </c>
      <c r="B123">
        <v>17145</v>
      </c>
      <c r="C123" t="s">
        <v>32</v>
      </c>
      <c r="D123" t="s">
        <v>334</v>
      </c>
      <c r="E123" t="s">
        <v>306</v>
      </c>
      <c r="F123" t="s">
        <v>241</v>
      </c>
      <c r="G123">
        <v>8</v>
      </c>
      <c r="H123">
        <v>8</v>
      </c>
      <c r="I123" s="44">
        <v>1</v>
      </c>
      <c r="J123">
        <v>69</v>
      </c>
      <c r="K123">
        <v>55</v>
      </c>
      <c r="L123">
        <v>3</v>
      </c>
      <c r="M123" s="44">
        <v>0.79710000000000003</v>
      </c>
      <c r="N123" s="44">
        <f t="shared" si="1"/>
        <v>0.75548181818181814</v>
      </c>
      <c r="O123" s="44">
        <v>1</v>
      </c>
      <c r="P123" s="44">
        <v>0.96550000000000002</v>
      </c>
      <c r="Q123" s="44">
        <v>3.4500000000000003E-2</v>
      </c>
      <c r="R123" s="44">
        <v>1</v>
      </c>
      <c r="S123" s="44">
        <v>8.6199999999999999E-2</v>
      </c>
      <c r="T123" s="44">
        <v>1</v>
      </c>
      <c r="U123" s="44">
        <v>1</v>
      </c>
      <c r="V123" s="44">
        <v>1</v>
      </c>
      <c r="W123" s="44">
        <v>1</v>
      </c>
      <c r="X123" s="44">
        <v>1</v>
      </c>
      <c r="Y123" s="44">
        <v>0.22409999999999999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>
        <v>14</v>
      </c>
      <c r="AF123">
        <v>9</v>
      </c>
      <c r="AG123" s="44">
        <v>0.64290000000000003</v>
      </c>
      <c r="AH123" s="44">
        <v>0.7722</v>
      </c>
    </row>
    <row r="124" spans="1:34" x14ac:dyDescent="0.25">
      <c r="A124">
        <v>133</v>
      </c>
      <c r="B124">
        <v>16844</v>
      </c>
      <c r="C124" t="s">
        <v>71</v>
      </c>
      <c r="D124" t="s">
        <v>334</v>
      </c>
      <c r="E124" t="s">
        <v>202</v>
      </c>
      <c r="F124" t="s">
        <v>243</v>
      </c>
      <c r="G124">
        <v>13</v>
      </c>
      <c r="H124">
        <v>12</v>
      </c>
      <c r="I124" s="44">
        <v>0.92310000000000003</v>
      </c>
      <c r="J124">
        <v>106</v>
      </c>
      <c r="K124">
        <v>79</v>
      </c>
      <c r="L124">
        <v>13</v>
      </c>
      <c r="M124" s="44">
        <v>0.74529999999999996</v>
      </c>
      <c r="N124" s="44">
        <f t="shared" si="1"/>
        <v>0.84487272727272711</v>
      </c>
      <c r="O124" s="44">
        <v>0.97829999999999995</v>
      </c>
      <c r="P124" s="44">
        <v>0.94569999999999999</v>
      </c>
      <c r="Q124" s="44">
        <v>0.70650000000000002</v>
      </c>
      <c r="R124" s="44">
        <v>0.97829999999999995</v>
      </c>
      <c r="S124" s="44">
        <v>0.13039999999999999</v>
      </c>
      <c r="T124" s="44">
        <v>0.97829999999999995</v>
      </c>
      <c r="U124" s="44">
        <v>0.98909999999999998</v>
      </c>
      <c r="V124" s="44">
        <v>0.97829999999999995</v>
      </c>
      <c r="W124" s="44">
        <v>0.98909999999999998</v>
      </c>
      <c r="X124" s="44">
        <v>0.97829999999999995</v>
      </c>
      <c r="Y124" s="44">
        <v>0.64129999999999998</v>
      </c>
      <c r="Z124" s="44">
        <v>0.43480000000000002</v>
      </c>
      <c r="AA124" s="44">
        <v>0.43480000000000002</v>
      </c>
      <c r="AB124" s="44">
        <v>1.09E-2</v>
      </c>
      <c r="AC124" s="44">
        <v>4.3499999999999997E-2</v>
      </c>
      <c r="AD124" s="44">
        <v>1.09E-2</v>
      </c>
      <c r="AE124">
        <v>39</v>
      </c>
      <c r="AF124">
        <v>27</v>
      </c>
      <c r="AG124" s="44">
        <v>0.69230000000000003</v>
      </c>
      <c r="AH124" s="44">
        <v>0.76919999999999999</v>
      </c>
    </row>
    <row r="125" spans="1:34" x14ac:dyDescent="0.25">
      <c r="A125">
        <v>134</v>
      </c>
      <c r="B125">
        <v>16820</v>
      </c>
      <c r="C125" t="s">
        <v>178</v>
      </c>
      <c r="D125" t="s">
        <v>334</v>
      </c>
      <c r="E125" t="s">
        <v>301</v>
      </c>
      <c r="F125" t="s">
        <v>243</v>
      </c>
      <c r="G125">
        <v>8</v>
      </c>
      <c r="H125">
        <v>7</v>
      </c>
      <c r="I125" s="44">
        <v>0.875</v>
      </c>
      <c r="J125">
        <v>72</v>
      </c>
      <c r="K125">
        <v>65</v>
      </c>
      <c r="L125">
        <v>3</v>
      </c>
      <c r="M125" s="44">
        <v>0.90280000000000005</v>
      </c>
      <c r="N125" s="44">
        <f t="shared" si="1"/>
        <v>0.7593545454545455</v>
      </c>
      <c r="O125" s="44">
        <v>1</v>
      </c>
      <c r="P125" s="44">
        <v>0.95589999999999997</v>
      </c>
      <c r="Q125" s="44">
        <v>0.10290000000000001</v>
      </c>
      <c r="R125" s="44">
        <v>1</v>
      </c>
      <c r="S125" s="44">
        <v>8.8200000000000001E-2</v>
      </c>
      <c r="T125" s="44">
        <v>0.98529999999999995</v>
      </c>
      <c r="U125" s="44">
        <v>0.98529999999999995</v>
      </c>
      <c r="V125" s="44">
        <v>0.98529999999999995</v>
      </c>
      <c r="W125" s="44">
        <v>0.98529999999999995</v>
      </c>
      <c r="X125" s="44">
        <v>0.98529999999999995</v>
      </c>
      <c r="Y125" s="44">
        <v>0.27939999999999998</v>
      </c>
      <c r="Z125" s="44">
        <v>0</v>
      </c>
      <c r="AA125" s="44">
        <v>0</v>
      </c>
      <c r="AB125" s="44">
        <v>0</v>
      </c>
      <c r="AC125" s="44">
        <v>0</v>
      </c>
      <c r="AD125" s="44">
        <v>0</v>
      </c>
      <c r="AE125">
        <v>16</v>
      </c>
      <c r="AF125">
        <v>5</v>
      </c>
      <c r="AG125" s="44">
        <v>0.3125</v>
      </c>
      <c r="AH125" s="44">
        <v>0.76659999999999995</v>
      </c>
    </row>
    <row r="126" spans="1:34" x14ac:dyDescent="0.25">
      <c r="A126">
        <v>135</v>
      </c>
      <c r="B126">
        <v>17109</v>
      </c>
      <c r="C126" t="s">
        <v>186</v>
      </c>
      <c r="D126" t="s">
        <v>334</v>
      </c>
      <c r="E126" t="s">
        <v>310</v>
      </c>
      <c r="F126" t="s">
        <v>242</v>
      </c>
      <c r="G126">
        <v>17</v>
      </c>
      <c r="H126">
        <v>15</v>
      </c>
      <c r="I126" s="44">
        <v>0.88239999999999996</v>
      </c>
      <c r="J126">
        <v>113</v>
      </c>
      <c r="K126">
        <v>100</v>
      </c>
      <c r="L126">
        <v>4</v>
      </c>
      <c r="M126" s="44">
        <v>0.88500000000000001</v>
      </c>
      <c r="N126" s="44">
        <f t="shared" si="1"/>
        <v>0.77272727272727271</v>
      </c>
      <c r="O126" s="44">
        <v>1</v>
      </c>
      <c r="P126" s="44">
        <v>0.97119999999999995</v>
      </c>
      <c r="Q126" s="44">
        <v>0.1731</v>
      </c>
      <c r="R126" s="44">
        <v>1</v>
      </c>
      <c r="S126" s="44">
        <v>8.6499999999999994E-2</v>
      </c>
      <c r="T126" s="44">
        <v>1</v>
      </c>
      <c r="U126" s="44">
        <v>1</v>
      </c>
      <c r="V126" s="44">
        <v>1</v>
      </c>
      <c r="W126" s="44">
        <v>1</v>
      </c>
      <c r="X126" s="44">
        <v>1</v>
      </c>
      <c r="Y126" s="44">
        <v>0.26919999999999999</v>
      </c>
      <c r="Z126" s="44">
        <v>0</v>
      </c>
      <c r="AA126" s="44">
        <v>0</v>
      </c>
      <c r="AB126" s="44">
        <v>0</v>
      </c>
      <c r="AC126" s="44">
        <v>0</v>
      </c>
      <c r="AD126" s="44">
        <v>0</v>
      </c>
      <c r="AE126">
        <v>55</v>
      </c>
      <c r="AF126">
        <v>12</v>
      </c>
      <c r="AG126" s="44">
        <v>0.21820000000000001</v>
      </c>
      <c r="AH126" s="44">
        <v>0.76619999999999999</v>
      </c>
    </row>
    <row r="127" spans="1:34" x14ac:dyDescent="0.25">
      <c r="A127">
        <v>136</v>
      </c>
      <c r="B127">
        <v>16823</v>
      </c>
      <c r="C127" t="s">
        <v>180</v>
      </c>
      <c r="D127" t="s">
        <v>334</v>
      </c>
      <c r="E127" t="s">
        <v>301</v>
      </c>
      <c r="F127" t="s">
        <v>243</v>
      </c>
      <c r="G127">
        <v>7</v>
      </c>
      <c r="H127">
        <v>6</v>
      </c>
      <c r="I127" s="44">
        <v>0.85709999999999997</v>
      </c>
      <c r="J127">
        <v>55</v>
      </c>
      <c r="K127">
        <v>51</v>
      </c>
      <c r="L127">
        <v>3</v>
      </c>
      <c r="M127" s="44">
        <v>0.92730000000000001</v>
      </c>
      <c r="N127" s="44">
        <f t="shared" si="1"/>
        <v>0.71885454545454541</v>
      </c>
      <c r="O127" s="44">
        <v>0.92589999999999995</v>
      </c>
      <c r="P127" s="44">
        <v>0.88890000000000002</v>
      </c>
      <c r="Q127" s="44">
        <v>0.46300000000000002</v>
      </c>
      <c r="R127" s="44">
        <v>0.92589999999999995</v>
      </c>
      <c r="S127" s="44">
        <v>0.27779999999999999</v>
      </c>
      <c r="T127" s="44">
        <v>0.90739999999999998</v>
      </c>
      <c r="U127" s="44">
        <v>0.94440000000000002</v>
      </c>
      <c r="V127" s="44">
        <v>0.88890000000000002</v>
      </c>
      <c r="W127" s="44">
        <v>0.88890000000000002</v>
      </c>
      <c r="X127" s="44">
        <v>0.79630000000000001</v>
      </c>
      <c r="Y127" s="44">
        <v>0</v>
      </c>
      <c r="Z127" s="44">
        <v>0</v>
      </c>
      <c r="AA127" s="44">
        <v>0</v>
      </c>
      <c r="AB127" s="44">
        <v>9.2600000000000002E-2</v>
      </c>
      <c r="AC127" s="44">
        <v>0.1111</v>
      </c>
      <c r="AD127" s="44">
        <v>0.1111</v>
      </c>
      <c r="AE127">
        <v>8</v>
      </c>
      <c r="AF127">
        <v>7</v>
      </c>
      <c r="AG127" s="44">
        <v>0.875</v>
      </c>
      <c r="AH127" s="44">
        <v>0.7661</v>
      </c>
    </row>
    <row r="128" spans="1:34" x14ac:dyDescent="0.25">
      <c r="A128">
        <v>137</v>
      </c>
      <c r="B128">
        <v>17163</v>
      </c>
      <c r="C128" t="s">
        <v>91</v>
      </c>
      <c r="D128" t="s">
        <v>334</v>
      </c>
      <c r="E128" t="s">
        <v>307</v>
      </c>
      <c r="F128" t="s">
        <v>242</v>
      </c>
      <c r="G128">
        <v>17</v>
      </c>
      <c r="H128">
        <v>16</v>
      </c>
      <c r="I128" s="44">
        <v>0.94120000000000004</v>
      </c>
      <c r="J128">
        <v>106</v>
      </c>
      <c r="K128">
        <v>83</v>
      </c>
      <c r="L128">
        <v>6</v>
      </c>
      <c r="M128" s="44">
        <v>0.78300000000000003</v>
      </c>
      <c r="N128" s="44">
        <f t="shared" si="1"/>
        <v>0.79571818181818188</v>
      </c>
      <c r="O128" s="44">
        <v>1</v>
      </c>
      <c r="P128" s="44">
        <v>1</v>
      </c>
      <c r="Q128" s="44">
        <v>8.9899999999999994E-2</v>
      </c>
      <c r="R128" s="44">
        <v>1</v>
      </c>
      <c r="S128" s="44">
        <v>0.14610000000000001</v>
      </c>
      <c r="T128" s="44">
        <v>1</v>
      </c>
      <c r="U128" s="44">
        <v>1</v>
      </c>
      <c r="V128" s="44">
        <v>1</v>
      </c>
      <c r="W128" s="44">
        <v>1</v>
      </c>
      <c r="X128" s="44">
        <v>1</v>
      </c>
      <c r="Y128" s="44">
        <v>0.51690000000000003</v>
      </c>
      <c r="Z128" s="44">
        <v>0.14610000000000001</v>
      </c>
      <c r="AA128" s="44">
        <v>0.14610000000000001</v>
      </c>
      <c r="AB128" s="44">
        <v>5.62E-2</v>
      </c>
      <c r="AC128" s="44">
        <v>2.2499999999999999E-2</v>
      </c>
      <c r="AD128" s="44">
        <v>3.3700000000000001E-2</v>
      </c>
      <c r="AE128">
        <v>35</v>
      </c>
      <c r="AF128">
        <v>7</v>
      </c>
      <c r="AG128" s="44">
        <v>0.2</v>
      </c>
      <c r="AH128" s="44">
        <v>0.76549999999999996</v>
      </c>
    </row>
    <row r="129" spans="1:34" x14ac:dyDescent="0.25">
      <c r="A129">
        <v>139</v>
      </c>
      <c r="B129">
        <v>17088</v>
      </c>
      <c r="C129" t="s">
        <v>25</v>
      </c>
      <c r="D129" t="s">
        <v>334</v>
      </c>
      <c r="E129" t="s">
        <v>308</v>
      </c>
      <c r="F129" t="s">
        <v>241</v>
      </c>
      <c r="G129">
        <v>6</v>
      </c>
      <c r="H129">
        <v>5</v>
      </c>
      <c r="I129" s="44">
        <v>0.83330000000000004</v>
      </c>
      <c r="J129">
        <v>66</v>
      </c>
      <c r="K129">
        <v>61</v>
      </c>
      <c r="L129">
        <v>3</v>
      </c>
      <c r="M129" s="44">
        <v>0.92420000000000002</v>
      </c>
      <c r="N129" s="44">
        <f t="shared" si="1"/>
        <v>0.74007272727272733</v>
      </c>
      <c r="O129" s="44">
        <v>0.98440000000000005</v>
      </c>
      <c r="P129" s="44">
        <v>0.95309999999999995</v>
      </c>
      <c r="Q129" s="44">
        <v>1.5599999999999999E-2</v>
      </c>
      <c r="R129" s="44">
        <v>0.98440000000000005</v>
      </c>
      <c r="S129" s="44">
        <v>0</v>
      </c>
      <c r="T129" s="44">
        <v>0.98440000000000005</v>
      </c>
      <c r="U129" s="44">
        <v>0.98440000000000005</v>
      </c>
      <c r="V129" s="44">
        <v>0.98440000000000005</v>
      </c>
      <c r="W129" s="44">
        <v>0.98440000000000005</v>
      </c>
      <c r="X129" s="44">
        <v>0.98440000000000005</v>
      </c>
      <c r="Y129" s="44">
        <v>0.28129999999999999</v>
      </c>
      <c r="Z129" s="44">
        <v>0</v>
      </c>
      <c r="AA129" s="44">
        <v>0</v>
      </c>
      <c r="AB129" s="44">
        <v>7.8100000000000003E-2</v>
      </c>
      <c r="AC129" s="44">
        <v>7.8100000000000003E-2</v>
      </c>
      <c r="AD129" s="44">
        <v>7.8100000000000003E-2</v>
      </c>
      <c r="AE129">
        <v>0</v>
      </c>
      <c r="AF129">
        <v>0</v>
      </c>
      <c r="AG129" s="44">
        <v>0</v>
      </c>
      <c r="AH129" s="44">
        <v>0.76029999999999998</v>
      </c>
    </row>
    <row r="130" spans="1:34" x14ac:dyDescent="0.25">
      <c r="A130">
        <v>140</v>
      </c>
      <c r="B130">
        <v>16693</v>
      </c>
      <c r="C130" t="s">
        <v>77</v>
      </c>
      <c r="D130" t="s">
        <v>334</v>
      </c>
      <c r="E130" t="s">
        <v>203</v>
      </c>
      <c r="F130" t="s">
        <v>243</v>
      </c>
      <c r="G130">
        <v>27</v>
      </c>
      <c r="H130">
        <v>24</v>
      </c>
      <c r="I130" s="44">
        <v>0.88890000000000002</v>
      </c>
      <c r="J130">
        <v>133</v>
      </c>
      <c r="K130">
        <v>110</v>
      </c>
      <c r="L130">
        <v>4</v>
      </c>
      <c r="M130" s="44">
        <v>0.82709999999999995</v>
      </c>
      <c r="N130" s="44">
        <f t="shared" si="1"/>
        <v>0.76715454545454553</v>
      </c>
      <c r="O130" s="44">
        <v>1</v>
      </c>
      <c r="P130" s="44">
        <v>0.97370000000000001</v>
      </c>
      <c r="Q130" s="44">
        <v>0</v>
      </c>
      <c r="R130" s="44">
        <v>1</v>
      </c>
      <c r="S130" s="44">
        <v>0.1404</v>
      </c>
      <c r="T130" s="44">
        <v>1</v>
      </c>
      <c r="U130" s="44">
        <v>1</v>
      </c>
      <c r="V130" s="44">
        <v>1</v>
      </c>
      <c r="W130" s="44">
        <v>1</v>
      </c>
      <c r="X130" s="44">
        <v>1</v>
      </c>
      <c r="Y130" s="44">
        <v>0.3246</v>
      </c>
      <c r="Z130" s="44">
        <v>1.7500000000000002E-2</v>
      </c>
      <c r="AA130" s="44">
        <v>2.63E-2</v>
      </c>
      <c r="AB130" s="44">
        <v>0.1754</v>
      </c>
      <c r="AC130" s="44">
        <v>0.1754</v>
      </c>
      <c r="AD130" s="44">
        <v>0.1754</v>
      </c>
      <c r="AE130">
        <v>30</v>
      </c>
      <c r="AF130">
        <v>10</v>
      </c>
      <c r="AG130" s="44">
        <v>0.33329999999999999</v>
      </c>
      <c r="AH130" s="44">
        <v>0.75970000000000004</v>
      </c>
    </row>
    <row r="131" spans="1:34" x14ac:dyDescent="0.25">
      <c r="A131">
        <v>141</v>
      </c>
      <c r="B131">
        <v>16824</v>
      </c>
      <c r="C131" t="s">
        <v>68</v>
      </c>
      <c r="D131" t="s">
        <v>334</v>
      </c>
      <c r="E131" t="s">
        <v>202</v>
      </c>
      <c r="F131" t="s">
        <v>243</v>
      </c>
      <c r="G131">
        <v>17</v>
      </c>
      <c r="H131">
        <v>14</v>
      </c>
      <c r="I131" s="44">
        <v>0.82350000000000001</v>
      </c>
      <c r="J131">
        <v>106</v>
      </c>
      <c r="K131">
        <v>94</v>
      </c>
      <c r="L131">
        <v>5</v>
      </c>
      <c r="M131" s="44">
        <v>0.88680000000000003</v>
      </c>
      <c r="N131" s="44">
        <f t="shared" ref="N131:N189" si="2">+AVERAGE(O131,P131,Q131,R131,S131,T131,U131,V131,W131,X131,Y131)</f>
        <v>0.79154545454545444</v>
      </c>
      <c r="O131" s="44">
        <v>1</v>
      </c>
      <c r="P131" s="44">
        <v>0.9798</v>
      </c>
      <c r="Q131" s="44">
        <v>0.2828</v>
      </c>
      <c r="R131" s="44">
        <v>1</v>
      </c>
      <c r="S131" s="44">
        <v>3.0300000000000001E-2</v>
      </c>
      <c r="T131" s="44">
        <v>1</v>
      </c>
      <c r="U131" s="44">
        <v>1</v>
      </c>
      <c r="V131" s="44">
        <v>1</v>
      </c>
      <c r="W131" s="44">
        <v>1</v>
      </c>
      <c r="X131" s="44">
        <v>1</v>
      </c>
      <c r="Y131" s="44">
        <v>0.41410000000000002</v>
      </c>
      <c r="Z131" s="44">
        <v>5.0500000000000003E-2</v>
      </c>
      <c r="AA131" s="44">
        <v>5.0500000000000003E-2</v>
      </c>
      <c r="AB131" s="44">
        <v>6.0600000000000001E-2</v>
      </c>
      <c r="AC131" s="44">
        <v>6.0600000000000001E-2</v>
      </c>
      <c r="AD131" s="44">
        <v>6.0600000000000001E-2</v>
      </c>
      <c r="AE131">
        <v>22</v>
      </c>
      <c r="AF131">
        <v>2</v>
      </c>
      <c r="AG131" s="44">
        <v>9.0899999999999995E-2</v>
      </c>
      <c r="AH131" s="44">
        <v>0.75739999999999996</v>
      </c>
    </row>
    <row r="132" spans="1:34" x14ac:dyDescent="0.25">
      <c r="A132">
        <v>142</v>
      </c>
      <c r="B132">
        <v>16910</v>
      </c>
      <c r="C132" t="s">
        <v>158</v>
      </c>
      <c r="D132" t="s">
        <v>334</v>
      </c>
      <c r="E132" t="s">
        <v>208</v>
      </c>
      <c r="F132" t="s">
        <v>243</v>
      </c>
      <c r="G132">
        <v>15</v>
      </c>
      <c r="H132">
        <v>15</v>
      </c>
      <c r="I132" s="44">
        <v>1</v>
      </c>
      <c r="J132">
        <v>92</v>
      </c>
      <c r="K132">
        <v>67</v>
      </c>
      <c r="L132">
        <v>2</v>
      </c>
      <c r="M132" s="44">
        <v>0.72829999999999995</v>
      </c>
      <c r="N132" s="44">
        <f t="shared" si="2"/>
        <v>0.77338181818181806</v>
      </c>
      <c r="O132" s="44">
        <v>0.98550000000000004</v>
      </c>
      <c r="P132" s="44">
        <v>0.95650000000000002</v>
      </c>
      <c r="Q132" s="44">
        <v>1.4500000000000001E-2</v>
      </c>
      <c r="R132" s="44">
        <v>0.98550000000000004</v>
      </c>
      <c r="S132" s="44">
        <v>0.15939999999999999</v>
      </c>
      <c r="T132" s="44">
        <v>1</v>
      </c>
      <c r="U132" s="44">
        <v>1</v>
      </c>
      <c r="V132" s="44">
        <v>1</v>
      </c>
      <c r="W132" s="44">
        <v>1</v>
      </c>
      <c r="X132" s="44">
        <v>1</v>
      </c>
      <c r="Y132" s="44">
        <v>0.40579999999999999</v>
      </c>
      <c r="Z132" s="44">
        <v>5.8000000000000003E-2</v>
      </c>
      <c r="AA132" s="44">
        <v>4.3499999999999997E-2</v>
      </c>
      <c r="AB132" s="44">
        <v>1.4500000000000001E-2</v>
      </c>
      <c r="AC132" s="44">
        <v>1.4500000000000001E-2</v>
      </c>
      <c r="AD132" s="44">
        <v>1.4500000000000001E-2</v>
      </c>
      <c r="AE132">
        <v>15</v>
      </c>
      <c r="AF132">
        <v>12</v>
      </c>
      <c r="AG132" s="44">
        <v>0.8</v>
      </c>
      <c r="AH132" s="44">
        <v>0.75639999999999996</v>
      </c>
    </row>
    <row r="133" spans="1:34" x14ac:dyDescent="0.25">
      <c r="A133">
        <v>143</v>
      </c>
      <c r="B133">
        <v>16830</v>
      </c>
      <c r="C133" t="s">
        <v>65</v>
      </c>
      <c r="D133" t="s">
        <v>334</v>
      </c>
      <c r="E133" t="s">
        <v>202</v>
      </c>
      <c r="F133" t="s">
        <v>243</v>
      </c>
      <c r="G133">
        <v>13</v>
      </c>
      <c r="H133">
        <v>12</v>
      </c>
      <c r="I133" s="44">
        <v>0.92310000000000003</v>
      </c>
      <c r="J133">
        <v>101</v>
      </c>
      <c r="K133">
        <v>82</v>
      </c>
      <c r="L133">
        <v>5</v>
      </c>
      <c r="M133" s="44">
        <v>0.81189999999999996</v>
      </c>
      <c r="N133" s="44">
        <f t="shared" si="2"/>
        <v>0.76489090909090907</v>
      </c>
      <c r="O133" s="44">
        <v>1</v>
      </c>
      <c r="P133" s="44">
        <v>0.97699999999999998</v>
      </c>
      <c r="Q133" s="44">
        <v>1.15E-2</v>
      </c>
      <c r="R133" s="44">
        <v>1</v>
      </c>
      <c r="S133" s="44">
        <v>0.12640000000000001</v>
      </c>
      <c r="T133" s="44">
        <v>1</v>
      </c>
      <c r="U133" s="44">
        <v>1</v>
      </c>
      <c r="V133" s="44">
        <v>1</v>
      </c>
      <c r="W133" s="44">
        <v>1</v>
      </c>
      <c r="X133" s="44">
        <v>1</v>
      </c>
      <c r="Y133" s="44">
        <v>0.2989</v>
      </c>
      <c r="Z133" s="44">
        <v>6.9000000000000006E-2</v>
      </c>
      <c r="AA133" s="44">
        <v>3.4500000000000003E-2</v>
      </c>
      <c r="AB133" s="44">
        <v>1.15E-2</v>
      </c>
      <c r="AC133" s="44">
        <v>0</v>
      </c>
      <c r="AD133" s="44">
        <v>1.15E-2</v>
      </c>
      <c r="AE133">
        <v>16</v>
      </c>
      <c r="AF133">
        <v>8</v>
      </c>
      <c r="AG133" s="44">
        <v>0.5</v>
      </c>
      <c r="AH133" s="44">
        <v>0.75629999999999997</v>
      </c>
    </row>
    <row r="134" spans="1:34" x14ac:dyDescent="0.25">
      <c r="A134">
        <v>144</v>
      </c>
      <c r="B134">
        <v>17172</v>
      </c>
      <c r="C134" t="s">
        <v>100</v>
      </c>
      <c r="D134" t="s">
        <v>334</v>
      </c>
      <c r="E134" t="s">
        <v>307</v>
      </c>
      <c r="F134" t="s">
        <v>242</v>
      </c>
      <c r="G134">
        <v>20</v>
      </c>
      <c r="H134">
        <v>20</v>
      </c>
      <c r="I134" s="44">
        <v>1</v>
      </c>
      <c r="J134">
        <v>158</v>
      </c>
      <c r="K134">
        <v>135</v>
      </c>
      <c r="L134">
        <v>14</v>
      </c>
      <c r="M134" s="44">
        <v>0.85440000000000005</v>
      </c>
      <c r="N134" s="44">
        <f t="shared" si="2"/>
        <v>0.54912727272727269</v>
      </c>
      <c r="O134" s="44">
        <v>1</v>
      </c>
      <c r="P134" s="44">
        <v>0.98660000000000003</v>
      </c>
      <c r="Q134" s="44">
        <v>3.3599999999999998E-2</v>
      </c>
      <c r="R134" s="44">
        <v>1</v>
      </c>
      <c r="S134" s="44">
        <v>4.0300000000000002E-2</v>
      </c>
      <c r="T134" s="44">
        <v>0.4027</v>
      </c>
      <c r="U134" s="44">
        <v>0.60399999999999998</v>
      </c>
      <c r="V134" s="44">
        <v>0.4027</v>
      </c>
      <c r="W134" s="44">
        <v>0.87250000000000005</v>
      </c>
      <c r="X134" s="44">
        <v>0.41610000000000003</v>
      </c>
      <c r="Y134" s="44">
        <v>0.28189999999999998</v>
      </c>
      <c r="Z134" s="44">
        <v>0.28189999999999998</v>
      </c>
      <c r="AA134" s="44">
        <v>0.28860000000000002</v>
      </c>
      <c r="AB134" s="44">
        <v>0</v>
      </c>
      <c r="AC134" s="44">
        <v>0</v>
      </c>
      <c r="AD134" s="44">
        <v>0</v>
      </c>
      <c r="AE134">
        <v>17</v>
      </c>
      <c r="AF134">
        <v>1</v>
      </c>
      <c r="AG134" s="44">
        <v>5.8799999999999998E-2</v>
      </c>
      <c r="AH134" s="44">
        <v>0.75590000000000002</v>
      </c>
    </row>
    <row r="135" spans="1:34" x14ac:dyDescent="0.25">
      <c r="A135">
        <v>145</v>
      </c>
      <c r="B135">
        <v>16774</v>
      </c>
      <c r="C135" t="s">
        <v>59</v>
      </c>
      <c r="D135" t="s">
        <v>334</v>
      </c>
      <c r="E135" t="s">
        <v>202</v>
      </c>
      <c r="F135" t="s">
        <v>243</v>
      </c>
      <c r="G135">
        <v>10</v>
      </c>
      <c r="H135">
        <v>10</v>
      </c>
      <c r="I135" s="44">
        <v>1</v>
      </c>
      <c r="J135">
        <v>99</v>
      </c>
      <c r="K135">
        <v>72</v>
      </c>
      <c r="L135">
        <v>10</v>
      </c>
      <c r="M135" s="44">
        <v>0.72729999999999995</v>
      </c>
      <c r="N135" s="44">
        <f t="shared" si="2"/>
        <v>0.75942727272727273</v>
      </c>
      <c r="O135" s="44">
        <v>1</v>
      </c>
      <c r="P135" s="44">
        <v>0.96340000000000003</v>
      </c>
      <c r="Q135" s="44">
        <v>0</v>
      </c>
      <c r="R135" s="44">
        <v>1</v>
      </c>
      <c r="S135" s="44">
        <v>8.5400000000000004E-2</v>
      </c>
      <c r="T135" s="44">
        <v>1</v>
      </c>
      <c r="U135" s="44">
        <v>1</v>
      </c>
      <c r="V135" s="44">
        <v>1</v>
      </c>
      <c r="W135" s="44">
        <v>1</v>
      </c>
      <c r="X135" s="44">
        <v>1</v>
      </c>
      <c r="Y135" s="44">
        <v>0.3049</v>
      </c>
      <c r="Z135" s="44">
        <v>4.8800000000000003E-2</v>
      </c>
      <c r="AA135" s="44">
        <v>4.8800000000000003E-2</v>
      </c>
      <c r="AB135" s="44">
        <v>6.0999999999999999E-2</v>
      </c>
      <c r="AC135" s="44">
        <v>6.0999999999999999E-2</v>
      </c>
      <c r="AD135" s="44">
        <v>6.0999999999999999E-2</v>
      </c>
      <c r="AE135">
        <v>37</v>
      </c>
      <c r="AF135">
        <v>21</v>
      </c>
      <c r="AG135" s="44">
        <v>0.56759999999999999</v>
      </c>
      <c r="AH135" s="44">
        <v>0.75560000000000005</v>
      </c>
    </row>
    <row r="136" spans="1:34" x14ac:dyDescent="0.25">
      <c r="A136">
        <v>147</v>
      </c>
      <c r="B136">
        <v>16856</v>
      </c>
      <c r="C136" t="s">
        <v>123</v>
      </c>
      <c r="D136" t="s">
        <v>334</v>
      </c>
      <c r="E136" t="s">
        <v>311</v>
      </c>
      <c r="F136" t="s">
        <v>243</v>
      </c>
      <c r="G136">
        <v>4</v>
      </c>
      <c r="H136">
        <v>4</v>
      </c>
      <c r="I136" s="44">
        <v>1</v>
      </c>
      <c r="J136">
        <v>57</v>
      </c>
      <c r="K136">
        <v>42</v>
      </c>
      <c r="L136">
        <v>2</v>
      </c>
      <c r="M136" s="44">
        <v>0.73680000000000001</v>
      </c>
      <c r="N136" s="44">
        <f t="shared" si="2"/>
        <v>0.75828181818181806</v>
      </c>
      <c r="O136" s="44">
        <v>0.97729999999999995</v>
      </c>
      <c r="P136" s="44">
        <v>0.93179999999999996</v>
      </c>
      <c r="Q136" s="44">
        <v>0</v>
      </c>
      <c r="R136" s="44">
        <v>0.97729999999999995</v>
      </c>
      <c r="S136" s="44">
        <v>9.0899999999999995E-2</v>
      </c>
      <c r="T136" s="44">
        <v>0.97729999999999995</v>
      </c>
      <c r="U136" s="44">
        <v>0.97729999999999995</v>
      </c>
      <c r="V136" s="44">
        <v>0.97729999999999995</v>
      </c>
      <c r="W136" s="44">
        <v>0.97729999999999995</v>
      </c>
      <c r="X136" s="44">
        <v>0.97729999999999995</v>
      </c>
      <c r="Y136" s="44">
        <v>0.4773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>
        <v>33</v>
      </c>
      <c r="AF136">
        <v>1</v>
      </c>
      <c r="AG136" s="44">
        <v>3.0300000000000001E-2</v>
      </c>
      <c r="AH136" s="44">
        <v>0.75270000000000004</v>
      </c>
    </row>
    <row r="137" spans="1:34" x14ac:dyDescent="0.25">
      <c r="A137">
        <v>148</v>
      </c>
      <c r="B137">
        <v>16853</v>
      </c>
      <c r="C137" t="s">
        <v>122</v>
      </c>
      <c r="D137" t="s">
        <v>334</v>
      </c>
      <c r="E137" t="s">
        <v>311</v>
      </c>
      <c r="F137" t="s">
        <v>243</v>
      </c>
      <c r="G137">
        <v>18</v>
      </c>
      <c r="H137">
        <v>18</v>
      </c>
      <c r="I137" s="44">
        <v>1</v>
      </c>
      <c r="J137">
        <v>79</v>
      </c>
      <c r="K137">
        <v>55</v>
      </c>
      <c r="L137">
        <v>3</v>
      </c>
      <c r="M137" s="44">
        <v>0.69620000000000004</v>
      </c>
      <c r="N137" s="44">
        <f t="shared" si="2"/>
        <v>0.81191818181818176</v>
      </c>
      <c r="O137" s="44">
        <v>1</v>
      </c>
      <c r="P137" s="44">
        <v>0.98280000000000001</v>
      </c>
      <c r="Q137" s="44">
        <v>0</v>
      </c>
      <c r="R137" s="44">
        <v>1</v>
      </c>
      <c r="S137" s="44">
        <v>0.36209999999999998</v>
      </c>
      <c r="T137" s="44">
        <v>1</v>
      </c>
      <c r="U137" s="44">
        <v>1</v>
      </c>
      <c r="V137" s="44">
        <v>1</v>
      </c>
      <c r="W137" s="44">
        <v>1</v>
      </c>
      <c r="X137" s="44">
        <v>1</v>
      </c>
      <c r="Y137" s="44">
        <v>0.58620000000000005</v>
      </c>
      <c r="Z137" s="44">
        <v>0</v>
      </c>
      <c r="AA137" s="44">
        <v>0</v>
      </c>
      <c r="AB137" s="44">
        <v>0</v>
      </c>
      <c r="AC137" s="44">
        <v>0</v>
      </c>
      <c r="AD137" s="44">
        <v>0</v>
      </c>
      <c r="AE137">
        <v>28</v>
      </c>
      <c r="AF137">
        <v>11</v>
      </c>
      <c r="AG137" s="44">
        <v>0.39290000000000003</v>
      </c>
      <c r="AH137" s="44">
        <v>0.75149999999999995</v>
      </c>
    </row>
    <row r="138" spans="1:34" x14ac:dyDescent="0.25">
      <c r="A138">
        <v>149</v>
      </c>
      <c r="B138">
        <v>17098</v>
      </c>
      <c r="C138" t="s">
        <v>51</v>
      </c>
      <c r="D138" t="s">
        <v>334</v>
      </c>
      <c r="E138" t="s">
        <v>309</v>
      </c>
      <c r="F138" t="s">
        <v>242</v>
      </c>
      <c r="G138">
        <v>6</v>
      </c>
      <c r="H138">
        <v>6</v>
      </c>
      <c r="I138" s="44">
        <v>1</v>
      </c>
      <c r="J138">
        <v>66</v>
      </c>
      <c r="K138">
        <v>48</v>
      </c>
      <c r="L138">
        <v>2</v>
      </c>
      <c r="M138" s="44">
        <v>0.72729999999999995</v>
      </c>
      <c r="N138" s="44">
        <f t="shared" si="2"/>
        <v>0.7218181818181818</v>
      </c>
      <c r="O138" s="44">
        <v>0.96</v>
      </c>
      <c r="P138" s="44">
        <v>0.94</v>
      </c>
      <c r="Q138" s="44">
        <v>0.02</v>
      </c>
      <c r="R138" s="44">
        <v>0.96</v>
      </c>
      <c r="S138" s="44">
        <v>0.02</v>
      </c>
      <c r="T138" s="44">
        <v>0.96</v>
      </c>
      <c r="U138" s="44">
        <v>0.96</v>
      </c>
      <c r="V138" s="44">
        <v>0.96</v>
      </c>
      <c r="W138" s="44">
        <v>0.96</v>
      </c>
      <c r="X138" s="44">
        <v>0.96</v>
      </c>
      <c r="Y138" s="44">
        <v>0.24</v>
      </c>
      <c r="Z138" s="44">
        <v>0.2</v>
      </c>
      <c r="AA138" s="44">
        <v>0.22</v>
      </c>
      <c r="AB138" s="44">
        <v>0.02</v>
      </c>
      <c r="AC138" s="44">
        <v>0.02</v>
      </c>
      <c r="AD138" s="44">
        <v>0.02</v>
      </c>
      <c r="AE138">
        <v>30</v>
      </c>
      <c r="AF138">
        <v>0</v>
      </c>
      <c r="AG138" s="44">
        <v>0</v>
      </c>
      <c r="AH138" s="44">
        <v>0.75119999999999998</v>
      </c>
    </row>
    <row r="139" spans="1:34" x14ac:dyDescent="0.25">
      <c r="A139">
        <v>151</v>
      </c>
      <c r="B139">
        <v>16780</v>
      </c>
      <c r="C139" t="s">
        <v>116</v>
      </c>
      <c r="D139" t="s">
        <v>334</v>
      </c>
      <c r="E139" t="s">
        <v>311</v>
      </c>
      <c r="F139" t="s">
        <v>243</v>
      </c>
      <c r="G139">
        <v>11</v>
      </c>
      <c r="H139">
        <v>11</v>
      </c>
      <c r="I139" s="44">
        <v>1</v>
      </c>
      <c r="J139">
        <v>76</v>
      </c>
      <c r="K139">
        <v>56</v>
      </c>
      <c r="L139">
        <v>3</v>
      </c>
      <c r="M139" s="44">
        <v>0.73680000000000001</v>
      </c>
      <c r="N139" s="44">
        <f t="shared" si="2"/>
        <v>0.74268181818181811</v>
      </c>
      <c r="O139" s="44">
        <v>0.98309999999999997</v>
      </c>
      <c r="P139" s="44">
        <v>0.96609999999999996</v>
      </c>
      <c r="Q139" s="44">
        <v>3.39E-2</v>
      </c>
      <c r="R139" s="44">
        <v>0.98309999999999997</v>
      </c>
      <c r="S139" s="44">
        <v>0.1525</v>
      </c>
      <c r="T139" s="44">
        <v>0.96609999999999996</v>
      </c>
      <c r="U139" s="44">
        <v>0.96609999999999996</v>
      </c>
      <c r="V139" s="44">
        <v>0.96609999999999996</v>
      </c>
      <c r="W139" s="44">
        <v>0.96609999999999996</v>
      </c>
      <c r="X139" s="44">
        <v>0.96609999999999996</v>
      </c>
      <c r="Y139" s="44">
        <v>0.2203</v>
      </c>
      <c r="Z139" s="44">
        <v>0</v>
      </c>
      <c r="AA139" s="44">
        <v>0</v>
      </c>
      <c r="AB139" s="44">
        <v>0</v>
      </c>
      <c r="AC139" s="44">
        <v>0</v>
      </c>
      <c r="AD139" s="44">
        <v>0</v>
      </c>
      <c r="AE139">
        <v>20</v>
      </c>
      <c r="AF139">
        <v>9</v>
      </c>
      <c r="AG139" s="44">
        <v>0.45</v>
      </c>
      <c r="AH139" s="44">
        <v>0.74909999999999999</v>
      </c>
    </row>
    <row r="140" spans="1:34" x14ac:dyDescent="0.25">
      <c r="A140">
        <v>152</v>
      </c>
      <c r="B140">
        <v>16809</v>
      </c>
      <c r="C140" t="s">
        <v>174</v>
      </c>
      <c r="D140" t="s">
        <v>334</v>
      </c>
      <c r="E140" t="s">
        <v>301</v>
      </c>
      <c r="F140" t="s">
        <v>243</v>
      </c>
      <c r="G140">
        <v>15</v>
      </c>
      <c r="H140">
        <v>15</v>
      </c>
      <c r="I140" s="44">
        <v>1</v>
      </c>
      <c r="J140">
        <v>119</v>
      </c>
      <c r="K140">
        <v>88</v>
      </c>
      <c r="L140">
        <v>19</v>
      </c>
      <c r="M140" s="44">
        <v>0.73950000000000005</v>
      </c>
      <c r="N140" s="44">
        <f t="shared" si="2"/>
        <v>0.72473636363636362</v>
      </c>
      <c r="O140" s="44">
        <v>1</v>
      </c>
      <c r="P140" s="44">
        <v>0.98129999999999995</v>
      </c>
      <c r="Q140" s="44">
        <v>0.1308</v>
      </c>
      <c r="R140" s="44">
        <v>1</v>
      </c>
      <c r="S140" s="44">
        <v>0.24299999999999999</v>
      </c>
      <c r="T140" s="44">
        <v>0.86919999999999997</v>
      </c>
      <c r="U140" s="44">
        <v>0.86919999999999997</v>
      </c>
      <c r="V140" s="44">
        <v>0.86919999999999997</v>
      </c>
      <c r="W140" s="44">
        <v>0.86919999999999997</v>
      </c>
      <c r="X140" s="44">
        <v>0.86919999999999997</v>
      </c>
      <c r="Y140" s="44">
        <v>0.27100000000000002</v>
      </c>
      <c r="Z140" s="44">
        <v>2.8000000000000001E-2</v>
      </c>
      <c r="AA140" s="44">
        <v>2.8000000000000001E-2</v>
      </c>
      <c r="AB140" s="44">
        <v>1.8700000000000001E-2</v>
      </c>
      <c r="AC140" s="44">
        <v>1.8700000000000001E-2</v>
      </c>
      <c r="AD140" s="44">
        <v>1.8700000000000001E-2</v>
      </c>
      <c r="AE140">
        <v>48</v>
      </c>
      <c r="AF140">
        <v>19</v>
      </c>
      <c r="AG140" s="44">
        <v>0.39579999999999999</v>
      </c>
      <c r="AH140" s="44">
        <v>0.74829999999999997</v>
      </c>
    </row>
    <row r="141" spans="1:34" x14ac:dyDescent="0.25">
      <c r="A141">
        <v>153</v>
      </c>
      <c r="B141">
        <v>17091</v>
      </c>
      <c r="C141" t="s">
        <v>44</v>
      </c>
      <c r="D141" t="s">
        <v>334</v>
      </c>
      <c r="E141" t="s">
        <v>309</v>
      </c>
      <c r="F141" t="s">
        <v>242</v>
      </c>
      <c r="G141">
        <v>15</v>
      </c>
      <c r="H141">
        <v>14</v>
      </c>
      <c r="I141" s="44">
        <v>0.93330000000000002</v>
      </c>
      <c r="J141">
        <v>106</v>
      </c>
      <c r="K141">
        <v>82</v>
      </c>
      <c r="L141">
        <v>2</v>
      </c>
      <c r="M141" s="44">
        <v>0.77359999999999995</v>
      </c>
      <c r="N141" s="44">
        <f t="shared" si="2"/>
        <v>0.78246363636363625</v>
      </c>
      <c r="O141" s="44">
        <v>1</v>
      </c>
      <c r="P141" s="44">
        <v>0.97619999999999996</v>
      </c>
      <c r="Q141" s="44">
        <v>0.21429999999999999</v>
      </c>
      <c r="R141" s="44">
        <v>1</v>
      </c>
      <c r="S141" s="44">
        <v>0.11899999999999999</v>
      </c>
      <c r="T141" s="44">
        <v>1</v>
      </c>
      <c r="U141" s="44">
        <v>1</v>
      </c>
      <c r="V141" s="44">
        <v>1</v>
      </c>
      <c r="W141" s="44">
        <v>1</v>
      </c>
      <c r="X141" s="44">
        <v>1</v>
      </c>
      <c r="Y141" s="44">
        <v>0.29759999999999998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>
        <v>26</v>
      </c>
      <c r="AF141">
        <v>25</v>
      </c>
      <c r="AG141" s="44">
        <v>0.96150000000000002</v>
      </c>
      <c r="AH141" s="44">
        <v>0.74829999999999997</v>
      </c>
    </row>
    <row r="142" spans="1:34" x14ac:dyDescent="0.25">
      <c r="A142">
        <v>154</v>
      </c>
      <c r="B142">
        <v>16800</v>
      </c>
      <c r="C142" t="s">
        <v>104</v>
      </c>
      <c r="D142" t="s">
        <v>334</v>
      </c>
      <c r="E142" t="s">
        <v>205</v>
      </c>
      <c r="F142" t="s">
        <v>243</v>
      </c>
      <c r="G142">
        <v>1</v>
      </c>
      <c r="H142">
        <v>1</v>
      </c>
      <c r="I142" s="44">
        <v>1</v>
      </c>
      <c r="J142">
        <v>26</v>
      </c>
      <c r="K142">
        <v>21</v>
      </c>
      <c r="L142">
        <v>1</v>
      </c>
      <c r="M142" s="44">
        <v>0.80769999999999997</v>
      </c>
      <c r="N142" s="44">
        <f t="shared" si="2"/>
        <v>0.53720909090909086</v>
      </c>
      <c r="O142" s="44">
        <v>0.63639999999999997</v>
      </c>
      <c r="P142" s="44">
        <v>0.63639999999999997</v>
      </c>
      <c r="Q142" s="44">
        <v>0</v>
      </c>
      <c r="R142" s="44">
        <v>0.63639999999999997</v>
      </c>
      <c r="S142" s="44">
        <v>0.18179999999999999</v>
      </c>
      <c r="T142" s="44">
        <v>0.63639999999999997</v>
      </c>
      <c r="U142" s="44">
        <v>0.72729999999999995</v>
      </c>
      <c r="V142" s="44">
        <v>0.63639999999999997</v>
      </c>
      <c r="W142" s="44">
        <v>0.72729999999999995</v>
      </c>
      <c r="X142" s="44">
        <v>0.63639999999999997</v>
      </c>
      <c r="Y142" s="44">
        <v>0.45450000000000002</v>
      </c>
      <c r="Z142" s="44">
        <v>0.2273</v>
      </c>
      <c r="AA142" s="44">
        <v>0.2273</v>
      </c>
      <c r="AB142" s="44">
        <v>0.18179999999999999</v>
      </c>
      <c r="AC142" s="44">
        <v>0.18179999999999999</v>
      </c>
      <c r="AD142" s="44">
        <v>0.18179999999999999</v>
      </c>
      <c r="AE142">
        <v>8</v>
      </c>
      <c r="AF142">
        <v>8</v>
      </c>
      <c r="AG142" s="44">
        <v>1</v>
      </c>
      <c r="AH142" s="44">
        <v>0.74650000000000005</v>
      </c>
    </row>
    <row r="143" spans="1:34" x14ac:dyDescent="0.25">
      <c r="A143">
        <v>155</v>
      </c>
      <c r="B143">
        <v>16851</v>
      </c>
      <c r="C143" t="s">
        <v>83</v>
      </c>
      <c r="D143" t="s">
        <v>334</v>
      </c>
      <c r="E143" t="s">
        <v>203</v>
      </c>
      <c r="F143" t="s">
        <v>243</v>
      </c>
      <c r="G143">
        <v>25</v>
      </c>
      <c r="H143">
        <v>25</v>
      </c>
      <c r="I143" s="44">
        <v>1</v>
      </c>
      <c r="J143">
        <v>95</v>
      </c>
      <c r="K143">
        <v>60</v>
      </c>
      <c r="L143">
        <v>14</v>
      </c>
      <c r="M143" s="44">
        <v>0.63160000000000005</v>
      </c>
      <c r="N143" s="44">
        <f t="shared" si="2"/>
        <v>0.79361818181818211</v>
      </c>
      <c r="O143" s="44">
        <v>0.98650000000000004</v>
      </c>
      <c r="P143" s="44">
        <v>0.91890000000000005</v>
      </c>
      <c r="Q143" s="44">
        <v>2.7E-2</v>
      </c>
      <c r="R143" s="44">
        <v>0.98650000000000004</v>
      </c>
      <c r="S143" s="44">
        <v>0.25679999999999997</v>
      </c>
      <c r="T143" s="44">
        <v>0.98650000000000004</v>
      </c>
      <c r="U143" s="44">
        <v>0.98650000000000004</v>
      </c>
      <c r="V143" s="44">
        <v>0.98650000000000004</v>
      </c>
      <c r="W143" s="44">
        <v>0.98650000000000004</v>
      </c>
      <c r="X143" s="44">
        <v>0.98650000000000004</v>
      </c>
      <c r="Y143" s="44">
        <v>0.62160000000000004</v>
      </c>
      <c r="Z143" s="44">
        <v>0.2432</v>
      </c>
      <c r="AA143" s="44">
        <v>0.27029999999999998</v>
      </c>
      <c r="AB143" s="44">
        <v>9.4600000000000004E-2</v>
      </c>
      <c r="AC143" s="44">
        <v>9.4600000000000004E-2</v>
      </c>
      <c r="AD143" s="44">
        <v>9.4600000000000004E-2</v>
      </c>
      <c r="AE143">
        <v>25</v>
      </c>
      <c r="AF143">
        <v>6</v>
      </c>
      <c r="AG143" s="44">
        <v>0.24</v>
      </c>
      <c r="AH143" s="44">
        <v>0.74229999999999996</v>
      </c>
    </row>
    <row r="144" spans="1:34" x14ac:dyDescent="0.25">
      <c r="A144">
        <v>156</v>
      </c>
      <c r="B144">
        <v>16688</v>
      </c>
      <c r="C144" t="s">
        <v>102</v>
      </c>
      <c r="D144" t="s">
        <v>334</v>
      </c>
      <c r="E144" t="s">
        <v>205</v>
      </c>
      <c r="F144" t="s">
        <v>243</v>
      </c>
      <c r="G144">
        <v>20</v>
      </c>
      <c r="H144">
        <v>18</v>
      </c>
      <c r="I144" s="44">
        <v>0.9</v>
      </c>
      <c r="J144">
        <v>150</v>
      </c>
      <c r="K144">
        <v>115</v>
      </c>
      <c r="L144">
        <v>5</v>
      </c>
      <c r="M144" s="44">
        <v>0.76670000000000005</v>
      </c>
      <c r="N144" s="44">
        <f t="shared" si="2"/>
        <v>0.80227272727272725</v>
      </c>
      <c r="O144" s="44">
        <v>1</v>
      </c>
      <c r="P144" s="44">
        <v>0.97499999999999998</v>
      </c>
      <c r="Q144" s="44">
        <v>0.3</v>
      </c>
      <c r="R144" s="44">
        <v>1</v>
      </c>
      <c r="S144" s="44">
        <v>0.22500000000000001</v>
      </c>
      <c r="T144" s="44">
        <v>1</v>
      </c>
      <c r="U144" s="44">
        <v>1</v>
      </c>
      <c r="V144" s="44">
        <v>1</v>
      </c>
      <c r="W144" s="44">
        <v>1</v>
      </c>
      <c r="X144" s="44">
        <v>1</v>
      </c>
      <c r="Y144" s="44">
        <v>0.32500000000000001</v>
      </c>
      <c r="Z144" s="44">
        <v>1.67E-2</v>
      </c>
      <c r="AA144" s="44">
        <v>1.67E-2</v>
      </c>
      <c r="AB144" s="44">
        <v>0</v>
      </c>
      <c r="AC144" s="44">
        <v>0</v>
      </c>
      <c r="AD144" s="44">
        <v>0</v>
      </c>
      <c r="AE144">
        <v>59</v>
      </c>
      <c r="AF144">
        <v>50</v>
      </c>
      <c r="AG144" s="44">
        <v>0.84750000000000003</v>
      </c>
      <c r="AH144" s="44">
        <v>0.74009999999999998</v>
      </c>
    </row>
    <row r="145" spans="1:34" x14ac:dyDescent="0.25">
      <c r="A145">
        <v>157</v>
      </c>
      <c r="B145">
        <v>17160</v>
      </c>
      <c r="C145" t="s">
        <v>88</v>
      </c>
      <c r="D145" t="s">
        <v>334</v>
      </c>
      <c r="E145" t="s">
        <v>307</v>
      </c>
      <c r="F145" t="s">
        <v>242</v>
      </c>
      <c r="G145">
        <v>8</v>
      </c>
      <c r="H145">
        <v>7</v>
      </c>
      <c r="I145" s="44">
        <v>0.875</v>
      </c>
      <c r="J145">
        <v>86</v>
      </c>
      <c r="K145">
        <v>69</v>
      </c>
      <c r="L145">
        <v>8</v>
      </c>
      <c r="M145" s="44">
        <v>0.80230000000000001</v>
      </c>
      <c r="N145" s="44">
        <f t="shared" si="2"/>
        <v>0.78275454545454548</v>
      </c>
      <c r="O145" s="44">
        <v>1</v>
      </c>
      <c r="P145" s="44">
        <v>0.98699999999999999</v>
      </c>
      <c r="Q145" s="44">
        <v>0.1169</v>
      </c>
      <c r="R145" s="44">
        <v>1</v>
      </c>
      <c r="S145" s="44">
        <v>0.15579999999999999</v>
      </c>
      <c r="T145" s="44">
        <v>1</v>
      </c>
      <c r="U145" s="44">
        <v>1</v>
      </c>
      <c r="V145" s="44">
        <v>1</v>
      </c>
      <c r="W145" s="44">
        <v>1</v>
      </c>
      <c r="X145" s="44">
        <v>1</v>
      </c>
      <c r="Y145" s="44">
        <v>0.35060000000000002</v>
      </c>
      <c r="Z145" s="44">
        <v>0</v>
      </c>
      <c r="AA145" s="44">
        <v>0</v>
      </c>
      <c r="AB145" s="44">
        <v>0</v>
      </c>
      <c r="AC145" s="44">
        <v>0</v>
      </c>
      <c r="AD145" s="44">
        <v>0</v>
      </c>
      <c r="AE145">
        <v>10</v>
      </c>
      <c r="AF145">
        <v>1</v>
      </c>
      <c r="AG145" s="44">
        <v>0.1</v>
      </c>
      <c r="AH145" s="44">
        <v>0.73850000000000005</v>
      </c>
    </row>
    <row r="146" spans="1:34" x14ac:dyDescent="0.25">
      <c r="A146">
        <v>158</v>
      </c>
      <c r="B146">
        <v>17079</v>
      </c>
      <c r="C146" t="s">
        <v>16</v>
      </c>
      <c r="D146" t="s">
        <v>334</v>
      </c>
      <c r="E146" t="s">
        <v>308</v>
      </c>
      <c r="F146" t="s">
        <v>241</v>
      </c>
      <c r="G146">
        <v>3</v>
      </c>
      <c r="H146">
        <v>3</v>
      </c>
      <c r="I146" s="44">
        <v>1</v>
      </c>
      <c r="J146">
        <v>61</v>
      </c>
      <c r="K146">
        <v>53</v>
      </c>
      <c r="L146">
        <v>6</v>
      </c>
      <c r="M146" s="44">
        <v>0.86890000000000001</v>
      </c>
      <c r="N146" s="44">
        <f t="shared" si="2"/>
        <v>0.4869</v>
      </c>
      <c r="O146" s="44">
        <v>1</v>
      </c>
      <c r="P146" s="44">
        <v>0.96609999999999996</v>
      </c>
      <c r="Q146" s="44">
        <v>3.39E-2</v>
      </c>
      <c r="R146" s="44">
        <v>1</v>
      </c>
      <c r="S146" s="44">
        <v>3.39E-2</v>
      </c>
      <c r="T146" s="44">
        <v>8.4699999999999998E-2</v>
      </c>
      <c r="U146" s="44">
        <v>0.77969999999999995</v>
      </c>
      <c r="V146" s="44">
        <v>0.52539999999999998</v>
      </c>
      <c r="W146" s="44">
        <v>0.42370000000000002</v>
      </c>
      <c r="X146" s="44">
        <v>0.50849999999999995</v>
      </c>
      <c r="Y146" s="44">
        <v>0</v>
      </c>
      <c r="Z146" s="44">
        <v>0</v>
      </c>
      <c r="AA146" s="44">
        <v>0</v>
      </c>
      <c r="AB146" s="44">
        <v>0</v>
      </c>
      <c r="AC146" s="44">
        <v>0</v>
      </c>
      <c r="AD146" s="44">
        <v>0</v>
      </c>
      <c r="AE146">
        <v>9</v>
      </c>
      <c r="AF146">
        <v>4</v>
      </c>
      <c r="AG146" s="44">
        <v>0.44440000000000002</v>
      </c>
      <c r="AH146" s="44">
        <v>0.73450000000000004</v>
      </c>
    </row>
    <row r="147" spans="1:34" x14ac:dyDescent="0.25">
      <c r="A147">
        <v>159</v>
      </c>
      <c r="B147">
        <v>16777</v>
      </c>
      <c r="C147" t="s">
        <v>114</v>
      </c>
      <c r="D147" t="s">
        <v>334</v>
      </c>
      <c r="E147" t="s">
        <v>311</v>
      </c>
      <c r="F147" t="s">
        <v>243</v>
      </c>
      <c r="G147">
        <v>7</v>
      </c>
      <c r="H147">
        <v>7</v>
      </c>
      <c r="I147" s="44">
        <v>1</v>
      </c>
      <c r="J147">
        <v>67</v>
      </c>
      <c r="K147">
        <v>45</v>
      </c>
      <c r="L147">
        <v>4</v>
      </c>
      <c r="M147" s="44">
        <v>0.67159999999999997</v>
      </c>
      <c r="N147" s="44">
        <f t="shared" si="2"/>
        <v>0.77181818181818196</v>
      </c>
      <c r="O147" s="44">
        <v>0.95920000000000005</v>
      </c>
      <c r="P147" s="44">
        <v>0.91839999999999999</v>
      </c>
      <c r="Q147" s="44">
        <v>0</v>
      </c>
      <c r="R147" s="44">
        <v>0.95920000000000005</v>
      </c>
      <c r="S147" s="44">
        <v>0.1633</v>
      </c>
      <c r="T147" s="44">
        <v>0.95920000000000005</v>
      </c>
      <c r="U147" s="44">
        <v>1</v>
      </c>
      <c r="V147" s="44">
        <v>0.95920000000000005</v>
      </c>
      <c r="W147" s="44">
        <v>0.97960000000000003</v>
      </c>
      <c r="X147" s="44">
        <v>0.95920000000000005</v>
      </c>
      <c r="Y147" s="44">
        <v>0.63270000000000004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>
        <v>27</v>
      </c>
      <c r="AF147">
        <v>7</v>
      </c>
      <c r="AG147" s="44">
        <v>0.25929999999999997</v>
      </c>
      <c r="AH147" s="44">
        <v>0.73409999999999997</v>
      </c>
    </row>
    <row r="148" spans="1:34" x14ac:dyDescent="0.25">
      <c r="A148">
        <v>161</v>
      </c>
      <c r="B148">
        <v>17099</v>
      </c>
      <c r="C148" t="s">
        <v>52</v>
      </c>
      <c r="D148" t="s">
        <v>334</v>
      </c>
      <c r="E148" t="s">
        <v>309</v>
      </c>
      <c r="F148" t="s">
        <v>242</v>
      </c>
      <c r="G148">
        <v>5</v>
      </c>
      <c r="H148">
        <v>5</v>
      </c>
      <c r="I148" s="44">
        <v>1</v>
      </c>
      <c r="J148">
        <v>65</v>
      </c>
      <c r="K148">
        <v>60</v>
      </c>
      <c r="L148">
        <v>2</v>
      </c>
      <c r="M148" s="44">
        <v>0.92310000000000003</v>
      </c>
      <c r="N148" s="44">
        <f t="shared" si="2"/>
        <v>0.3695</v>
      </c>
      <c r="O148" s="44">
        <v>1</v>
      </c>
      <c r="P148" s="44">
        <v>0.9516</v>
      </c>
      <c r="Q148" s="44">
        <v>0</v>
      </c>
      <c r="R148" s="44">
        <v>1</v>
      </c>
      <c r="S148" s="44">
        <v>4.8399999999999999E-2</v>
      </c>
      <c r="T148" s="44">
        <v>1.61E-2</v>
      </c>
      <c r="U148" s="44">
        <v>0.9839</v>
      </c>
      <c r="V148" s="44">
        <v>1.61E-2</v>
      </c>
      <c r="W148" s="44">
        <v>3.2300000000000002E-2</v>
      </c>
      <c r="X148" s="44">
        <v>1.61E-2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>
        <v>32</v>
      </c>
      <c r="AF148">
        <v>9</v>
      </c>
      <c r="AG148" s="44">
        <v>0.28129999999999999</v>
      </c>
      <c r="AH148" s="44">
        <v>0.72570000000000001</v>
      </c>
    </row>
    <row r="149" spans="1:34" x14ac:dyDescent="0.25">
      <c r="A149">
        <v>162</v>
      </c>
      <c r="B149">
        <v>17112</v>
      </c>
      <c r="C149" t="s">
        <v>189</v>
      </c>
      <c r="D149" t="s">
        <v>334</v>
      </c>
      <c r="E149" t="s">
        <v>310</v>
      </c>
      <c r="F149" t="s">
        <v>242</v>
      </c>
      <c r="G149">
        <v>6</v>
      </c>
      <c r="H149">
        <v>6</v>
      </c>
      <c r="I149" s="44">
        <v>1</v>
      </c>
      <c r="J149">
        <v>44</v>
      </c>
      <c r="K149">
        <v>29</v>
      </c>
      <c r="L149">
        <v>1</v>
      </c>
      <c r="M149" s="44">
        <v>0.65910000000000002</v>
      </c>
      <c r="N149" s="44">
        <f t="shared" si="2"/>
        <v>0.75151818181818186</v>
      </c>
      <c r="O149" s="44">
        <v>1</v>
      </c>
      <c r="P149" s="44">
        <v>1</v>
      </c>
      <c r="Q149" s="44">
        <v>0</v>
      </c>
      <c r="R149" s="44">
        <v>1</v>
      </c>
      <c r="S149" s="44">
        <v>0.16669999999999999</v>
      </c>
      <c r="T149" s="44">
        <v>1</v>
      </c>
      <c r="U149" s="44">
        <v>1</v>
      </c>
      <c r="V149" s="44">
        <v>1</v>
      </c>
      <c r="W149" s="44">
        <v>1</v>
      </c>
      <c r="X149" s="44">
        <v>1</v>
      </c>
      <c r="Y149" s="44">
        <v>0.1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>
        <v>8</v>
      </c>
      <c r="AF149">
        <v>3</v>
      </c>
      <c r="AG149" s="44">
        <v>0.375</v>
      </c>
      <c r="AH149" s="44">
        <v>0.72529999999999994</v>
      </c>
    </row>
    <row r="150" spans="1:34" x14ac:dyDescent="0.25">
      <c r="A150">
        <v>163</v>
      </c>
      <c r="B150">
        <v>16837</v>
      </c>
      <c r="C150" t="s">
        <v>120</v>
      </c>
      <c r="D150" t="s">
        <v>334</v>
      </c>
      <c r="E150" t="s">
        <v>311</v>
      </c>
      <c r="F150" t="s">
        <v>243</v>
      </c>
      <c r="G150">
        <v>9</v>
      </c>
      <c r="H150">
        <v>8</v>
      </c>
      <c r="I150" s="44">
        <v>0.88890000000000002</v>
      </c>
      <c r="J150">
        <v>57</v>
      </c>
      <c r="K150">
        <v>43</v>
      </c>
      <c r="L150">
        <v>0</v>
      </c>
      <c r="M150" s="44">
        <v>0.75439999999999996</v>
      </c>
      <c r="N150" s="44">
        <f t="shared" si="2"/>
        <v>0.76107272727272735</v>
      </c>
      <c r="O150" s="44">
        <v>0.97670000000000001</v>
      </c>
      <c r="P150" s="44">
        <v>0.95350000000000001</v>
      </c>
      <c r="Q150" s="44">
        <v>0</v>
      </c>
      <c r="R150" s="44">
        <v>0.97670000000000001</v>
      </c>
      <c r="S150" s="44">
        <v>0.2326</v>
      </c>
      <c r="T150" s="44">
        <v>0.97670000000000001</v>
      </c>
      <c r="U150" s="44">
        <v>0.97670000000000001</v>
      </c>
      <c r="V150" s="44">
        <v>0.97670000000000001</v>
      </c>
      <c r="W150" s="44">
        <v>0.97670000000000001</v>
      </c>
      <c r="X150" s="44">
        <v>0.97670000000000001</v>
      </c>
      <c r="Y150" s="44">
        <v>0.3488</v>
      </c>
      <c r="Z150" s="44">
        <v>2.3300000000000001E-2</v>
      </c>
      <c r="AA150" s="44">
        <v>2.3300000000000001E-2</v>
      </c>
      <c r="AB150" s="44">
        <v>4.65E-2</v>
      </c>
      <c r="AC150" s="44">
        <v>2.3300000000000001E-2</v>
      </c>
      <c r="AD150" s="44">
        <v>2.3300000000000001E-2</v>
      </c>
      <c r="AE150">
        <v>22</v>
      </c>
      <c r="AF150">
        <v>13</v>
      </c>
      <c r="AG150" s="44">
        <v>0.59089999999999998</v>
      </c>
      <c r="AH150" s="44">
        <v>0.72509999999999997</v>
      </c>
    </row>
    <row r="151" spans="1:34" x14ac:dyDescent="0.25">
      <c r="A151">
        <v>164</v>
      </c>
      <c r="B151">
        <v>17092</v>
      </c>
      <c r="C151" t="s">
        <v>45</v>
      </c>
      <c r="D151" t="s">
        <v>334</v>
      </c>
      <c r="E151" t="s">
        <v>309</v>
      </c>
      <c r="F151" t="s">
        <v>242</v>
      </c>
      <c r="G151">
        <v>12</v>
      </c>
      <c r="H151">
        <v>12</v>
      </c>
      <c r="I151" s="44">
        <v>1</v>
      </c>
      <c r="J151">
        <v>93</v>
      </c>
      <c r="K151">
        <v>84</v>
      </c>
      <c r="L151">
        <v>2</v>
      </c>
      <c r="M151" s="44">
        <v>0.9032</v>
      </c>
      <c r="N151" s="44">
        <f t="shared" si="2"/>
        <v>0.37843636363636352</v>
      </c>
      <c r="O151" s="44">
        <v>0.98839999999999995</v>
      </c>
      <c r="P151" s="44">
        <v>0.94189999999999996</v>
      </c>
      <c r="Q151" s="44">
        <v>1.1599999999999999E-2</v>
      </c>
      <c r="R151" s="44">
        <v>0.98839999999999995</v>
      </c>
      <c r="S151" s="44">
        <v>0</v>
      </c>
      <c r="T151" s="44">
        <v>5.8099999999999999E-2</v>
      </c>
      <c r="U151" s="44">
        <v>0.98839999999999995</v>
      </c>
      <c r="V151" s="44">
        <v>1.1599999999999999E-2</v>
      </c>
      <c r="W151" s="44">
        <v>0.1512</v>
      </c>
      <c r="X151" s="44">
        <v>1.1599999999999999E-2</v>
      </c>
      <c r="Y151" s="44">
        <v>1.1599999999999999E-2</v>
      </c>
      <c r="Z151" s="44">
        <v>0</v>
      </c>
      <c r="AA151" s="44">
        <v>0</v>
      </c>
      <c r="AB151" s="44">
        <v>0</v>
      </c>
      <c r="AC151" s="44">
        <v>0</v>
      </c>
      <c r="AD151" s="44">
        <v>0</v>
      </c>
      <c r="AE151">
        <v>18</v>
      </c>
      <c r="AF151">
        <v>0</v>
      </c>
      <c r="AG151" s="44">
        <v>0</v>
      </c>
      <c r="AH151" s="44">
        <v>0.72109999999999996</v>
      </c>
    </row>
    <row r="152" spans="1:34" x14ac:dyDescent="0.25">
      <c r="A152">
        <v>165</v>
      </c>
      <c r="B152">
        <v>16906</v>
      </c>
      <c r="C152" t="s">
        <v>154</v>
      </c>
      <c r="D152" t="s">
        <v>334</v>
      </c>
      <c r="E152" t="s">
        <v>208</v>
      </c>
      <c r="F152" t="s">
        <v>243</v>
      </c>
      <c r="G152">
        <v>11</v>
      </c>
      <c r="H152">
        <v>11</v>
      </c>
      <c r="I152" s="44">
        <v>1</v>
      </c>
      <c r="J152">
        <v>98</v>
      </c>
      <c r="K152">
        <v>52</v>
      </c>
      <c r="L152">
        <v>16</v>
      </c>
      <c r="M152" s="44">
        <v>0.53059999999999996</v>
      </c>
      <c r="N152" s="44">
        <f t="shared" si="2"/>
        <v>0.81150000000000011</v>
      </c>
      <c r="O152" s="44">
        <v>1</v>
      </c>
      <c r="P152" s="44">
        <v>0.98529999999999995</v>
      </c>
      <c r="Q152" s="44">
        <v>0.26469999999999999</v>
      </c>
      <c r="R152" s="44">
        <v>1</v>
      </c>
      <c r="S152" s="44">
        <v>0.14710000000000001</v>
      </c>
      <c r="T152" s="44">
        <v>1</v>
      </c>
      <c r="U152" s="44">
        <v>1</v>
      </c>
      <c r="V152" s="44">
        <v>1</v>
      </c>
      <c r="W152" s="44">
        <v>1</v>
      </c>
      <c r="X152" s="44">
        <v>1</v>
      </c>
      <c r="Y152" s="44">
        <v>0.52939999999999998</v>
      </c>
      <c r="Z152" s="44">
        <v>0.52939999999999998</v>
      </c>
      <c r="AA152" s="44">
        <v>0.51470000000000005</v>
      </c>
      <c r="AB152" s="44">
        <v>2.9399999999999999E-2</v>
      </c>
      <c r="AC152" s="44">
        <v>2.9399999999999999E-2</v>
      </c>
      <c r="AD152" s="44">
        <v>2.9399999999999999E-2</v>
      </c>
      <c r="AE152">
        <v>18</v>
      </c>
      <c r="AF152">
        <v>18</v>
      </c>
      <c r="AG152" s="44">
        <v>1</v>
      </c>
      <c r="AH152" s="44">
        <v>0.7198</v>
      </c>
    </row>
    <row r="153" spans="1:34" x14ac:dyDescent="0.25">
      <c r="A153">
        <v>166</v>
      </c>
      <c r="B153">
        <v>16827</v>
      </c>
      <c r="C153" t="s">
        <v>182</v>
      </c>
      <c r="D153" t="s">
        <v>334</v>
      </c>
      <c r="E153" t="s">
        <v>301</v>
      </c>
      <c r="F153" t="s">
        <v>243</v>
      </c>
      <c r="G153">
        <v>21</v>
      </c>
      <c r="H153">
        <v>18</v>
      </c>
      <c r="I153" s="44">
        <v>0.85709999999999997</v>
      </c>
      <c r="J153">
        <v>142</v>
      </c>
      <c r="K153">
        <v>103</v>
      </c>
      <c r="L153">
        <v>17</v>
      </c>
      <c r="M153" s="44">
        <v>0.72540000000000004</v>
      </c>
      <c r="N153" s="44">
        <f t="shared" si="2"/>
        <v>0.80380909090909103</v>
      </c>
      <c r="O153" s="44">
        <v>0.99170000000000003</v>
      </c>
      <c r="P153" s="44">
        <v>1</v>
      </c>
      <c r="Q153" s="44">
        <v>0.1583</v>
      </c>
      <c r="R153" s="44">
        <v>0.99170000000000003</v>
      </c>
      <c r="S153" s="44">
        <v>0.2167</v>
      </c>
      <c r="T153" s="44">
        <v>0.99170000000000003</v>
      </c>
      <c r="U153" s="44">
        <v>0.99170000000000003</v>
      </c>
      <c r="V153" s="44">
        <v>0.99170000000000003</v>
      </c>
      <c r="W153" s="44">
        <v>0.99170000000000003</v>
      </c>
      <c r="X153" s="44">
        <v>0.99170000000000003</v>
      </c>
      <c r="Y153" s="44">
        <v>0.52500000000000002</v>
      </c>
      <c r="Z153" s="44">
        <v>0.19170000000000001</v>
      </c>
      <c r="AA153" s="44">
        <v>0.18329999999999999</v>
      </c>
      <c r="AB153" s="44">
        <v>0</v>
      </c>
      <c r="AC153" s="44">
        <v>0</v>
      </c>
      <c r="AD153" s="44">
        <v>0</v>
      </c>
      <c r="AE153">
        <v>69</v>
      </c>
      <c r="AF153">
        <v>34</v>
      </c>
      <c r="AG153" s="44">
        <v>0.49280000000000002</v>
      </c>
      <c r="AH153" s="44">
        <v>0.71950000000000003</v>
      </c>
    </row>
    <row r="154" spans="1:34" x14ac:dyDescent="0.25">
      <c r="A154">
        <v>167</v>
      </c>
      <c r="B154">
        <v>16801</v>
      </c>
      <c r="C154" t="s">
        <v>105</v>
      </c>
      <c r="D154" t="s">
        <v>334</v>
      </c>
      <c r="E154" t="s">
        <v>205</v>
      </c>
      <c r="F154" t="s">
        <v>243</v>
      </c>
      <c r="G154">
        <v>17</v>
      </c>
      <c r="H154">
        <v>15</v>
      </c>
      <c r="I154" s="44">
        <v>0.88239999999999996</v>
      </c>
      <c r="J154">
        <v>89</v>
      </c>
      <c r="K154">
        <v>60</v>
      </c>
      <c r="L154">
        <v>9</v>
      </c>
      <c r="M154" s="44">
        <v>0.67420000000000002</v>
      </c>
      <c r="N154" s="44">
        <f t="shared" si="2"/>
        <v>0.78260909090909081</v>
      </c>
      <c r="O154" s="44">
        <v>1</v>
      </c>
      <c r="P154" s="44">
        <v>0.95650000000000002</v>
      </c>
      <c r="Q154" s="44">
        <v>2.9000000000000001E-2</v>
      </c>
      <c r="R154" s="44">
        <v>1</v>
      </c>
      <c r="S154" s="44">
        <v>7.2499999999999995E-2</v>
      </c>
      <c r="T154" s="44">
        <v>1</v>
      </c>
      <c r="U154" s="44">
        <v>1</v>
      </c>
      <c r="V154" s="44">
        <v>1</v>
      </c>
      <c r="W154" s="44">
        <v>1</v>
      </c>
      <c r="X154" s="44">
        <v>1</v>
      </c>
      <c r="Y154" s="44">
        <v>0.55069999999999997</v>
      </c>
      <c r="Z154" s="44">
        <v>0.49280000000000002</v>
      </c>
      <c r="AA154" s="44">
        <v>0.46379999999999999</v>
      </c>
      <c r="AB154" s="44">
        <v>1.4500000000000001E-2</v>
      </c>
      <c r="AC154" s="44">
        <v>0</v>
      </c>
      <c r="AD154" s="44">
        <v>0</v>
      </c>
      <c r="AE154">
        <v>25</v>
      </c>
      <c r="AF154">
        <v>13</v>
      </c>
      <c r="AG154" s="44">
        <v>0.52</v>
      </c>
      <c r="AH154" s="44">
        <v>0.71840000000000004</v>
      </c>
    </row>
    <row r="155" spans="1:34" x14ac:dyDescent="0.25">
      <c r="A155">
        <v>168</v>
      </c>
      <c r="B155">
        <v>17083</v>
      </c>
      <c r="C155" t="s">
        <v>20</v>
      </c>
      <c r="D155" t="s">
        <v>334</v>
      </c>
      <c r="E155" t="s">
        <v>310</v>
      </c>
      <c r="F155" t="s">
        <v>242</v>
      </c>
      <c r="G155">
        <v>1</v>
      </c>
      <c r="H155">
        <v>1</v>
      </c>
      <c r="I155" s="44">
        <v>1</v>
      </c>
      <c r="J155">
        <v>25</v>
      </c>
      <c r="K155">
        <v>23</v>
      </c>
      <c r="L155">
        <v>1</v>
      </c>
      <c r="M155" s="44">
        <v>0.92</v>
      </c>
      <c r="N155" s="44">
        <f t="shared" si="2"/>
        <v>0.27650909090909087</v>
      </c>
      <c r="O155" s="44">
        <v>0.41670000000000001</v>
      </c>
      <c r="P155" s="44">
        <v>0.375</v>
      </c>
      <c r="Q155" s="44">
        <v>0</v>
      </c>
      <c r="R155" s="44">
        <v>0.375</v>
      </c>
      <c r="S155" s="44">
        <v>0</v>
      </c>
      <c r="T155" s="44">
        <v>0.33329999999999999</v>
      </c>
      <c r="U155" s="44">
        <v>0.375</v>
      </c>
      <c r="V155" s="44">
        <v>0.33329999999999999</v>
      </c>
      <c r="W155" s="44">
        <v>0.33329999999999999</v>
      </c>
      <c r="X155" s="44">
        <v>0.33329999999999999</v>
      </c>
      <c r="Y155" s="44">
        <v>0.16669999999999999</v>
      </c>
      <c r="Z155" s="44">
        <v>0.16669999999999999</v>
      </c>
      <c r="AA155" s="44">
        <v>0.16669999999999999</v>
      </c>
      <c r="AB155" s="44">
        <v>0.125</v>
      </c>
      <c r="AC155" s="44">
        <v>0.125</v>
      </c>
      <c r="AD155" s="44">
        <v>0.125</v>
      </c>
      <c r="AE155">
        <v>0</v>
      </c>
      <c r="AF155">
        <v>0</v>
      </c>
      <c r="AG155" s="44">
        <v>0</v>
      </c>
      <c r="AH155" s="44">
        <v>0.71809999999999996</v>
      </c>
    </row>
    <row r="156" spans="1:34" x14ac:dyDescent="0.25">
      <c r="A156">
        <v>169</v>
      </c>
      <c r="B156">
        <v>17113</v>
      </c>
      <c r="C156" t="s">
        <v>190</v>
      </c>
      <c r="D156" t="s">
        <v>334</v>
      </c>
      <c r="E156" t="s">
        <v>310</v>
      </c>
      <c r="F156" t="s">
        <v>242</v>
      </c>
      <c r="G156">
        <v>13</v>
      </c>
      <c r="H156">
        <v>11</v>
      </c>
      <c r="I156" s="44">
        <v>0.84619999999999995</v>
      </c>
      <c r="J156">
        <v>101</v>
      </c>
      <c r="K156">
        <v>79</v>
      </c>
      <c r="L156">
        <v>2</v>
      </c>
      <c r="M156" s="44">
        <v>0.78220000000000001</v>
      </c>
      <c r="N156" s="44">
        <f t="shared" si="2"/>
        <v>0.75196363636363628</v>
      </c>
      <c r="O156" s="44">
        <v>1</v>
      </c>
      <c r="P156" s="44">
        <v>0.96299999999999997</v>
      </c>
      <c r="Q156" s="44">
        <v>1.23E-2</v>
      </c>
      <c r="R156" s="44">
        <v>1</v>
      </c>
      <c r="S156" s="44">
        <v>0</v>
      </c>
      <c r="T156" s="44">
        <v>1</v>
      </c>
      <c r="U156" s="44">
        <v>1</v>
      </c>
      <c r="V156" s="44">
        <v>1</v>
      </c>
      <c r="W156" s="44">
        <v>1</v>
      </c>
      <c r="X156" s="44">
        <v>1</v>
      </c>
      <c r="Y156" s="44">
        <v>0.29630000000000001</v>
      </c>
      <c r="Z156" s="44">
        <v>1.23E-2</v>
      </c>
      <c r="AA156" s="44">
        <v>1.23E-2</v>
      </c>
      <c r="AB156" s="44">
        <v>0</v>
      </c>
      <c r="AC156" s="44">
        <v>0</v>
      </c>
      <c r="AD156" s="44">
        <v>0</v>
      </c>
      <c r="AE156">
        <v>32</v>
      </c>
      <c r="AF156">
        <v>0</v>
      </c>
      <c r="AG156" s="44">
        <v>0</v>
      </c>
      <c r="AH156" s="44">
        <v>0.71560000000000001</v>
      </c>
    </row>
    <row r="157" spans="1:34" x14ac:dyDescent="0.25">
      <c r="A157">
        <v>170</v>
      </c>
      <c r="B157">
        <v>16898</v>
      </c>
      <c r="C157" t="s">
        <v>146</v>
      </c>
      <c r="D157" t="s">
        <v>334</v>
      </c>
      <c r="E157" t="s">
        <v>208</v>
      </c>
      <c r="F157" t="s">
        <v>243</v>
      </c>
      <c r="G157">
        <v>13</v>
      </c>
      <c r="H157">
        <v>13</v>
      </c>
      <c r="I157" s="44">
        <v>1</v>
      </c>
      <c r="J157">
        <v>102</v>
      </c>
      <c r="K157">
        <v>61</v>
      </c>
      <c r="L157">
        <v>3</v>
      </c>
      <c r="M157" s="44">
        <v>0.59799999999999998</v>
      </c>
      <c r="N157" s="44">
        <f t="shared" si="2"/>
        <v>0.76564545454545463</v>
      </c>
      <c r="O157" s="44">
        <v>0.98440000000000005</v>
      </c>
      <c r="P157" s="44">
        <v>0.95309999999999995</v>
      </c>
      <c r="Q157" s="44">
        <v>0</v>
      </c>
      <c r="R157" s="44">
        <v>0.98440000000000005</v>
      </c>
      <c r="S157" s="44">
        <v>0.1094</v>
      </c>
      <c r="T157" s="44">
        <v>0.98440000000000005</v>
      </c>
      <c r="U157" s="44">
        <v>0.98440000000000005</v>
      </c>
      <c r="V157" s="44">
        <v>0.98440000000000005</v>
      </c>
      <c r="W157" s="44">
        <v>0.98440000000000005</v>
      </c>
      <c r="X157" s="44">
        <v>0.98440000000000005</v>
      </c>
      <c r="Y157" s="44">
        <v>0.46879999999999999</v>
      </c>
      <c r="Z157" s="44">
        <v>6.25E-2</v>
      </c>
      <c r="AA157" s="44">
        <v>1.5599999999999999E-2</v>
      </c>
      <c r="AB157" s="44">
        <v>1.5599999999999999E-2</v>
      </c>
      <c r="AC157" s="44">
        <v>1.5599999999999999E-2</v>
      </c>
      <c r="AD157" s="44">
        <v>1.5599999999999999E-2</v>
      </c>
      <c r="AE157">
        <v>26</v>
      </c>
      <c r="AF157">
        <v>6</v>
      </c>
      <c r="AG157" s="44">
        <v>0.23080000000000001</v>
      </c>
      <c r="AH157" s="44">
        <v>0.7107</v>
      </c>
    </row>
    <row r="158" spans="1:34" x14ac:dyDescent="0.25">
      <c r="A158">
        <v>171</v>
      </c>
      <c r="B158">
        <v>16822</v>
      </c>
      <c r="C158" t="s">
        <v>179</v>
      </c>
      <c r="D158" t="s">
        <v>334</v>
      </c>
      <c r="E158" t="s">
        <v>301</v>
      </c>
      <c r="F158" t="s">
        <v>243</v>
      </c>
      <c r="G158">
        <v>7</v>
      </c>
      <c r="H158">
        <v>6</v>
      </c>
      <c r="I158" s="44">
        <v>0.85709999999999997</v>
      </c>
      <c r="J158">
        <v>82</v>
      </c>
      <c r="K158">
        <v>59</v>
      </c>
      <c r="L158">
        <v>2</v>
      </c>
      <c r="M158" s="44">
        <v>0.71950000000000003</v>
      </c>
      <c r="N158" s="44">
        <f t="shared" si="2"/>
        <v>0.8062454545454546</v>
      </c>
      <c r="O158" s="44">
        <v>0.96719999999999995</v>
      </c>
      <c r="P158" s="44">
        <v>0.91800000000000004</v>
      </c>
      <c r="Q158" s="44">
        <v>0.54100000000000004</v>
      </c>
      <c r="R158" s="44">
        <v>0.96719999999999995</v>
      </c>
      <c r="S158" s="44">
        <v>0.377</v>
      </c>
      <c r="T158" s="44">
        <v>0.96719999999999995</v>
      </c>
      <c r="U158" s="44">
        <v>0.98360000000000003</v>
      </c>
      <c r="V158" s="44">
        <v>0.96719999999999995</v>
      </c>
      <c r="W158" s="44">
        <v>0.98360000000000003</v>
      </c>
      <c r="X158" s="44">
        <v>0.96719999999999995</v>
      </c>
      <c r="Y158" s="44">
        <v>0.22950000000000001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>
        <v>27</v>
      </c>
      <c r="AF158">
        <v>18</v>
      </c>
      <c r="AG158" s="44">
        <v>0.66669999999999996</v>
      </c>
      <c r="AH158" s="44">
        <v>0.71030000000000004</v>
      </c>
    </row>
    <row r="159" spans="1:34" x14ac:dyDescent="0.25">
      <c r="A159">
        <v>172</v>
      </c>
      <c r="B159">
        <v>17162</v>
      </c>
      <c r="C159" t="s">
        <v>90</v>
      </c>
      <c r="D159" t="s">
        <v>334</v>
      </c>
      <c r="E159" t="s">
        <v>307</v>
      </c>
      <c r="F159" t="s">
        <v>242</v>
      </c>
      <c r="G159">
        <v>17</v>
      </c>
      <c r="H159">
        <v>16</v>
      </c>
      <c r="I159" s="44">
        <v>0.94120000000000004</v>
      </c>
      <c r="J159">
        <v>128</v>
      </c>
      <c r="K159">
        <v>82</v>
      </c>
      <c r="L159">
        <v>5</v>
      </c>
      <c r="M159" s="44">
        <v>0.64059999999999995</v>
      </c>
      <c r="N159" s="44">
        <f t="shared" si="2"/>
        <v>0.74503636363636361</v>
      </c>
      <c r="O159" s="44">
        <v>1</v>
      </c>
      <c r="P159" s="44">
        <v>0.95399999999999996</v>
      </c>
      <c r="Q159" s="44">
        <v>0</v>
      </c>
      <c r="R159" s="44">
        <v>1</v>
      </c>
      <c r="S159" s="44">
        <v>0</v>
      </c>
      <c r="T159" s="44">
        <v>1</v>
      </c>
      <c r="U159" s="44">
        <v>1</v>
      </c>
      <c r="V159" s="44">
        <v>1</v>
      </c>
      <c r="W159" s="44">
        <v>1</v>
      </c>
      <c r="X159" s="44">
        <v>1</v>
      </c>
      <c r="Y159" s="44">
        <v>0.2414</v>
      </c>
      <c r="Z159" s="44">
        <v>2.3E-2</v>
      </c>
      <c r="AA159" s="44">
        <v>1.15E-2</v>
      </c>
      <c r="AB159" s="44">
        <v>0</v>
      </c>
      <c r="AC159" s="44">
        <v>0</v>
      </c>
      <c r="AD159" s="44">
        <v>0</v>
      </c>
      <c r="AE159">
        <v>36</v>
      </c>
      <c r="AF159">
        <v>0</v>
      </c>
      <c r="AG159" s="44">
        <v>0</v>
      </c>
      <c r="AH159" s="44">
        <v>0.69869999999999999</v>
      </c>
    </row>
    <row r="160" spans="1:34" x14ac:dyDescent="0.25">
      <c r="A160">
        <v>174</v>
      </c>
      <c r="B160">
        <v>17121</v>
      </c>
      <c r="C160" t="s">
        <v>198</v>
      </c>
      <c r="D160" t="s">
        <v>334</v>
      </c>
      <c r="E160" t="s">
        <v>310</v>
      </c>
      <c r="F160" t="s">
        <v>242</v>
      </c>
      <c r="G160">
        <v>11</v>
      </c>
      <c r="H160">
        <v>11</v>
      </c>
      <c r="I160" s="44">
        <v>1</v>
      </c>
      <c r="J160">
        <v>87</v>
      </c>
      <c r="K160">
        <v>48</v>
      </c>
      <c r="L160">
        <v>2</v>
      </c>
      <c r="M160" s="44">
        <v>0.55169999999999997</v>
      </c>
      <c r="N160" s="44">
        <f t="shared" si="2"/>
        <v>0.78000000000000014</v>
      </c>
      <c r="O160" s="44">
        <v>0.98</v>
      </c>
      <c r="P160" s="44">
        <v>0.98</v>
      </c>
      <c r="Q160" s="44">
        <v>0.16</v>
      </c>
      <c r="R160" s="44">
        <v>0.98</v>
      </c>
      <c r="S160" s="44">
        <v>0.12</v>
      </c>
      <c r="T160" s="44">
        <v>0.98</v>
      </c>
      <c r="U160" s="44">
        <v>0.98</v>
      </c>
      <c r="V160" s="44">
        <v>0.98</v>
      </c>
      <c r="W160" s="44">
        <v>0.98</v>
      </c>
      <c r="X160" s="44">
        <v>0.98</v>
      </c>
      <c r="Y160" s="44">
        <v>0.46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>
        <v>25</v>
      </c>
      <c r="AF160">
        <v>8</v>
      </c>
      <c r="AG160" s="44">
        <v>0.32</v>
      </c>
      <c r="AH160" s="44">
        <v>0.69599999999999995</v>
      </c>
    </row>
    <row r="161" spans="1:34" x14ac:dyDescent="0.25">
      <c r="A161">
        <v>175</v>
      </c>
      <c r="B161">
        <v>16792</v>
      </c>
      <c r="C161" t="s">
        <v>166</v>
      </c>
      <c r="D161" t="s">
        <v>334</v>
      </c>
      <c r="E161" t="s">
        <v>209</v>
      </c>
      <c r="F161" t="s">
        <v>243</v>
      </c>
      <c r="G161">
        <v>12</v>
      </c>
      <c r="H161">
        <v>12</v>
      </c>
      <c r="I161" s="44">
        <v>1</v>
      </c>
      <c r="J161">
        <v>87</v>
      </c>
      <c r="K161">
        <v>45</v>
      </c>
      <c r="L161">
        <v>0</v>
      </c>
      <c r="M161" s="44">
        <v>0.51719999999999999</v>
      </c>
      <c r="N161" s="44">
        <f t="shared" si="2"/>
        <v>0.800009090909091</v>
      </c>
      <c r="O161" s="44">
        <v>1</v>
      </c>
      <c r="P161" s="44">
        <v>0.9556</v>
      </c>
      <c r="Q161" s="44">
        <v>0</v>
      </c>
      <c r="R161" s="44">
        <v>1</v>
      </c>
      <c r="S161" s="44">
        <v>0.28889999999999999</v>
      </c>
      <c r="T161" s="44">
        <v>1</v>
      </c>
      <c r="U161" s="44">
        <v>1</v>
      </c>
      <c r="V161" s="44">
        <v>1</v>
      </c>
      <c r="W161" s="44">
        <v>1</v>
      </c>
      <c r="X161" s="44">
        <v>1</v>
      </c>
      <c r="Y161" s="44">
        <v>0.55559999999999998</v>
      </c>
      <c r="Z161" s="44">
        <v>0.1333</v>
      </c>
      <c r="AA161" s="44">
        <v>0.1333</v>
      </c>
      <c r="AB161" s="44">
        <v>0</v>
      </c>
      <c r="AC161" s="44">
        <v>0</v>
      </c>
      <c r="AD161" s="44">
        <v>0</v>
      </c>
      <c r="AE161">
        <v>47</v>
      </c>
      <c r="AF161">
        <v>13</v>
      </c>
      <c r="AG161" s="44">
        <v>0.27660000000000001</v>
      </c>
      <c r="AH161" s="44">
        <v>0.6946</v>
      </c>
    </row>
    <row r="162" spans="1:34" x14ac:dyDescent="0.25">
      <c r="A162">
        <v>176</v>
      </c>
      <c r="B162">
        <v>16781</v>
      </c>
      <c r="C162" t="s">
        <v>117</v>
      </c>
      <c r="D162" t="s">
        <v>334</v>
      </c>
      <c r="E162" t="s">
        <v>311</v>
      </c>
      <c r="F162" t="s">
        <v>243</v>
      </c>
      <c r="G162">
        <v>15</v>
      </c>
      <c r="H162">
        <v>12</v>
      </c>
      <c r="I162" s="44">
        <v>0.8</v>
      </c>
      <c r="J162">
        <v>77</v>
      </c>
      <c r="K162">
        <v>50</v>
      </c>
      <c r="L162">
        <v>3</v>
      </c>
      <c r="M162" s="44">
        <v>0.64939999999999998</v>
      </c>
      <c r="N162" s="44">
        <f t="shared" si="2"/>
        <v>0.76329999999999998</v>
      </c>
      <c r="O162" s="44">
        <v>1</v>
      </c>
      <c r="P162" s="44">
        <v>0.96230000000000004</v>
      </c>
      <c r="Q162" s="44">
        <v>0</v>
      </c>
      <c r="R162" s="44">
        <v>1</v>
      </c>
      <c r="S162" s="44">
        <v>0</v>
      </c>
      <c r="T162" s="44">
        <v>1</v>
      </c>
      <c r="U162" s="44">
        <v>1</v>
      </c>
      <c r="V162" s="44">
        <v>1</v>
      </c>
      <c r="W162" s="44">
        <v>1</v>
      </c>
      <c r="X162" s="44">
        <v>1</v>
      </c>
      <c r="Y162" s="44">
        <v>0.434</v>
      </c>
      <c r="Z162" s="44">
        <v>0.3962</v>
      </c>
      <c r="AA162" s="44">
        <v>0.35849999999999999</v>
      </c>
      <c r="AB162" s="44">
        <v>0.3019</v>
      </c>
      <c r="AC162" s="44">
        <v>0.28299999999999997</v>
      </c>
      <c r="AD162" s="44">
        <v>0.3019</v>
      </c>
      <c r="AE162">
        <v>25</v>
      </c>
      <c r="AF162">
        <v>0</v>
      </c>
      <c r="AG162" s="44">
        <v>0</v>
      </c>
      <c r="AH162" s="44">
        <v>0.69230000000000003</v>
      </c>
    </row>
    <row r="163" spans="1:34" x14ac:dyDescent="0.25">
      <c r="A163">
        <v>177</v>
      </c>
      <c r="B163">
        <v>16905</v>
      </c>
      <c r="C163" t="s">
        <v>153</v>
      </c>
      <c r="D163" t="s">
        <v>334</v>
      </c>
      <c r="E163" t="s">
        <v>208</v>
      </c>
      <c r="F163" t="s">
        <v>243</v>
      </c>
      <c r="G163">
        <v>16</v>
      </c>
      <c r="H163">
        <v>15</v>
      </c>
      <c r="I163" s="44">
        <v>0.9375</v>
      </c>
      <c r="J163">
        <v>109</v>
      </c>
      <c r="K163">
        <v>61</v>
      </c>
      <c r="L163">
        <v>43</v>
      </c>
      <c r="M163" s="44">
        <v>0.55959999999999999</v>
      </c>
      <c r="N163" s="44">
        <f t="shared" si="2"/>
        <v>0.77709090909090905</v>
      </c>
      <c r="O163" s="44">
        <v>1</v>
      </c>
      <c r="P163" s="44">
        <v>0.96150000000000002</v>
      </c>
      <c r="Q163" s="44">
        <v>0.2019</v>
      </c>
      <c r="R163" s="44">
        <v>1</v>
      </c>
      <c r="S163" s="44">
        <v>0.10580000000000001</v>
      </c>
      <c r="T163" s="44">
        <v>1</v>
      </c>
      <c r="U163" s="44">
        <v>1</v>
      </c>
      <c r="V163" s="44">
        <v>1</v>
      </c>
      <c r="W163" s="44">
        <v>1</v>
      </c>
      <c r="X163" s="44">
        <v>1</v>
      </c>
      <c r="Y163" s="44">
        <v>0.27879999999999999</v>
      </c>
      <c r="Z163" s="44">
        <v>0.26919999999999999</v>
      </c>
      <c r="AA163" s="44">
        <v>0.26919999999999999</v>
      </c>
      <c r="AB163" s="44">
        <v>9.5999999999999992E-3</v>
      </c>
      <c r="AC163" s="44">
        <v>9.5999999999999992E-3</v>
      </c>
      <c r="AD163" s="44">
        <v>9.5999999999999992E-3</v>
      </c>
      <c r="AE163">
        <v>15</v>
      </c>
      <c r="AF163">
        <v>15</v>
      </c>
      <c r="AG163" s="44">
        <v>1</v>
      </c>
      <c r="AH163" s="44">
        <v>0.68889999999999996</v>
      </c>
    </row>
    <row r="164" spans="1:34" x14ac:dyDescent="0.25">
      <c r="A164">
        <v>178</v>
      </c>
      <c r="B164">
        <v>17171</v>
      </c>
      <c r="C164" t="s">
        <v>99</v>
      </c>
      <c r="D164" t="s">
        <v>334</v>
      </c>
      <c r="E164" t="s">
        <v>307</v>
      </c>
      <c r="F164" t="s">
        <v>242</v>
      </c>
      <c r="G164">
        <v>10</v>
      </c>
      <c r="H164">
        <v>9</v>
      </c>
      <c r="I164" s="44">
        <v>0.9</v>
      </c>
      <c r="J164">
        <v>134</v>
      </c>
      <c r="K164">
        <v>79</v>
      </c>
      <c r="L164">
        <v>11</v>
      </c>
      <c r="M164" s="44">
        <v>0.58960000000000001</v>
      </c>
      <c r="N164" s="44">
        <f t="shared" si="2"/>
        <v>0.79091818181818185</v>
      </c>
      <c r="O164" s="44">
        <v>0.9889</v>
      </c>
      <c r="P164" s="44">
        <v>0.9556</v>
      </c>
      <c r="Q164" s="44">
        <v>0</v>
      </c>
      <c r="R164" s="44">
        <v>0.9889</v>
      </c>
      <c r="S164" s="44">
        <v>0</v>
      </c>
      <c r="T164" s="44">
        <v>1</v>
      </c>
      <c r="U164" s="44">
        <v>1</v>
      </c>
      <c r="V164" s="44">
        <v>1</v>
      </c>
      <c r="W164" s="44">
        <v>1</v>
      </c>
      <c r="X164" s="44">
        <v>0.9889</v>
      </c>
      <c r="Y164" s="44">
        <v>0.77780000000000005</v>
      </c>
      <c r="Z164" s="44">
        <v>0.23330000000000001</v>
      </c>
      <c r="AA164" s="44">
        <v>0.17780000000000001</v>
      </c>
      <c r="AB164" s="44">
        <v>1.11E-2</v>
      </c>
      <c r="AC164" s="44">
        <v>0</v>
      </c>
      <c r="AD164" s="44">
        <v>0</v>
      </c>
      <c r="AE164">
        <v>19</v>
      </c>
      <c r="AF164">
        <v>0</v>
      </c>
      <c r="AG164" s="44">
        <v>0</v>
      </c>
      <c r="AH164" s="44">
        <v>0.68659999999999999</v>
      </c>
    </row>
    <row r="165" spans="1:34" x14ac:dyDescent="0.25">
      <c r="A165">
        <v>179</v>
      </c>
      <c r="B165">
        <v>17077</v>
      </c>
      <c r="C165" t="s">
        <v>14</v>
      </c>
      <c r="D165" t="s">
        <v>334</v>
      </c>
      <c r="E165" t="s">
        <v>308</v>
      </c>
      <c r="F165" t="s">
        <v>241</v>
      </c>
      <c r="G165">
        <v>23</v>
      </c>
      <c r="H165">
        <v>19</v>
      </c>
      <c r="I165" s="44">
        <v>0.82609999999999995</v>
      </c>
      <c r="J165">
        <v>72</v>
      </c>
      <c r="K165">
        <v>53</v>
      </c>
      <c r="L165">
        <v>13</v>
      </c>
      <c r="M165" s="44">
        <v>0.73609999999999998</v>
      </c>
      <c r="N165" s="44">
        <f t="shared" si="2"/>
        <v>0.70937272727272738</v>
      </c>
      <c r="O165" s="44">
        <v>0.93940000000000001</v>
      </c>
      <c r="P165" s="44">
        <v>0.90910000000000002</v>
      </c>
      <c r="Q165" s="44">
        <v>0.1212</v>
      </c>
      <c r="R165" s="44">
        <v>0.93940000000000001</v>
      </c>
      <c r="S165" s="44">
        <v>0</v>
      </c>
      <c r="T165" s="44">
        <v>0.93940000000000001</v>
      </c>
      <c r="U165" s="44">
        <v>0.93940000000000001</v>
      </c>
      <c r="V165" s="44">
        <v>0.93940000000000001</v>
      </c>
      <c r="W165" s="44">
        <v>0.93940000000000001</v>
      </c>
      <c r="X165" s="44">
        <v>0.93940000000000001</v>
      </c>
      <c r="Y165" s="44">
        <v>0.19700000000000001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>
        <v>3</v>
      </c>
      <c r="AF165">
        <v>0</v>
      </c>
      <c r="AG165" s="44">
        <v>0</v>
      </c>
      <c r="AH165" s="44">
        <v>0.68330000000000002</v>
      </c>
    </row>
    <row r="166" spans="1:34" x14ac:dyDescent="0.25">
      <c r="A166">
        <v>180</v>
      </c>
      <c r="B166">
        <v>17133</v>
      </c>
      <c r="C166" t="s">
        <v>135</v>
      </c>
      <c r="D166" t="s">
        <v>334</v>
      </c>
      <c r="E166" t="s">
        <v>207</v>
      </c>
      <c r="F166" t="s">
        <v>241</v>
      </c>
      <c r="G166">
        <v>9</v>
      </c>
      <c r="H166">
        <v>7</v>
      </c>
      <c r="I166" s="44">
        <v>0.77780000000000005</v>
      </c>
      <c r="J166">
        <v>94</v>
      </c>
      <c r="K166">
        <v>70</v>
      </c>
      <c r="L166">
        <v>4</v>
      </c>
      <c r="M166" s="44">
        <v>0.74470000000000003</v>
      </c>
      <c r="N166" s="44">
        <f t="shared" si="2"/>
        <v>0.76290909090909098</v>
      </c>
      <c r="O166" s="44">
        <v>0.98650000000000004</v>
      </c>
      <c r="P166" s="44">
        <v>0.95950000000000002</v>
      </c>
      <c r="Q166" s="44">
        <v>4.0500000000000001E-2</v>
      </c>
      <c r="R166" s="44">
        <v>0.98650000000000004</v>
      </c>
      <c r="S166" s="44">
        <v>0.1351</v>
      </c>
      <c r="T166" s="44">
        <v>0.98650000000000004</v>
      </c>
      <c r="U166" s="44">
        <v>0.98650000000000004</v>
      </c>
      <c r="V166" s="44">
        <v>0.98650000000000004</v>
      </c>
      <c r="W166" s="44">
        <v>0.98650000000000004</v>
      </c>
      <c r="X166" s="44">
        <v>0.98650000000000004</v>
      </c>
      <c r="Y166" s="44">
        <v>0.35139999999999999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>
        <v>29</v>
      </c>
      <c r="AF166">
        <v>7</v>
      </c>
      <c r="AG166" s="44">
        <v>0.2414</v>
      </c>
      <c r="AH166" s="44">
        <v>0.68230000000000002</v>
      </c>
    </row>
    <row r="167" spans="1:34" x14ac:dyDescent="0.25">
      <c r="A167">
        <v>181</v>
      </c>
      <c r="B167">
        <v>17120</v>
      </c>
      <c r="C167" t="s">
        <v>197</v>
      </c>
      <c r="D167" t="s">
        <v>334</v>
      </c>
      <c r="E167" t="s">
        <v>310</v>
      </c>
      <c r="F167" t="s">
        <v>242</v>
      </c>
      <c r="G167">
        <v>11</v>
      </c>
      <c r="H167">
        <v>8</v>
      </c>
      <c r="I167" s="44">
        <v>0.72729999999999995</v>
      </c>
      <c r="J167">
        <v>84</v>
      </c>
      <c r="K167">
        <v>70</v>
      </c>
      <c r="L167">
        <v>4</v>
      </c>
      <c r="M167" s="44">
        <v>0.83330000000000004</v>
      </c>
      <c r="N167" s="44">
        <f t="shared" si="2"/>
        <v>0.69778181818181817</v>
      </c>
      <c r="O167" s="44">
        <v>0.91890000000000005</v>
      </c>
      <c r="P167" s="44">
        <v>0.87839999999999996</v>
      </c>
      <c r="Q167" s="44">
        <v>8.1100000000000005E-2</v>
      </c>
      <c r="R167" s="44">
        <v>0.91890000000000005</v>
      </c>
      <c r="S167" s="44">
        <v>8.1100000000000005E-2</v>
      </c>
      <c r="T167" s="44">
        <v>0.91890000000000005</v>
      </c>
      <c r="U167" s="44">
        <v>0.91890000000000005</v>
      </c>
      <c r="V167" s="44">
        <v>0.91890000000000005</v>
      </c>
      <c r="W167" s="44">
        <v>0.91890000000000005</v>
      </c>
      <c r="X167" s="44">
        <v>0.91890000000000005</v>
      </c>
      <c r="Y167" s="44">
        <v>0.20269999999999999</v>
      </c>
      <c r="Z167" s="44">
        <v>1.35E-2</v>
      </c>
      <c r="AA167" s="44">
        <v>1.35E-2</v>
      </c>
      <c r="AB167" s="44">
        <v>0</v>
      </c>
      <c r="AC167" s="44">
        <v>0</v>
      </c>
      <c r="AD167" s="44">
        <v>0</v>
      </c>
      <c r="AE167">
        <v>31</v>
      </c>
      <c r="AF167">
        <v>9</v>
      </c>
      <c r="AG167" s="44">
        <v>0.2903</v>
      </c>
      <c r="AH167" s="44">
        <v>0.68069999999999997</v>
      </c>
    </row>
    <row r="168" spans="1:34" x14ac:dyDescent="0.25">
      <c r="A168">
        <v>182</v>
      </c>
      <c r="B168">
        <v>16838</v>
      </c>
      <c r="C168" t="s">
        <v>121</v>
      </c>
      <c r="D168" t="s">
        <v>334</v>
      </c>
      <c r="E168" t="s">
        <v>311</v>
      </c>
      <c r="F168" t="s">
        <v>243</v>
      </c>
      <c r="G168">
        <v>18</v>
      </c>
      <c r="H168">
        <v>15</v>
      </c>
      <c r="I168" s="44">
        <v>0.83330000000000004</v>
      </c>
      <c r="J168">
        <v>92</v>
      </c>
      <c r="K168">
        <v>57</v>
      </c>
      <c r="L168">
        <v>15</v>
      </c>
      <c r="M168" s="44">
        <v>0.61960000000000004</v>
      </c>
      <c r="N168" s="44">
        <f t="shared" si="2"/>
        <v>0.81439090909090905</v>
      </c>
      <c r="O168" s="44">
        <v>1</v>
      </c>
      <c r="P168" s="44">
        <v>0.95830000000000004</v>
      </c>
      <c r="Q168" s="44">
        <v>2.7799999999999998E-2</v>
      </c>
      <c r="R168" s="44">
        <v>1</v>
      </c>
      <c r="S168" s="44">
        <v>0.45829999999999999</v>
      </c>
      <c r="T168" s="44">
        <v>1</v>
      </c>
      <c r="U168" s="44">
        <v>1</v>
      </c>
      <c r="V168" s="44">
        <v>1</v>
      </c>
      <c r="W168" s="44">
        <v>1</v>
      </c>
      <c r="X168" s="44">
        <v>1</v>
      </c>
      <c r="Y168" s="44">
        <v>0.51390000000000002</v>
      </c>
      <c r="Z168" s="44">
        <v>0.19439999999999999</v>
      </c>
      <c r="AA168" s="44">
        <v>0.19439999999999999</v>
      </c>
      <c r="AB168" s="44">
        <v>0</v>
      </c>
      <c r="AC168" s="44">
        <v>0</v>
      </c>
      <c r="AD168" s="44">
        <v>0</v>
      </c>
      <c r="AE168">
        <v>52</v>
      </c>
      <c r="AF168">
        <v>11</v>
      </c>
      <c r="AG168" s="44">
        <v>0.21149999999999999</v>
      </c>
      <c r="AH168" s="44">
        <v>0.67900000000000005</v>
      </c>
    </row>
    <row r="169" spans="1:34" x14ac:dyDescent="0.25">
      <c r="A169">
        <v>183</v>
      </c>
      <c r="B169">
        <v>17159</v>
      </c>
      <c r="C169" t="s">
        <v>87</v>
      </c>
      <c r="D169" t="s">
        <v>334</v>
      </c>
      <c r="E169" t="s">
        <v>307</v>
      </c>
      <c r="F169" t="s">
        <v>242</v>
      </c>
      <c r="G169">
        <v>12</v>
      </c>
      <c r="H169">
        <v>11</v>
      </c>
      <c r="I169" s="44">
        <v>0.91669999999999996</v>
      </c>
      <c r="J169">
        <v>119</v>
      </c>
      <c r="K169">
        <v>71</v>
      </c>
      <c r="L169">
        <v>8</v>
      </c>
      <c r="M169" s="44">
        <v>0.59660000000000002</v>
      </c>
      <c r="N169" s="44">
        <f t="shared" si="2"/>
        <v>0.74914545454545456</v>
      </c>
      <c r="O169" s="44">
        <v>0.97470000000000001</v>
      </c>
      <c r="P169" s="44">
        <v>0.93669999999999998</v>
      </c>
      <c r="Q169" s="44">
        <v>0</v>
      </c>
      <c r="R169" s="44">
        <v>0.97470000000000001</v>
      </c>
      <c r="S169" s="44">
        <v>3.7999999999999999E-2</v>
      </c>
      <c r="T169" s="44">
        <v>0.97470000000000001</v>
      </c>
      <c r="U169" s="44">
        <v>0.96199999999999997</v>
      </c>
      <c r="V169" s="44">
        <v>0.97470000000000001</v>
      </c>
      <c r="W169" s="44">
        <v>0.97470000000000001</v>
      </c>
      <c r="X169" s="44">
        <v>0.97470000000000001</v>
      </c>
      <c r="Y169" s="44">
        <v>0.45569999999999999</v>
      </c>
      <c r="Z169" s="44">
        <v>1.2699999999999999E-2</v>
      </c>
      <c r="AA169" s="44">
        <v>2.53E-2</v>
      </c>
      <c r="AB169" s="44">
        <v>1.2699999999999999E-2</v>
      </c>
      <c r="AC169" s="44">
        <v>0</v>
      </c>
      <c r="AD169" s="44">
        <v>0</v>
      </c>
      <c r="AE169">
        <v>24</v>
      </c>
      <c r="AF169">
        <v>5</v>
      </c>
      <c r="AG169" s="44">
        <v>0.20830000000000001</v>
      </c>
      <c r="AH169" s="44">
        <v>0.67720000000000002</v>
      </c>
    </row>
    <row r="170" spans="1:34" x14ac:dyDescent="0.25">
      <c r="A170">
        <v>184</v>
      </c>
      <c r="B170">
        <v>17157</v>
      </c>
      <c r="C170" t="s">
        <v>85</v>
      </c>
      <c r="D170" t="s">
        <v>334</v>
      </c>
      <c r="E170" t="s">
        <v>307</v>
      </c>
      <c r="F170" t="s">
        <v>242</v>
      </c>
      <c r="G170">
        <v>18</v>
      </c>
      <c r="H170">
        <v>14</v>
      </c>
      <c r="I170" s="44">
        <v>0.77780000000000005</v>
      </c>
      <c r="J170">
        <v>92</v>
      </c>
      <c r="K170">
        <v>59</v>
      </c>
      <c r="L170">
        <v>8</v>
      </c>
      <c r="M170" s="44">
        <v>0.64129999999999998</v>
      </c>
      <c r="N170" s="44">
        <f t="shared" si="2"/>
        <v>0.76119999999999988</v>
      </c>
      <c r="O170" s="44">
        <v>0.97009999999999996</v>
      </c>
      <c r="P170" s="44">
        <v>0.9254</v>
      </c>
      <c r="Q170" s="44">
        <v>1.49E-2</v>
      </c>
      <c r="R170" s="44">
        <v>0.97009999999999996</v>
      </c>
      <c r="S170" s="44">
        <v>2.9899999999999999E-2</v>
      </c>
      <c r="T170" s="44">
        <v>0.98509999999999998</v>
      </c>
      <c r="U170" s="44">
        <v>0.98509999999999998</v>
      </c>
      <c r="V170" s="44">
        <v>0.98509999999999998</v>
      </c>
      <c r="W170" s="44">
        <v>0.98509999999999998</v>
      </c>
      <c r="X170" s="44">
        <v>0.98509999999999998</v>
      </c>
      <c r="Y170" s="44">
        <v>0.5373</v>
      </c>
      <c r="Z170" s="44">
        <v>0.49249999999999999</v>
      </c>
      <c r="AA170" s="44">
        <v>0.44779999999999998</v>
      </c>
      <c r="AB170" s="44">
        <v>0.14929999999999999</v>
      </c>
      <c r="AC170" s="44">
        <v>0.14929999999999999</v>
      </c>
      <c r="AD170" s="44">
        <v>0.1343</v>
      </c>
      <c r="AE170">
        <v>24</v>
      </c>
      <c r="AF170">
        <v>2</v>
      </c>
      <c r="AG170" s="44">
        <v>8.3299999999999999E-2</v>
      </c>
      <c r="AH170" s="44">
        <v>0.67610000000000003</v>
      </c>
    </row>
    <row r="171" spans="1:34" x14ac:dyDescent="0.25">
      <c r="A171">
        <v>185</v>
      </c>
      <c r="B171">
        <v>16791</v>
      </c>
      <c r="C171" t="s">
        <v>165</v>
      </c>
      <c r="D171" t="s">
        <v>334</v>
      </c>
      <c r="E171" t="s">
        <v>209</v>
      </c>
      <c r="F171" t="s">
        <v>243</v>
      </c>
      <c r="G171">
        <v>11</v>
      </c>
      <c r="H171">
        <v>10</v>
      </c>
      <c r="I171" s="44">
        <v>0.90910000000000002</v>
      </c>
      <c r="J171">
        <v>68</v>
      </c>
      <c r="K171">
        <v>40</v>
      </c>
      <c r="L171">
        <v>0</v>
      </c>
      <c r="M171" s="44">
        <v>0.58819999999999995</v>
      </c>
      <c r="N171" s="44">
        <f t="shared" si="2"/>
        <v>0.75681818181818172</v>
      </c>
      <c r="O171" s="44">
        <v>1</v>
      </c>
      <c r="P171" s="44">
        <v>0.97499999999999998</v>
      </c>
      <c r="Q171" s="44">
        <v>0</v>
      </c>
      <c r="R171" s="44">
        <v>1</v>
      </c>
      <c r="S171" s="44">
        <v>2.5000000000000001E-2</v>
      </c>
      <c r="T171" s="44">
        <v>1</v>
      </c>
      <c r="U171" s="44">
        <v>1</v>
      </c>
      <c r="V171" s="44">
        <v>1</v>
      </c>
      <c r="W171" s="44">
        <v>1</v>
      </c>
      <c r="X171" s="44">
        <v>1</v>
      </c>
      <c r="Y171" s="44">
        <v>0.32500000000000001</v>
      </c>
      <c r="Z171" s="44">
        <v>0</v>
      </c>
      <c r="AA171" s="44">
        <v>0</v>
      </c>
      <c r="AB171" s="44">
        <v>2.5000000000000001E-2</v>
      </c>
      <c r="AC171" s="44">
        <v>2.5000000000000001E-2</v>
      </c>
      <c r="AD171" s="44">
        <v>2.5000000000000001E-2</v>
      </c>
      <c r="AE171">
        <v>31</v>
      </c>
      <c r="AF171">
        <v>7</v>
      </c>
      <c r="AG171" s="44">
        <v>0.2258</v>
      </c>
      <c r="AH171" s="44">
        <v>0.67410000000000003</v>
      </c>
    </row>
    <row r="172" spans="1:34" x14ac:dyDescent="0.25">
      <c r="A172">
        <v>186</v>
      </c>
      <c r="B172">
        <v>17087</v>
      </c>
      <c r="C172" t="s">
        <v>24</v>
      </c>
      <c r="D172" t="s">
        <v>334</v>
      </c>
      <c r="E172" t="s">
        <v>308</v>
      </c>
      <c r="F172" t="s">
        <v>241</v>
      </c>
      <c r="G172">
        <v>9</v>
      </c>
      <c r="H172">
        <v>6</v>
      </c>
      <c r="I172" s="44">
        <v>0.66669999999999996</v>
      </c>
      <c r="J172">
        <v>61</v>
      </c>
      <c r="K172">
        <v>49</v>
      </c>
      <c r="L172">
        <v>4</v>
      </c>
      <c r="M172" s="44">
        <v>0.80330000000000001</v>
      </c>
      <c r="N172" s="44">
        <f t="shared" si="2"/>
        <v>0.77872727272727282</v>
      </c>
      <c r="O172" s="44">
        <v>1</v>
      </c>
      <c r="P172" s="44">
        <v>0.98109999999999997</v>
      </c>
      <c r="Q172" s="44">
        <v>0.24529999999999999</v>
      </c>
      <c r="R172" s="44">
        <v>1</v>
      </c>
      <c r="S172" s="44">
        <v>9.4299999999999995E-2</v>
      </c>
      <c r="T172" s="44">
        <v>1</v>
      </c>
      <c r="U172" s="44">
        <v>1</v>
      </c>
      <c r="V172" s="44">
        <v>1</v>
      </c>
      <c r="W172" s="44">
        <v>1</v>
      </c>
      <c r="X172" s="44">
        <v>1</v>
      </c>
      <c r="Y172" s="44">
        <v>0.24529999999999999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>
        <v>4</v>
      </c>
      <c r="AF172">
        <v>3</v>
      </c>
      <c r="AG172" s="44">
        <v>0.75</v>
      </c>
      <c r="AH172" s="44">
        <v>0.66849999999999998</v>
      </c>
    </row>
    <row r="173" spans="1:34" x14ac:dyDescent="0.25">
      <c r="A173">
        <v>189</v>
      </c>
      <c r="B173">
        <v>16778</v>
      </c>
      <c r="C173" t="s">
        <v>169</v>
      </c>
      <c r="D173" t="s">
        <v>334</v>
      </c>
      <c r="E173" t="s">
        <v>209</v>
      </c>
      <c r="F173" t="s">
        <v>243</v>
      </c>
      <c r="G173">
        <v>16</v>
      </c>
      <c r="H173">
        <v>14</v>
      </c>
      <c r="I173" s="44">
        <v>0.875</v>
      </c>
      <c r="J173">
        <v>92</v>
      </c>
      <c r="K173">
        <v>51</v>
      </c>
      <c r="L173">
        <v>2</v>
      </c>
      <c r="M173" s="44">
        <v>0.55430000000000001</v>
      </c>
      <c r="N173" s="44">
        <f t="shared" si="2"/>
        <v>0.73587272727272712</v>
      </c>
      <c r="O173" s="44">
        <v>0.90569999999999995</v>
      </c>
      <c r="P173" s="44">
        <v>0.90569999999999995</v>
      </c>
      <c r="Q173" s="44">
        <v>0.47170000000000001</v>
      </c>
      <c r="R173" s="44">
        <v>0.90569999999999995</v>
      </c>
      <c r="S173" s="44">
        <v>0.22639999999999999</v>
      </c>
      <c r="T173" s="44">
        <v>0.90569999999999995</v>
      </c>
      <c r="U173" s="44">
        <v>0.90569999999999995</v>
      </c>
      <c r="V173" s="44">
        <v>0.90569999999999995</v>
      </c>
      <c r="W173" s="44">
        <v>0.90569999999999995</v>
      </c>
      <c r="X173" s="44">
        <v>0.90569999999999995</v>
      </c>
      <c r="Y173" s="44">
        <v>0.15090000000000001</v>
      </c>
      <c r="Z173" s="44">
        <v>0.15090000000000001</v>
      </c>
      <c r="AA173" s="44">
        <v>0.15090000000000001</v>
      </c>
      <c r="AB173" s="44">
        <v>0</v>
      </c>
      <c r="AC173" s="44">
        <v>0</v>
      </c>
      <c r="AD173" s="44">
        <v>0</v>
      </c>
      <c r="AE173">
        <v>35</v>
      </c>
      <c r="AF173">
        <v>5</v>
      </c>
      <c r="AG173" s="44">
        <v>0.1429</v>
      </c>
      <c r="AH173" s="44">
        <v>0.65139999999999998</v>
      </c>
    </row>
    <row r="174" spans="1:34" x14ac:dyDescent="0.25">
      <c r="A174">
        <v>190</v>
      </c>
      <c r="B174">
        <v>17167</v>
      </c>
      <c r="C174" t="s">
        <v>95</v>
      </c>
      <c r="D174" t="s">
        <v>334</v>
      </c>
      <c r="E174" t="s">
        <v>307</v>
      </c>
      <c r="F174" t="s">
        <v>242</v>
      </c>
      <c r="G174">
        <v>7</v>
      </c>
      <c r="H174">
        <v>7</v>
      </c>
      <c r="I174" s="44">
        <v>1</v>
      </c>
      <c r="J174">
        <v>80</v>
      </c>
      <c r="K174">
        <v>37</v>
      </c>
      <c r="L174">
        <v>3</v>
      </c>
      <c r="M174" s="44">
        <v>0.46250000000000002</v>
      </c>
      <c r="N174" s="44">
        <f t="shared" si="2"/>
        <v>0.67727272727272714</v>
      </c>
      <c r="O174" s="44">
        <v>0.97499999999999998</v>
      </c>
      <c r="P174" s="44">
        <v>0.95</v>
      </c>
      <c r="Q174" s="44">
        <v>0</v>
      </c>
      <c r="R174" s="44">
        <v>0.95</v>
      </c>
      <c r="S174" s="44">
        <v>2.5000000000000001E-2</v>
      </c>
      <c r="T174" s="44">
        <v>0.85</v>
      </c>
      <c r="U174" s="44">
        <v>0.97499999999999998</v>
      </c>
      <c r="V174" s="44">
        <v>0.85</v>
      </c>
      <c r="W174" s="44">
        <v>0.85</v>
      </c>
      <c r="X174" s="44">
        <v>0.85</v>
      </c>
      <c r="Y174" s="44">
        <v>0.17499999999999999</v>
      </c>
      <c r="Z174" s="44">
        <v>7.4999999999999997E-2</v>
      </c>
      <c r="AA174" s="44">
        <v>0.05</v>
      </c>
      <c r="AB174" s="44">
        <v>0</v>
      </c>
      <c r="AC174" s="44">
        <v>0</v>
      </c>
      <c r="AD174" s="44">
        <v>0</v>
      </c>
      <c r="AE174">
        <v>12</v>
      </c>
      <c r="AF174">
        <v>1</v>
      </c>
      <c r="AG174" s="44">
        <v>8.3299999999999999E-2</v>
      </c>
      <c r="AH174" s="44">
        <v>0.64529999999999998</v>
      </c>
    </row>
    <row r="175" spans="1:34" x14ac:dyDescent="0.25">
      <c r="A175">
        <v>192</v>
      </c>
      <c r="B175">
        <v>17117</v>
      </c>
      <c r="C175" t="s">
        <v>194</v>
      </c>
      <c r="D175" t="s">
        <v>334</v>
      </c>
      <c r="E175" t="s">
        <v>310</v>
      </c>
      <c r="F175" t="s">
        <v>242</v>
      </c>
      <c r="G175">
        <v>13</v>
      </c>
      <c r="H175">
        <v>10</v>
      </c>
      <c r="I175" s="44">
        <v>0.76919999999999999</v>
      </c>
      <c r="J175">
        <v>81</v>
      </c>
      <c r="K175">
        <v>51</v>
      </c>
      <c r="L175">
        <v>4</v>
      </c>
      <c r="M175" s="44">
        <v>0.62960000000000005</v>
      </c>
      <c r="N175" s="44">
        <f t="shared" si="2"/>
        <v>0.74380000000000013</v>
      </c>
      <c r="O175" s="44">
        <v>1</v>
      </c>
      <c r="P175" s="44">
        <v>0.98180000000000001</v>
      </c>
      <c r="Q175" s="44">
        <v>1.8200000000000001E-2</v>
      </c>
      <c r="R175" s="44">
        <v>1</v>
      </c>
      <c r="S175" s="44">
        <v>0</v>
      </c>
      <c r="T175" s="44">
        <v>1</v>
      </c>
      <c r="U175" s="44">
        <v>1</v>
      </c>
      <c r="V175" s="44">
        <v>1</v>
      </c>
      <c r="W175" s="44">
        <v>1</v>
      </c>
      <c r="X175" s="44">
        <v>1</v>
      </c>
      <c r="Y175" s="44">
        <v>0.18179999999999999</v>
      </c>
      <c r="Z175" s="44">
        <v>0</v>
      </c>
      <c r="AA175" s="44">
        <v>0</v>
      </c>
      <c r="AB175" s="44">
        <v>0</v>
      </c>
      <c r="AC175" s="44">
        <v>0</v>
      </c>
      <c r="AD175" s="44">
        <v>0</v>
      </c>
      <c r="AE175">
        <v>4</v>
      </c>
      <c r="AF175">
        <v>0</v>
      </c>
      <c r="AG175" s="44">
        <v>0</v>
      </c>
      <c r="AH175" s="44">
        <v>0.63670000000000004</v>
      </c>
    </row>
    <row r="176" spans="1:34" x14ac:dyDescent="0.25">
      <c r="A176">
        <v>193</v>
      </c>
      <c r="B176">
        <v>16907</v>
      </c>
      <c r="C176" t="s">
        <v>155</v>
      </c>
      <c r="D176" t="s">
        <v>334</v>
      </c>
      <c r="E176" t="s">
        <v>208</v>
      </c>
      <c r="F176" t="s">
        <v>243</v>
      </c>
      <c r="G176">
        <v>19</v>
      </c>
      <c r="H176">
        <v>17</v>
      </c>
      <c r="I176" s="44">
        <v>0.89470000000000005</v>
      </c>
      <c r="J176">
        <v>101</v>
      </c>
      <c r="K176">
        <v>36</v>
      </c>
      <c r="L176">
        <v>47</v>
      </c>
      <c r="M176" s="44">
        <v>0.35639999999999999</v>
      </c>
      <c r="N176" s="44">
        <f t="shared" si="2"/>
        <v>0.81819090909090919</v>
      </c>
      <c r="O176" s="44">
        <v>1</v>
      </c>
      <c r="P176" s="44">
        <v>0.96389999999999998</v>
      </c>
      <c r="Q176" s="44">
        <v>0.39760000000000001</v>
      </c>
      <c r="R176" s="44">
        <v>1</v>
      </c>
      <c r="S176" s="44">
        <v>4.82E-2</v>
      </c>
      <c r="T176" s="44">
        <v>1</v>
      </c>
      <c r="U176" s="44">
        <v>1</v>
      </c>
      <c r="V176" s="44">
        <v>1</v>
      </c>
      <c r="W176" s="44">
        <v>1</v>
      </c>
      <c r="X176" s="44">
        <v>1</v>
      </c>
      <c r="Y176" s="44">
        <v>0.59040000000000004</v>
      </c>
      <c r="Z176" s="44">
        <v>0.39760000000000001</v>
      </c>
      <c r="AA176" s="44">
        <v>0.39760000000000001</v>
      </c>
      <c r="AB176" s="44">
        <v>0.16869999999999999</v>
      </c>
      <c r="AC176" s="44">
        <v>0.16869999999999999</v>
      </c>
      <c r="AD176" s="44">
        <v>0.16869999999999999</v>
      </c>
      <c r="AE176">
        <v>13</v>
      </c>
      <c r="AF176">
        <v>10</v>
      </c>
      <c r="AG176" s="44">
        <v>0.76919999999999999</v>
      </c>
      <c r="AH176" s="44">
        <v>0.63160000000000005</v>
      </c>
    </row>
    <row r="177" spans="1:34" x14ac:dyDescent="0.25">
      <c r="A177">
        <v>194</v>
      </c>
      <c r="B177">
        <v>17118</v>
      </c>
      <c r="C177" t="s">
        <v>195</v>
      </c>
      <c r="D177" t="s">
        <v>334</v>
      </c>
      <c r="E177" t="s">
        <v>310</v>
      </c>
      <c r="F177" t="s">
        <v>242</v>
      </c>
      <c r="G177">
        <v>3</v>
      </c>
      <c r="H177">
        <v>2</v>
      </c>
      <c r="I177" s="44">
        <v>0.66669999999999996</v>
      </c>
      <c r="J177">
        <v>37</v>
      </c>
      <c r="K177">
        <v>28</v>
      </c>
      <c r="L177">
        <v>1</v>
      </c>
      <c r="M177" s="44">
        <v>0.75680000000000003</v>
      </c>
      <c r="N177" s="44">
        <f t="shared" si="2"/>
        <v>0.61128181818181815</v>
      </c>
      <c r="O177" s="44">
        <v>0.75860000000000005</v>
      </c>
      <c r="P177" s="44">
        <v>0.68969999999999998</v>
      </c>
      <c r="Q177" s="44">
        <v>3.4500000000000003E-2</v>
      </c>
      <c r="R177" s="44">
        <v>0.72409999999999997</v>
      </c>
      <c r="S177" s="44">
        <v>0.13789999999999999</v>
      </c>
      <c r="T177" s="44">
        <v>0.79310000000000003</v>
      </c>
      <c r="U177" s="44">
        <v>0.8276</v>
      </c>
      <c r="V177" s="44">
        <v>0.79310000000000003</v>
      </c>
      <c r="W177" s="44">
        <v>0.79310000000000003</v>
      </c>
      <c r="X177" s="44">
        <v>0.79310000000000003</v>
      </c>
      <c r="Y177" s="44">
        <v>0.37930000000000003</v>
      </c>
      <c r="Z177" s="44">
        <v>0.13789999999999999</v>
      </c>
      <c r="AA177" s="44">
        <v>0.13789999999999999</v>
      </c>
      <c r="AB177" s="44">
        <v>0.13789999999999999</v>
      </c>
      <c r="AC177" s="44">
        <v>0</v>
      </c>
      <c r="AD177" s="44">
        <v>0</v>
      </c>
      <c r="AE177">
        <v>10</v>
      </c>
      <c r="AF177">
        <v>3</v>
      </c>
      <c r="AG177" s="44">
        <v>0.3</v>
      </c>
      <c r="AH177" s="44">
        <v>0.62319999999999998</v>
      </c>
    </row>
    <row r="178" spans="1:34" x14ac:dyDescent="0.25">
      <c r="A178">
        <v>195</v>
      </c>
      <c r="B178">
        <v>17082</v>
      </c>
      <c r="C178" t="s">
        <v>19</v>
      </c>
      <c r="D178" t="s">
        <v>334</v>
      </c>
      <c r="E178" t="s">
        <v>310</v>
      </c>
      <c r="F178" t="s">
        <v>242</v>
      </c>
      <c r="G178">
        <v>2</v>
      </c>
      <c r="H178">
        <v>1</v>
      </c>
      <c r="I178" s="44">
        <v>0.5</v>
      </c>
      <c r="J178">
        <v>27</v>
      </c>
      <c r="K178">
        <v>20</v>
      </c>
      <c r="L178">
        <v>2</v>
      </c>
      <c r="M178" s="44">
        <v>0.74070000000000003</v>
      </c>
      <c r="N178" s="44">
        <f t="shared" si="2"/>
        <v>0.73967272727272726</v>
      </c>
      <c r="O178" s="44">
        <v>0.81820000000000004</v>
      </c>
      <c r="P178" s="44">
        <v>0.77270000000000005</v>
      </c>
      <c r="Q178" s="44">
        <v>0.5</v>
      </c>
      <c r="R178" s="44">
        <v>0.81820000000000004</v>
      </c>
      <c r="S178" s="44">
        <v>0.36359999999999998</v>
      </c>
      <c r="T178" s="44">
        <v>0.81820000000000004</v>
      </c>
      <c r="U178" s="44">
        <v>0.81820000000000004</v>
      </c>
      <c r="V178" s="44">
        <v>0.81820000000000004</v>
      </c>
      <c r="W178" s="44">
        <v>0.81820000000000004</v>
      </c>
      <c r="X178" s="44">
        <v>0.81820000000000004</v>
      </c>
      <c r="Y178" s="44">
        <v>0.77270000000000005</v>
      </c>
      <c r="Z178" s="44">
        <v>0.72729999999999995</v>
      </c>
      <c r="AA178" s="44">
        <v>0.68179999999999996</v>
      </c>
      <c r="AB178" s="44">
        <v>9.0899999999999995E-2</v>
      </c>
      <c r="AC178" s="44">
        <v>9.0899999999999995E-2</v>
      </c>
      <c r="AD178" s="44">
        <v>9.0899999999999995E-2</v>
      </c>
      <c r="AE178">
        <v>3</v>
      </c>
      <c r="AF178">
        <v>2</v>
      </c>
      <c r="AG178" s="44">
        <v>0.66669999999999996</v>
      </c>
      <c r="AH178" s="44">
        <v>0.61809999999999998</v>
      </c>
    </row>
    <row r="179" spans="1:34" x14ac:dyDescent="0.25">
      <c r="A179">
        <v>196</v>
      </c>
      <c r="B179">
        <v>17168</v>
      </c>
      <c r="C179" t="s">
        <v>96</v>
      </c>
      <c r="D179" t="s">
        <v>334</v>
      </c>
      <c r="E179" t="s">
        <v>307</v>
      </c>
      <c r="F179" t="s">
        <v>242</v>
      </c>
      <c r="G179">
        <v>17</v>
      </c>
      <c r="H179">
        <v>15</v>
      </c>
      <c r="I179" s="44">
        <v>0.88239999999999996</v>
      </c>
      <c r="J179">
        <v>85</v>
      </c>
      <c r="K179">
        <v>56</v>
      </c>
      <c r="L179">
        <v>19</v>
      </c>
      <c r="M179" s="44">
        <v>0.65880000000000005</v>
      </c>
      <c r="N179" s="44">
        <f t="shared" si="2"/>
        <v>0.38425454545454546</v>
      </c>
      <c r="O179" s="44">
        <v>0.94669999999999999</v>
      </c>
      <c r="P179" s="44">
        <v>0.93330000000000002</v>
      </c>
      <c r="Q179" s="44">
        <v>0.08</v>
      </c>
      <c r="R179" s="44">
        <v>0.94669999999999999</v>
      </c>
      <c r="S179" s="44">
        <v>0.1067</v>
      </c>
      <c r="T179" s="44">
        <v>0.04</v>
      </c>
      <c r="U179" s="44">
        <v>0.89329999999999998</v>
      </c>
      <c r="V179" s="44">
        <v>2.6700000000000002E-2</v>
      </c>
      <c r="W179" s="44">
        <v>6.6699999999999995E-2</v>
      </c>
      <c r="X179" s="44">
        <v>0.04</v>
      </c>
      <c r="Y179" s="44">
        <v>0.1467</v>
      </c>
      <c r="Z179" s="44">
        <v>6.6699999999999995E-2</v>
      </c>
      <c r="AA179" s="44">
        <v>2.6700000000000002E-2</v>
      </c>
      <c r="AB179" s="44">
        <v>2.6700000000000002E-2</v>
      </c>
      <c r="AC179" s="44">
        <v>1.3299999999999999E-2</v>
      </c>
      <c r="AD179" s="44">
        <v>0</v>
      </c>
      <c r="AE179">
        <v>19</v>
      </c>
      <c r="AF179">
        <v>7</v>
      </c>
      <c r="AG179" s="44">
        <v>0.36840000000000001</v>
      </c>
      <c r="AH179" s="44">
        <v>0.60460000000000003</v>
      </c>
    </row>
    <row r="180" spans="1:34" x14ac:dyDescent="0.25">
      <c r="A180">
        <v>197</v>
      </c>
      <c r="B180">
        <v>16908</v>
      </c>
      <c r="C180" t="s">
        <v>156</v>
      </c>
      <c r="D180" t="s">
        <v>334</v>
      </c>
      <c r="E180" t="s">
        <v>208</v>
      </c>
      <c r="F180" t="s">
        <v>243</v>
      </c>
      <c r="G180">
        <v>18</v>
      </c>
      <c r="H180">
        <v>15</v>
      </c>
      <c r="I180" s="44">
        <v>0.83330000000000004</v>
      </c>
      <c r="J180">
        <v>99</v>
      </c>
      <c r="K180">
        <v>43</v>
      </c>
      <c r="L180">
        <v>24</v>
      </c>
      <c r="M180" s="44">
        <v>0.43430000000000002</v>
      </c>
      <c r="N180" s="44">
        <f t="shared" si="2"/>
        <v>0.77070000000000005</v>
      </c>
      <c r="O180" s="44">
        <v>1</v>
      </c>
      <c r="P180" s="44">
        <v>0.98509999999999998</v>
      </c>
      <c r="Q180" s="44">
        <v>4.48E-2</v>
      </c>
      <c r="R180" s="44">
        <v>1</v>
      </c>
      <c r="S180" s="44">
        <v>5.9700000000000003E-2</v>
      </c>
      <c r="T180" s="44">
        <v>1</v>
      </c>
      <c r="U180" s="44">
        <v>1</v>
      </c>
      <c r="V180" s="44">
        <v>1</v>
      </c>
      <c r="W180" s="44">
        <v>1</v>
      </c>
      <c r="X180" s="44">
        <v>1</v>
      </c>
      <c r="Y180" s="44">
        <v>0.3881</v>
      </c>
      <c r="Z180" s="44">
        <v>2.9899999999999999E-2</v>
      </c>
      <c r="AA180" s="44">
        <v>2.9899999999999999E-2</v>
      </c>
      <c r="AB180" s="44">
        <v>2.9899999999999999E-2</v>
      </c>
      <c r="AC180" s="44">
        <v>2.9899999999999999E-2</v>
      </c>
      <c r="AD180" s="44">
        <v>2.9899999999999999E-2</v>
      </c>
      <c r="AE180">
        <v>13</v>
      </c>
      <c r="AF180">
        <v>11</v>
      </c>
      <c r="AG180" s="44">
        <v>0.84619999999999995</v>
      </c>
      <c r="AH180" s="44">
        <v>0.60229999999999995</v>
      </c>
    </row>
    <row r="181" spans="1:34" x14ac:dyDescent="0.25">
      <c r="A181">
        <v>198</v>
      </c>
      <c r="B181">
        <v>16783</v>
      </c>
      <c r="C181" t="s">
        <v>118</v>
      </c>
      <c r="D181" t="s">
        <v>334</v>
      </c>
      <c r="E181" t="s">
        <v>311</v>
      </c>
      <c r="F181" t="s">
        <v>243</v>
      </c>
      <c r="G181">
        <v>5</v>
      </c>
      <c r="H181">
        <v>3</v>
      </c>
      <c r="I181" s="44">
        <v>0.6</v>
      </c>
      <c r="J181">
        <v>36</v>
      </c>
      <c r="K181">
        <v>28</v>
      </c>
      <c r="L181">
        <v>1</v>
      </c>
      <c r="M181" s="44">
        <v>0.77780000000000005</v>
      </c>
      <c r="N181" s="44">
        <f t="shared" si="2"/>
        <v>0.48588181818181814</v>
      </c>
      <c r="O181" s="44">
        <v>0.58620000000000005</v>
      </c>
      <c r="P181" s="44">
        <v>0.55169999999999997</v>
      </c>
      <c r="Q181" s="44">
        <v>0</v>
      </c>
      <c r="R181" s="44">
        <v>0.58620000000000005</v>
      </c>
      <c r="S181" s="44">
        <v>0.13789999999999999</v>
      </c>
      <c r="T181" s="44">
        <v>0.58620000000000005</v>
      </c>
      <c r="U181" s="44">
        <v>0.58620000000000005</v>
      </c>
      <c r="V181" s="44">
        <v>0.58620000000000005</v>
      </c>
      <c r="W181" s="44">
        <v>0.58620000000000005</v>
      </c>
      <c r="X181" s="44">
        <v>0.58620000000000005</v>
      </c>
      <c r="Y181" s="44">
        <v>0.55169999999999997</v>
      </c>
      <c r="Z181" s="44">
        <v>0.55169999999999997</v>
      </c>
      <c r="AA181" s="44">
        <v>0.55169999999999997</v>
      </c>
      <c r="AB181" s="44">
        <v>3.4500000000000003E-2</v>
      </c>
      <c r="AC181" s="44">
        <v>3.4500000000000003E-2</v>
      </c>
      <c r="AD181" s="44">
        <v>3.4500000000000003E-2</v>
      </c>
      <c r="AE181">
        <v>13</v>
      </c>
      <c r="AF181">
        <v>11</v>
      </c>
      <c r="AG181" s="44">
        <v>0.84619999999999995</v>
      </c>
      <c r="AH181" s="44">
        <v>0.5958</v>
      </c>
    </row>
    <row r="182" spans="1:34" x14ac:dyDescent="0.25">
      <c r="A182">
        <v>199</v>
      </c>
      <c r="B182">
        <v>17161</v>
      </c>
      <c r="C182" t="s">
        <v>89</v>
      </c>
      <c r="D182" t="s">
        <v>334</v>
      </c>
      <c r="E182" t="s">
        <v>307</v>
      </c>
      <c r="F182" t="s">
        <v>242</v>
      </c>
      <c r="G182">
        <v>15</v>
      </c>
      <c r="H182">
        <v>12</v>
      </c>
      <c r="I182" s="44">
        <v>0.8</v>
      </c>
      <c r="J182">
        <v>104</v>
      </c>
      <c r="K182">
        <v>50</v>
      </c>
      <c r="L182">
        <v>8</v>
      </c>
      <c r="M182" s="44">
        <v>0.48080000000000001</v>
      </c>
      <c r="N182" s="44">
        <f t="shared" si="2"/>
        <v>0.72260000000000002</v>
      </c>
      <c r="O182" s="44">
        <v>0.98280000000000001</v>
      </c>
      <c r="P182" s="44">
        <v>0.94830000000000003</v>
      </c>
      <c r="Q182" s="44">
        <v>0</v>
      </c>
      <c r="R182" s="44">
        <v>0.98280000000000001</v>
      </c>
      <c r="S182" s="44">
        <v>0</v>
      </c>
      <c r="T182" s="44">
        <v>0.98280000000000001</v>
      </c>
      <c r="U182" s="44">
        <v>0.98280000000000001</v>
      </c>
      <c r="V182" s="44">
        <v>0.98280000000000001</v>
      </c>
      <c r="W182" s="44">
        <v>0.98280000000000001</v>
      </c>
      <c r="X182" s="44">
        <v>0.98280000000000001</v>
      </c>
      <c r="Y182" s="44">
        <v>0.1207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>
        <v>22</v>
      </c>
      <c r="AF182">
        <v>0</v>
      </c>
      <c r="AG182" s="44">
        <v>0</v>
      </c>
      <c r="AH182" s="44">
        <v>0.59250000000000003</v>
      </c>
    </row>
    <row r="183" spans="1:34" x14ac:dyDescent="0.25">
      <c r="A183">
        <v>200</v>
      </c>
      <c r="B183">
        <v>17110</v>
      </c>
      <c r="C183" t="s">
        <v>187</v>
      </c>
      <c r="D183" t="s">
        <v>334</v>
      </c>
      <c r="E183" t="s">
        <v>310</v>
      </c>
      <c r="F183" t="s">
        <v>242</v>
      </c>
      <c r="G183">
        <v>22</v>
      </c>
      <c r="H183">
        <v>15</v>
      </c>
      <c r="I183" s="44">
        <v>0.68179999999999996</v>
      </c>
      <c r="J183">
        <v>119</v>
      </c>
      <c r="K183">
        <v>59</v>
      </c>
      <c r="L183">
        <v>3</v>
      </c>
      <c r="M183" s="44">
        <v>0.49580000000000002</v>
      </c>
      <c r="N183" s="44">
        <f t="shared" si="2"/>
        <v>0.78738181818181829</v>
      </c>
      <c r="O183" s="44">
        <v>1</v>
      </c>
      <c r="P183" s="44">
        <v>0.9677</v>
      </c>
      <c r="Q183" s="44">
        <v>0.129</v>
      </c>
      <c r="R183" s="44">
        <v>1</v>
      </c>
      <c r="S183" s="44">
        <v>8.0600000000000005E-2</v>
      </c>
      <c r="T183" s="44">
        <v>1</v>
      </c>
      <c r="U183" s="44">
        <v>1</v>
      </c>
      <c r="V183" s="44">
        <v>1</v>
      </c>
      <c r="W183" s="44">
        <v>1</v>
      </c>
      <c r="X183" s="44">
        <v>1</v>
      </c>
      <c r="Y183" s="44">
        <v>0.4839</v>
      </c>
      <c r="Z183" s="44">
        <v>0.2742</v>
      </c>
      <c r="AA183" s="44">
        <v>0.2903</v>
      </c>
      <c r="AB183" s="44">
        <v>0</v>
      </c>
      <c r="AC183" s="44">
        <v>0</v>
      </c>
      <c r="AD183" s="44">
        <v>0</v>
      </c>
      <c r="AE183">
        <v>16</v>
      </c>
      <c r="AF183">
        <v>2</v>
      </c>
      <c r="AG183" s="44">
        <v>0.125</v>
      </c>
      <c r="AH183" s="44">
        <v>0.5847</v>
      </c>
    </row>
    <row r="184" spans="1:34" x14ac:dyDescent="0.25">
      <c r="A184">
        <v>201</v>
      </c>
      <c r="B184">
        <v>17107</v>
      </c>
      <c r="C184" t="s">
        <v>184</v>
      </c>
      <c r="D184" t="s">
        <v>334</v>
      </c>
      <c r="E184" t="s">
        <v>310</v>
      </c>
      <c r="F184" t="s">
        <v>242</v>
      </c>
      <c r="G184">
        <v>12</v>
      </c>
      <c r="H184">
        <v>8</v>
      </c>
      <c r="I184" s="44">
        <v>0.66669999999999996</v>
      </c>
      <c r="J184">
        <v>86</v>
      </c>
      <c r="K184">
        <v>48</v>
      </c>
      <c r="L184">
        <v>0</v>
      </c>
      <c r="M184" s="44">
        <v>0.55810000000000004</v>
      </c>
      <c r="N184" s="44">
        <f t="shared" si="2"/>
        <v>0.75001818181818181</v>
      </c>
      <c r="O184" s="44">
        <v>0.97919999999999996</v>
      </c>
      <c r="P184" s="44">
        <v>0.9375</v>
      </c>
      <c r="Q184" s="44">
        <v>2.0799999999999999E-2</v>
      </c>
      <c r="R184" s="44">
        <v>0.97919999999999996</v>
      </c>
      <c r="S184" s="44">
        <v>4.1700000000000001E-2</v>
      </c>
      <c r="T184" s="44">
        <v>0.97919999999999996</v>
      </c>
      <c r="U184" s="44">
        <v>0.97919999999999996</v>
      </c>
      <c r="V184" s="44">
        <v>0.97919999999999996</v>
      </c>
      <c r="W184" s="44">
        <v>0.97919999999999996</v>
      </c>
      <c r="X184" s="44">
        <v>0.97919999999999996</v>
      </c>
      <c r="Y184" s="44">
        <v>0.39579999999999999</v>
      </c>
      <c r="Z184" s="44">
        <v>0.1042</v>
      </c>
      <c r="AA184" s="44">
        <v>0.1042</v>
      </c>
      <c r="AB184" s="44">
        <v>0</v>
      </c>
      <c r="AC184" s="44">
        <v>0</v>
      </c>
      <c r="AD184" s="44">
        <v>0</v>
      </c>
      <c r="AE184">
        <v>28</v>
      </c>
      <c r="AF184">
        <v>2</v>
      </c>
      <c r="AG184" s="44">
        <v>7.1400000000000005E-2</v>
      </c>
      <c r="AH184" s="44">
        <v>0.58450000000000002</v>
      </c>
    </row>
    <row r="185" spans="1:34" x14ac:dyDescent="0.25">
      <c r="A185">
        <v>202</v>
      </c>
      <c r="B185">
        <v>17114</v>
      </c>
      <c r="C185" t="s">
        <v>191</v>
      </c>
      <c r="D185" t="s">
        <v>334</v>
      </c>
      <c r="E185" t="s">
        <v>310</v>
      </c>
      <c r="F185" t="s">
        <v>242</v>
      </c>
      <c r="G185">
        <v>8</v>
      </c>
      <c r="H185">
        <v>6</v>
      </c>
      <c r="I185" s="44">
        <v>0.75</v>
      </c>
      <c r="J185">
        <v>81</v>
      </c>
      <c r="K185">
        <v>33</v>
      </c>
      <c r="L185">
        <v>2</v>
      </c>
      <c r="M185" s="44">
        <v>0.40739999999999998</v>
      </c>
      <c r="N185" s="44">
        <f t="shared" si="2"/>
        <v>0.65192727272727269</v>
      </c>
      <c r="O185" s="44">
        <v>0.85709999999999997</v>
      </c>
      <c r="P185" s="44">
        <v>0.77139999999999997</v>
      </c>
      <c r="Q185" s="44">
        <v>0</v>
      </c>
      <c r="R185" s="44">
        <v>0.85709999999999997</v>
      </c>
      <c r="S185" s="44">
        <v>8.5699999999999998E-2</v>
      </c>
      <c r="T185" s="44">
        <v>0.85709999999999997</v>
      </c>
      <c r="U185" s="44">
        <v>0.88570000000000004</v>
      </c>
      <c r="V185" s="44">
        <v>0.88570000000000004</v>
      </c>
      <c r="W185" s="44">
        <v>0.9143</v>
      </c>
      <c r="X185" s="44">
        <v>0.85709999999999997</v>
      </c>
      <c r="Y185" s="44">
        <v>0.2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>
        <v>36</v>
      </c>
      <c r="AF185">
        <v>2</v>
      </c>
      <c r="AG185" s="44">
        <v>5.5599999999999997E-2</v>
      </c>
      <c r="AH185" s="44">
        <v>0.53520000000000001</v>
      </c>
    </row>
    <row r="186" spans="1:34" x14ac:dyDescent="0.25">
      <c r="A186">
        <v>203</v>
      </c>
      <c r="B186">
        <v>17076</v>
      </c>
      <c r="C186" t="s">
        <v>13</v>
      </c>
      <c r="D186" t="s">
        <v>334</v>
      </c>
      <c r="E186" t="s">
        <v>308</v>
      </c>
      <c r="F186" t="s">
        <v>241</v>
      </c>
      <c r="G186">
        <v>18</v>
      </c>
      <c r="H186">
        <v>8</v>
      </c>
      <c r="I186" s="44">
        <v>0.44440000000000002</v>
      </c>
      <c r="J186">
        <v>81</v>
      </c>
      <c r="K186">
        <v>40</v>
      </c>
      <c r="L186">
        <v>7</v>
      </c>
      <c r="M186" s="44">
        <v>0.49380000000000002</v>
      </c>
      <c r="N186" s="44">
        <f t="shared" si="2"/>
        <v>0.7582181818181819</v>
      </c>
      <c r="O186" s="44">
        <v>1</v>
      </c>
      <c r="P186" s="44">
        <v>0.97870000000000001</v>
      </c>
      <c r="Q186" s="44">
        <v>0.10639999999999999</v>
      </c>
      <c r="R186" s="44">
        <v>1</v>
      </c>
      <c r="S186" s="44">
        <v>2.1299999999999999E-2</v>
      </c>
      <c r="T186" s="44">
        <v>1</v>
      </c>
      <c r="U186" s="44">
        <v>0.97870000000000001</v>
      </c>
      <c r="V186" s="44">
        <v>1</v>
      </c>
      <c r="W186" s="44">
        <v>1</v>
      </c>
      <c r="X186" s="44">
        <v>1</v>
      </c>
      <c r="Y186" s="44">
        <v>0.25530000000000003</v>
      </c>
      <c r="Z186" s="44">
        <v>0</v>
      </c>
      <c r="AA186" s="44">
        <v>0</v>
      </c>
      <c r="AB186" s="44">
        <v>0.10639999999999999</v>
      </c>
      <c r="AC186" s="44">
        <v>0.10639999999999999</v>
      </c>
      <c r="AD186" s="44">
        <v>0.10639999999999999</v>
      </c>
      <c r="AE186">
        <v>12</v>
      </c>
      <c r="AF186">
        <v>1</v>
      </c>
      <c r="AG186" s="44">
        <v>8.3299999999999999E-2</v>
      </c>
      <c r="AH186" s="44">
        <v>0.49309999999999998</v>
      </c>
    </row>
    <row r="187" spans="1:34" x14ac:dyDescent="0.25">
      <c r="A187">
        <v>204</v>
      </c>
      <c r="B187">
        <v>17108</v>
      </c>
      <c r="C187" t="s">
        <v>185</v>
      </c>
      <c r="D187" t="s">
        <v>334</v>
      </c>
      <c r="E187" t="s">
        <v>310</v>
      </c>
      <c r="F187" t="s">
        <v>242</v>
      </c>
      <c r="G187">
        <v>4</v>
      </c>
      <c r="H187">
        <v>2</v>
      </c>
      <c r="I187" s="44">
        <v>0.5</v>
      </c>
      <c r="J187">
        <v>43</v>
      </c>
      <c r="K187">
        <v>8</v>
      </c>
      <c r="L187">
        <v>0</v>
      </c>
      <c r="M187" s="44">
        <v>0.186</v>
      </c>
      <c r="N187" s="44">
        <f t="shared" si="2"/>
        <v>0.81818181818181823</v>
      </c>
      <c r="O187" s="44">
        <v>1</v>
      </c>
      <c r="P187" s="44">
        <v>1</v>
      </c>
      <c r="Q187" s="44">
        <v>0</v>
      </c>
      <c r="R187" s="44">
        <v>1</v>
      </c>
      <c r="S187" s="44">
        <v>0</v>
      </c>
      <c r="T187" s="44">
        <v>1</v>
      </c>
      <c r="U187" s="44">
        <v>1</v>
      </c>
      <c r="V187" s="44">
        <v>1</v>
      </c>
      <c r="W187" s="44">
        <v>1</v>
      </c>
      <c r="X187" s="44">
        <v>1</v>
      </c>
      <c r="Y187" s="44">
        <v>1</v>
      </c>
      <c r="Z187" s="44">
        <v>1</v>
      </c>
      <c r="AA187" s="44">
        <v>0.875</v>
      </c>
      <c r="AB187" s="44">
        <v>0</v>
      </c>
      <c r="AC187" s="44">
        <v>0</v>
      </c>
      <c r="AD187" s="44">
        <v>0</v>
      </c>
      <c r="AE187">
        <v>5</v>
      </c>
      <c r="AF187">
        <v>0</v>
      </c>
      <c r="AG187" s="44">
        <v>0</v>
      </c>
      <c r="AH187" s="44">
        <v>0.45519999999999999</v>
      </c>
    </row>
    <row r="188" spans="1:34" x14ac:dyDescent="0.25">
      <c r="A188">
        <v>205</v>
      </c>
      <c r="B188">
        <v>16786</v>
      </c>
      <c r="C188" t="s">
        <v>161</v>
      </c>
      <c r="D188" t="s">
        <v>334</v>
      </c>
      <c r="E188" t="s">
        <v>209</v>
      </c>
      <c r="F188" t="s">
        <v>243</v>
      </c>
      <c r="G188">
        <v>12</v>
      </c>
      <c r="H188">
        <v>7</v>
      </c>
      <c r="I188" s="44">
        <v>0.58330000000000004</v>
      </c>
      <c r="J188">
        <v>83</v>
      </c>
      <c r="K188">
        <v>17</v>
      </c>
      <c r="L188">
        <v>2</v>
      </c>
      <c r="M188" s="44">
        <v>0.20480000000000001</v>
      </c>
      <c r="N188" s="44">
        <f t="shared" si="2"/>
        <v>0.70810909090909102</v>
      </c>
      <c r="O188" s="44">
        <v>0.89470000000000005</v>
      </c>
      <c r="P188" s="44">
        <v>0.89470000000000005</v>
      </c>
      <c r="Q188" s="44">
        <v>0</v>
      </c>
      <c r="R188" s="44">
        <v>0.89470000000000005</v>
      </c>
      <c r="S188" s="44">
        <v>0</v>
      </c>
      <c r="T188" s="44">
        <v>0.89470000000000005</v>
      </c>
      <c r="U188" s="44">
        <v>0.89470000000000005</v>
      </c>
      <c r="V188" s="44">
        <v>0.89470000000000005</v>
      </c>
      <c r="W188" s="44">
        <v>0.89470000000000005</v>
      </c>
      <c r="X188" s="44">
        <v>0.89470000000000005</v>
      </c>
      <c r="Y188" s="44">
        <v>0.63160000000000005</v>
      </c>
      <c r="Z188" s="44">
        <v>0.47370000000000001</v>
      </c>
      <c r="AA188" s="44">
        <v>0.47370000000000001</v>
      </c>
      <c r="AB188" s="44">
        <v>0.15790000000000001</v>
      </c>
      <c r="AC188" s="44">
        <v>0.15790000000000001</v>
      </c>
      <c r="AD188" s="44">
        <v>0.1053</v>
      </c>
      <c r="AE188">
        <v>27</v>
      </c>
      <c r="AF188">
        <v>0</v>
      </c>
      <c r="AG188" s="44">
        <v>0</v>
      </c>
      <c r="AH188" s="44">
        <v>0.45350000000000001</v>
      </c>
    </row>
    <row r="189" spans="1:34" x14ac:dyDescent="0.25">
      <c r="A189">
        <v>206</v>
      </c>
      <c r="B189">
        <v>16775</v>
      </c>
      <c r="C189" t="s">
        <v>112</v>
      </c>
      <c r="D189" t="s">
        <v>334</v>
      </c>
      <c r="E189" t="s">
        <v>311</v>
      </c>
      <c r="F189" t="s">
        <v>243</v>
      </c>
      <c r="G189">
        <v>6</v>
      </c>
      <c r="H189">
        <v>4</v>
      </c>
      <c r="I189" s="44">
        <v>0.66669999999999996</v>
      </c>
      <c r="J189">
        <v>57</v>
      </c>
      <c r="K189">
        <v>10</v>
      </c>
      <c r="L189">
        <v>0</v>
      </c>
      <c r="M189" s="44">
        <v>0.1754</v>
      </c>
      <c r="N189" s="44">
        <f t="shared" si="2"/>
        <v>0.73636363636363633</v>
      </c>
      <c r="O189" s="44">
        <v>1</v>
      </c>
      <c r="P189" s="44">
        <v>1</v>
      </c>
      <c r="Q189" s="44">
        <v>0</v>
      </c>
      <c r="R189" s="44">
        <v>1</v>
      </c>
      <c r="S189" s="44">
        <v>0.1</v>
      </c>
      <c r="T189" s="44">
        <v>1</v>
      </c>
      <c r="U189" s="44">
        <v>1</v>
      </c>
      <c r="V189" s="44">
        <v>1</v>
      </c>
      <c r="W189" s="44">
        <v>1</v>
      </c>
      <c r="X189" s="44">
        <v>1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>
        <v>12</v>
      </c>
      <c r="AF189">
        <v>1</v>
      </c>
      <c r="AG189" s="44">
        <v>8.3299999999999999E-2</v>
      </c>
      <c r="AH189" s="44">
        <v>0.44950000000000001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A4FD6-D455-44C5-A918-2E0AC8510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86426d8-1e28-4adb-8b45-e1be5951e4de}" enabled="0" method="" siteId="{886426d8-1e28-4adb-8b45-e1be5951e4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Liquidacion Lideres y Superviso</vt:lpstr>
      <vt:lpstr>TD Supervisores Y Lideres Prom</vt:lpstr>
      <vt:lpstr>Liq. Mercaderista 1ra Llave 95%</vt:lpstr>
      <vt:lpstr>Liq. Mercaderista 3ra Llave 70%</vt:lpstr>
      <vt:lpstr>Liq. Mercaderista 2da Llave 80%</vt:lpstr>
      <vt:lpstr>Liq. Mercaderista 3ra Llave</vt:lpstr>
      <vt:lpstr>Liquidacion por Rutas</vt:lpstr>
      <vt:lpstr>Indicadores</vt:lpstr>
      <vt:lpstr>Ventas</vt:lpstr>
      <vt:lpstr>INDICADORES CAPTURA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Abril</dc:creator>
  <cp:lastModifiedBy>DYLAN ALEJANDRO RODRIGUEZ ROA</cp:lastModifiedBy>
  <dcterms:created xsi:type="dcterms:W3CDTF">2026-01-13T12:59:45Z</dcterms:created>
  <dcterms:modified xsi:type="dcterms:W3CDTF">2026-09-24T14:51:53Z</dcterms:modified>
</cp:coreProperties>
</file>