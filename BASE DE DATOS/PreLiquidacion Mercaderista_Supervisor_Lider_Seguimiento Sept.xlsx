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703FF32-C939-48CC-B2DB-BFFC0A03EC1C}" xr6:coauthVersionLast="47" xr6:coauthVersionMax="47" xr10:uidLastSave="{00000000-0000-0000-0000-000000000000}"/>
  <bookViews>
    <workbookView xWindow="-120" yWindow="-120" windowWidth="29040" windowHeight="15720" tabRatio="834" activeTab="2" xr2:uid="{63BB9A3D-9F7F-4E36-95B4-EC569DF2BACA}"/>
  </bookViews>
  <sheets>
    <sheet name="Liquidacion Supervisores" sheetId="8" r:id="rId1"/>
    <sheet name="TD Supervisores Y Lideres Prom" sheetId="6" state="hidden" r:id="rId2"/>
    <sheet name="Liquidacion Comision Septiembre" sheetId="24" r:id="rId3"/>
    <sheet name="Indicadores" sheetId="9" state="hidden" r:id="rId4"/>
    <sheet name="INDICADORES CAPTURA" sheetId="15" state="hidden" r:id="rId5"/>
  </sheets>
  <definedNames>
    <definedName name="_xlnm._FilterDatabase" localSheetId="3" hidden="1">Indicadores!$A$1:$S$189</definedName>
    <definedName name="_xlnm._FilterDatabase" localSheetId="4" hidden="1">'INDICADORES CAPTURA'!$A$1:$V$189</definedName>
    <definedName name="_xlnm._FilterDatabase" localSheetId="2" hidden="1">'Liquidacion Comision Septiembre'!$A$5:$AB$193</definedName>
    <definedName name="_xlnm._FilterDatabase" localSheetId="0" hidden="1">'Liquidacion Supervisores'!$B$15:$T$29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" i="8" l="1"/>
  <c r="J8" i="8" l="1"/>
  <c r="J9" i="8"/>
  <c r="S150" i="24"/>
  <c r="S125" i="24"/>
  <c r="S122" i="24"/>
  <c r="S110" i="24"/>
  <c r="S88" i="24"/>
  <c r="S67" i="24"/>
  <c r="S27" i="24"/>
  <c r="S17" i="24"/>
  <c r="S15" i="24"/>
  <c r="O117" i="24"/>
  <c r="R18" i="24" l="1"/>
  <c r="S18" i="24" s="1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R193" i="24"/>
  <c r="S193" i="24" s="1"/>
  <c r="R192" i="24"/>
  <c r="S192" i="24" s="1"/>
  <c r="R191" i="24"/>
  <c r="S191" i="24" s="1"/>
  <c r="R190" i="24"/>
  <c r="S190" i="24" s="1"/>
  <c r="R189" i="24"/>
  <c r="S189" i="24" s="1"/>
  <c r="R188" i="24"/>
  <c r="S188" i="24" s="1"/>
  <c r="R187" i="24"/>
  <c r="S187" i="24" s="1"/>
  <c r="R186" i="24"/>
  <c r="S186" i="24" s="1"/>
  <c r="R185" i="24"/>
  <c r="S185" i="24" s="1"/>
  <c r="R184" i="24"/>
  <c r="S184" i="24" s="1"/>
  <c r="R183" i="24"/>
  <c r="S183" i="24" s="1"/>
  <c r="R182" i="24"/>
  <c r="S182" i="24" s="1"/>
  <c r="R181" i="24"/>
  <c r="S181" i="24" s="1"/>
  <c r="R180" i="24"/>
  <c r="S180" i="24" s="1"/>
  <c r="R179" i="24"/>
  <c r="S179" i="24" s="1"/>
  <c r="R178" i="24"/>
  <c r="R177" i="24"/>
  <c r="S177" i="24" s="1"/>
  <c r="R176" i="24"/>
  <c r="S176" i="24" s="1"/>
  <c r="R175" i="24"/>
  <c r="S175" i="24" s="1"/>
  <c r="R174" i="24"/>
  <c r="S174" i="24" s="1"/>
  <c r="R173" i="24"/>
  <c r="S173" i="24" s="1"/>
  <c r="R172" i="24"/>
  <c r="S172" i="24" s="1"/>
  <c r="R171" i="24"/>
  <c r="S171" i="24" s="1"/>
  <c r="R170" i="24"/>
  <c r="S170" i="24" s="1"/>
  <c r="R169" i="24"/>
  <c r="S169" i="24" s="1"/>
  <c r="R168" i="24"/>
  <c r="S168" i="24" s="1"/>
  <c r="R167" i="24"/>
  <c r="S167" i="24" s="1"/>
  <c r="R166" i="24"/>
  <c r="S166" i="24" s="1"/>
  <c r="R165" i="24"/>
  <c r="S165" i="24" s="1"/>
  <c r="R164" i="24"/>
  <c r="S164" i="24" s="1"/>
  <c r="R163" i="24"/>
  <c r="S163" i="24" s="1"/>
  <c r="R162" i="24"/>
  <c r="S162" i="24" s="1"/>
  <c r="R161" i="24"/>
  <c r="S161" i="24" s="1"/>
  <c r="R160" i="24"/>
  <c r="T160" i="24" s="1"/>
  <c r="R159" i="24"/>
  <c r="S159" i="24" s="1"/>
  <c r="R158" i="24"/>
  <c r="S158" i="24" s="1"/>
  <c r="R157" i="24"/>
  <c r="S157" i="24" s="1"/>
  <c r="R156" i="24"/>
  <c r="S156" i="24" s="1"/>
  <c r="R155" i="24"/>
  <c r="S155" i="24" s="1"/>
  <c r="R154" i="24"/>
  <c r="T154" i="24" s="1"/>
  <c r="R151" i="24"/>
  <c r="S151" i="24" s="1"/>
  <c r="R148" i="24"/>
  <c r="S148" i="24" s="1"/>
  <c r="R146" i="24"/>
  <c r="S146" i="24" s="1"/>
  <c r="R143" i="24"/>
  <c r="S143" i="24" s="1"/>
  <c r="R136" i="24"/>
  <c r="S136" i="24" s="1"/>
  <c r="R135" i="24"/>
  <c r="S135" i="24" s="1"/>
  <c r="R134" i="24"/>
  <c r="S134" i="24" s="1"/>
  <c r="R133" i="24"/>
  <c r="S133" i="24" s="1"/>
  <c r="R132" i="24"/>
  <c r="S132" i="24" s="1"/>
  <c r="R131" i="24"/>
  <c r="S131" i="24" s="1"/>
  <c r="R130" i="24"/>
  <c r="S130" i="24" s="1"/>
  <c r="R129" i="24"/>
  <c r="S129" i="24" s="1"/>
  <c r="R128" i="24"/>
  <c r="S128" i="24" s="1"/>
  <c r="R127" i="24"/>
  <c r="S127" i="24" s="1"/>
  <c r="R126" i="24"/>
  <c r="S126" i="24" s="1"/>
  <c r="R124" i="24"/>
  <c r="S124" i="24" s="1"/>
  <c r="R123" i="24"/>
  <c r="S123" i="24" s="1"/>
  <c r="R121" i="24"/>
  <c r="S121" i="24" s="1"/>
  <c r="R120" i="24"/>
  <c r="S120" i="24" s="1"/>
  <c r="R119" i="24"/>
  <c r="S119" i="24" s="1"/>
  <c r="R118" i="24"/>
  <c r="S118" i="24" s="1"/>
  <c r="R117" i="24"/>
  <c r="S117" i="24" s="1"/>
  <c r="R116" i="24"/>
  <c r="S116" i="24" s="1"/>
  <c r="R115" i="24"/>
  <c r="S115" i="24" s="1"/>
  <c r="R114" i="24"/>
  <c r="S114" i="24" s="1"/>
  <c r="R113" i="24"/>
  <c r="S113" i="24" s="1"/>
  <c r="R112" i="24"/>
  <c r="S112" i="24" s="1"/>
  <c r="R111" i="24"/>
  <c r="R109" i="24"/>
  <c r="S109" i="24" s="1"/>
  <c r="R108" i="24"/>
  <c r="S108" i="24" s="1"/>
  <c r="R107" i="24"/>
  <c r="S107" i="24" s="1"/>
  <c r="R106" i="24"/>
  <c r="S106" i="24" s="1"/>
  <c r="R105" i="24"/>
  <c r="S105" i="24" s="1"/>
  <c r="R104" i="24"/>
  <c r="S104" i="24" s="1"/>
  <c r="R103" i="24"/>
  <c r="S103" i="24" s="1"/>
  <c r="R102" i="24"/>
  <c r="S102" i="24" s="1"/>
  <c r="R101" i="24"/>
  <c r="S101" i="24" s="1"/>
  <c r="R100" i="24"/>
  <c r="S100" i="24" s="1"/>
  <c r="R99" i="24"/>
  <c r="S99" i="24" s="1"/>
  <c r="R98" i="24"/>
  <c r="S98" i="24" s="1"/>
  <c r="R97" i="24"/>
  <c r="S97" i="24" s="1"/>
  <c r="R96" i="24"/>
  <c r="S96" i="24" s="1"/>
  <c r="R95" i="24"/>
  <c r="S95" i="24" s="1"/>
  <c r="R94" i="24"/>
  <c r="S94" i="24" s="1"/>
  <c r="R93" i="24"/>
  <c r="S93" i="24" s="1"/>
  <c r="R92" i="24"/>
  <c r="S92" i="24" s="1"/>
  <c r="R91" i="24"/>
  <c r="S91" i="24" s="1"/>
  <c r="R90" i="24"/>
  <c r="S90" i="24" s="1"/>
  <c r="R89" i="24"/>
  <c r="S89" i="24" s="1"/>
  <c r="R87" i="24"/>
  <c r="S87" i="24" s="1"/>
  <c r="R86" i="24"/>
  <c r="S86" i="24" s="1"/>
  <c r="R85" i="24"/>
  <c r="S85" i="24" s="1"/>
  <c r="R84" i="24"/>
  <c r="S84" i="24" s="1"/>
  <c r="R83" i="24"/>
  <c r="S83" i="24" s="1"/>
  <c r="R82" i="24"/>
  <c r="R81" i="24"/>
  <c r="S81" i="24" s="1"/>
  <c r="R80" i="24"/>
  <c r="S80" i="24" s="1"/>
  <c r="R79" i="24"/>
  <c r="S79" i="24" s="1"/>
  <c r="R78" i="24"/>
  <c r="S78" i="24" s="1"/>
  <c r="R77" i="24"/>
  <c r="R76" i="24"/>
  <c r="S76" i="24" s="1"/>
  <c r="R75" i="24"/>
  <c r="S75" i="24" s="1"/>
  <c r="R74" i="24"/>
  <c r="S74" i="24" s="1"/>
  <c r="R73" i="24"/>
  <c r="S73" i="24" s="1"/>
  <c r="R72" i="24"/>
  <c r="S72" i="24" s="1"/>
  <c r="R71" i="24"/>
  <c r="S71" i="24" s="1"/>
  <c r="R70" i="24"/>
  <c r="S70" i="24" s="1"/>
  <c r="R69" i="24"/>
  <c r="S69" i="24" s="1"/>
  <c r="R68" i="24"/>
  <c r="S68" i="24" s="1"/>
  <c r="R66" i="24"/>
  <c r="S66" i="24" s="1"/>
  <c r="R65" i="24"/>
  <c r="S65" i="24" s="1"/>
  <c r="R64" i="24"/>
  <c r="S64" i="24" s="1"/>
  <c r="R63" i="24"/>
  <c r="S63" i="24" s="1"/>
  <c r="R62" i="24"/>
  <c r="S62" i="24" s="1"/>
  <c r="R61" i="24"/>
  <c r="S61" i="24" s="1"/>
  <c r="R60" i="24"/>
  <c r="S60" i="24" s="1"/>
  <c r="R59" i="24"/>
  <c r="S59" i="24" s="1"/>
  <c r="R58" i="24"/>
  <c r="S58" i="24" s="1"/>
  <c r="R57" i="24"/>
  <c r="S57" i="24" s="1"/>
  <c r="R56" i="24"/>
  <c r="S56" i="24" s="1"/>
  <c r="R55" i="24"/>
  <c r="S55" i="24" s="1"/>
  <c r="R54" i="24"/>
  <c r="S54" i="24" s="1"/>
  <c r="R53" i="24"/>
  <c r="S53" i="24" s="1"/>
  <c r="R52" i="24"/>
  <c r="S52" i="24" s="1"/>
  <c r="R51" i="24"/>
  <c r="S51" i="24" s="1"/>
  <c r="R50" i="24"/>
  <c r="S50" i="24" s="1"/>
  <c r="R49" i="24"/>
  <c r="S49" i="24" s="1"/>
  <c r="R48" i="24"/>
  <c r="S48" i="24" s="1"/>
  <c r="R47" i="24"/>
  <c r="S47" i="24" s="1"/>
  <c r="R46" i="24"/>
  <c r="S46" i="24" s="1"/>
  <c r="R45" i="24"/>
  <c r="S45" i="24" s="1"/>
  <c r="R44" i="24"/>
  <c r="S44" i="24" s="1"/>
  <c r="R43" i="24"/>
  <c r="S43" i="24" s="1"/>
  <c r="R42" i="24"/>
  <c r="S42" i="24" s="1"/>
  <c r="R41" i="24"/>
  <c r="S41" i="24" s="1"/>
  <c r="R40" i="24"/>
  <c r="S40" i="24" s="1"/>
  <c r="R39" i="24"/>
  <c r="S39" i="24" s="1"/>
  <c r="R38" i="24"/>
  <c r="S38" i="24" s="1"/>
  <c r="R37" i="24"/>
  <c r="S37" i="24" s="1"/>
  <c r="R36" i="24"/>
  <c r="S36" i="24" s="1"/>
  <c r="R35" i="24"/>
  <c r="S35" i="24" s="1"/>
  <c r="R34" i="24"/>
  <c r="S34" i="24" s="1"/>
  <c r="R33" i="24"/>
  <c r="S33" i="24" s="1"/>
  <c r="R32" i="24"/>
  <c r="S32" i="24" s="1"/>
  <c r="R31" i="24"/>
  <c r="S31" i="24" s="1"/>
  <c r="R30" i="24"/>
  <c r="T30" i="24" s="1"/>
  <c r="R29" i="24"/>
  <c r="S29" i="24" s="1"/>
  <c r="R28" i="24"/>
  <c r="S28" i="24" s="1"/>
  <c r="R26" i="24"/>
  <c r="S26" i="24" s="1"/>
  <c r="R25" i="24"/>
  <c r="S25" i="24" s="1"/>
  <c r="R24" i="24"/>
  <c r="S24" i="24" s="1"/>
  <c r="R23" i="24"/>
  <c r="S23" i="24" s="1"/>
  <c r="R22" i="24"/>
  <c r="S22" i="24" s="1"/>
  <c r="R21" i="24"/>
  <c r="R20" i="24"/>
  <c r="S20" i="24" s="1"/>
  <c r="R19" i="24"/>
  <c r="S19" i="24" s="1"/>
  <c r="R16" i="24"/>
  <c r="S16" i="24" s="1"/>
  <c r="R14" i="24"/>
  <c r="S14" i="24" s="1"/>
  <c r="R13" i="24"/>
  <c r="S13" i="24" s="1"/>
  <c r="R12" i="24"/>
  <c r="S12" i="24" s="1"/>
  <c r="R11" i="24"/>
  <c r="S11" i="24" s="1"/>
  <c r="R10" i="24"/>
  <c r="S10" i="24" s="1"/>
  <c r="R9" i="24"/>
  <c r="S9" i="24" s="1"/>
  <c r="R8" i="24"/>
  <c r="S8" i="24" s="1"/>
  <c r="R7" i="24"/>
  <c r="S7" i="24" s="1"/>
  <c r="R6" i="24"/>
  <c r="S6" i="24" s="1"/>
  <c r="AB2" i="24"/>
  <c r="S141" i="24" l="1"/>
  <c r="S153" i="24"/>
  <c r="S30" i="24"/>
  <c r="S142" i="24"/>
  <c r="S154" i="24"/>
  <c r="S111" i="24"/>
  <c r="S144" i="24"/>
  <c r="S160" i="24"/>
  <c r="S77" i="24"/>
  <c r="S145" i="24"/>
  <c r="S82" i="24"/>
  <c r="S137" i="24"/>
  <c r="S147" i="24"/>
  <c r="S178" i="24"/>
  <c r="S21" i="24"/>
  <c r="S138" i="24"/>
  <c r="S149" i="24"/>
  <c r="S139" i="24"/>
  <c r="S140" i="24"/>
  <c r="S152" i="24"/>
  <c r="P9" i="8"/>
  <c r="P8" i="8"/>
  <c r="N25" i="8"/>
  <c r="N23" i="8"/>
  <c r="N19" i="8"/>
  <c r="G28" i="8"/>
  <c r="G27" i="8"/>
  <c r="G26" i="8"/>
  <c r="G25" i="8"/>
  <c r="G24" i="8"/>
  <c r="G23" i="8"/>
  <c r="G22" i="8"/>
  <c r="G21" i="8"/>
  <c r="G20" i="8"/>
  <c r="G19" i="8"/>
  <c r="G18" i="8"/>
  <c r="G17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O10" i="8"/>
  <c r="M9" i="8"/>
  <c r="N9" i="8" s="1"/>
  <c r="M8" i="8"/>
  <c r="N8" i="8" s="1"/>
  <c r="G9" i="8"/>
  <c r="G8" i="8"/>
  <c r="D9" i="8"/>
  <c r="C9" i="8"/>
  <c r="D8" i="8"/>
  <c r="C8" i="8"/>
  <c r="V117" i="24"/>
  <c r="X117" i="24" s="1"/>
  <c r="M3" i="9"/>
  <c r="N88" i="24" s="1"/>
  <c r="M4" i="9"/>
  <c r="N34" i="24" s="1"/>
  <c r="M5" i="9"/>
  <c r="N44" i="24" s="1"/>
  <c r="M6" i="9"/>
  <c r="N24" i="24" s="1"/>
  <c r="M7" i="9"/>
  <c r="N31" i="24" s="1"/>
  <c r="M8" i="9"/>
  <c r="N59" i="24" s="1"/>
  <c r="M9" i="9"/>
  <c r="N6" i="24" s="1"/>
  <c r="M10" i="9"/>
  <c r="N92" i="24" s="1"/>
  <c r="M11" i="9"/>
  <c r="N30" i="24" s="1"/>
  <c r="M12" i="9"/>
  <c r="N29" i="24" s="1"/>
  <c r="M13" i="9"/>
  <c r="N166" i="24" s="1"/>
  <c r="M14" i="9"/>
  <c r="N67" i="24" s="1"/>
  <c r="M15" i="9"/>
  <c r="N37" i="24" s="1"/>
  <c r="M16" i="9"/>
  <c r="N122" i="24" s="1"/>
  <c r="M17" i="9"/>
  <c r="N70" i="24" s="1"/>
  <c r="M18" i="9"/>
  <c r="N62" i="24" s="1"/>
  <c r="M19" i="9"/>
  <c r="N131" i="24" s="1"/>
  <c r="M20" i="9"/>
  <c r="N101" i="24" s="1"/>
  <c r="M21" i="9"/>
  <c r="N42" i="24" s="1"/>
  <c r="M22" i="9"/>
  <c r="N58" i="24" s="1"/>
  <c r="P58" i="24" s="1"/>
  <c r="M23" i="9"/>
  <c r="N28" i="24" s="1"/>
  <c r="M24" i="9"/>
  <c r="N43" i="24" s="1"/>
  <c r="M25" i="9"/>
  <c r="N81" i="24" s="1"/>
  <c r="M26" i="9"/>
  <c r="N137" i="24" s="1"/>
  <c r="M27" i="9"/>
  <c r="N120" i="24" s="1"/>
  <c r="M28" i="9"/>
  <c r="N123" i="24" s="1"/>
  <c r="M29" i="9"/>
  <c r="N154" i="24" s="1"/>
  <c r="M30" i="9"/>
  <c r="N125" i="24" s="1"/>
  <c r="M31" i="9"/>
  <c r="N77" i="24" s="1"/>
  <c r="M32" i="9"/>
  <c r="N187" i="24" s="1"/>
  <c r="M33" i="9"/>
  <c r="N136" i="24" s="1"/>
  <c r="M34" i="9"/>
  <c r="N64" i="24" s="1"/>
  <c r="M35" i="9"/>
  <c r="N50" i="24" s="1"/>
  <c r="M36" i="9"/>
  <c r="N126" i="24" s="1"/>
  <c r="M37" i="9"/>
  <c r="N146" i="24" s="1"/>
  <c r="M38" i="9"/>
  <c r="N165" i="24" s="1"/>
  <c r="M39" i="9"/>
  <c r="N52" i="24" s="1"/>
  <c r="M40" i="9"/>
  <c r="N132" i="24" s="1"/>
  <c r="M41" i="9"/>
  <c r="N163" i="24" s="1"/>
  <c r="M42" i="9"/>
  <c r="N128" i="24" s="1"/>
  <c r="M43" i="9"/>
  <c r="N188" i="24" s="1"/>
  <c r="M44" i="9"/>
  <c r="N57" i="24" s="1"/>
  <c r="M45" i="9"/>
  <c r="N69" i="24" s="1"/>
  <c r="M46" i="9"/>
  <c r="N124" i="24" s="1"/>
  <c r="M47" i="9"/>
  <c r="N16" i="24" s="1"/>
  <c r="P16" i="24" s="1"/>
  <c r="M48" i="9"/>
  <c r="N55" i="24" s="1"/>
  <c r="M49" i="9"/>
  <c r="N45" i="24" s="1"/>
  <c r="M50" i="9"/>
  <c r="N147" i="24" s="1"/>
  <c r="M51" i="9"/>
  <c r="N10" i="24" s="1"/>
  <c r="M52" i="9"/>
  <c r="N171" i="24" s="1"/>
  <c r="M53" i="9"/>
  <c r="N76" i="24" s="1"/>
  <c r="M54" i="9"/>
  <c r="N22" i="24" s="1"/>
  <c r="M55" i="9"/>
  <c r="N12" i="24" s="1"/>
  <c r="M56" i="9"/>
  <c r="N119" i="24" s="1"/>
  <c r="M57" i="9"/>
  <c r="N144" i="24" s="1"/>
  <c r="M58" i="9"/>
  <c r="N21" i="24" s="1"/>
  <c r="M59" i="9"/>
  <c r="N93" i="24" s="1"/>
  <c r="M60" i="9"/>
  <c r="N127" i="24" s="1"/>
  <c r="M61" i="9"/>
  <c r="N25" i="24" s="1"/>
  <c r="M62" i="9"/>
  <c r="N121" i="24" s="1"/>
  <c r="M63" i="9"/>
  <c r="N65" i="24" s="1"/>
  <c r="P65" i="24" s="1"/>
  <c r="M64" i="9"/>
  <c r="N71" i="24" s="1"/>
  <c r="M65" i="9"/>
  <c r="N138" i="24" s="1"/>
  <c r="M66" i="9"/>
  <c r="N17" i="24" s="1"/>
  <c r="M67" i="9"/>
  <c r="N157" i="24" s="1"/>
  <c r="M68" i="9"/>
  <c r="N140" i="24" s="1"/>
  <c r="M69" i="9"/>
  <c r="N133" i="24" s="1"/>
  <c r="M70" i="9"/>
  <c r="N36" i="24" s="1"/>
  <c r="M71" i="9"/>
  <c r="N155" i="24" s="1"/>
  <c r="M72" i="9"/>
  <c r="N61" i="24" s="1"/>
  <c r="M73" i="9"/>
  <c r="N51" i="24" s="1"/>
  <c r="M74" i="9"/>
  <c r="N7" i="24" s="1"/>
  <c r="M75" i="9"/>
  <c r="N183" i="24" s="1"/>
  <c r="M76" i="9"/>
  <c r="N38" i="24" s="1"/>
  <c r="M77" i="9"/>
  <c r="N108" i="24" s="1"/>
  <c r="M78" i="9"/>
  <c r="N172" i="24" s="1"/>
  <c r="M79" i="9"/>
  <c r="N53" i="24" s="1"/>
  <c r="M80" i="9"/>
  <c r="N168" i="24" s="1"/>
  <c r="M81" i="9"/>
  <c r="N18" i="24" s="1"/>
  <c r="M82" i="9"/>
  <c r="N139" i="24" s="1"/>
  <c r="M83" i="9"/>
  <c r="N98" i="24" s="1"/>
  <c r="M84" i="9"/>
  <c r="N49" i="24" s="1"/>
  <c r="M85" i="9"/>
  <c r="N23" i="24" s="1"/>
  <c r="M86" i="9"/>
  <c r="N68" i="24" s="1"/>
  <c r="M87" i="9"/>
  <c r="N105" i="24" s="1"/>
  <c r="M88" i="9"/>
  <c r="N48" i="24" s="1"/>
  <c r="M89" i="9"/>
  <c r="N129" i="24" s="1"/>
  <c r="M90" i="9"/>
  <c r="N79" i="24" s="1"/>
  <c r="M91" i="9"/>
  <c r="N35" i="24" s="1"/>
  <c r="M92" i="9"/>
  <c r="N167" i="24" s="1"/>
  <c r="M93" i="9"/>
  <c r="N152" i="24" s="1"/>
  <c r="M94" i="9"/>
  <c r="N33" i="24" s="1"/>
  <c r="M95" i="9"/>
  <c r="N103" i="24" s="1"/>
  <c r="M96" i="9"/>
  <c r="N170" i="24" s="1"/>
  <c r="M97" i="9"/>
  <c r="N75" i="24" s="1"/>
  <c r="M98" i="9"/>
  <c r="N104" i="24" s="1"/>
  <c r="M99" i="9"/>
  <c r="N176" i="24" s="1"/>
  <c r="M100" i="9"/>
  <c r="N178" i="24" s="1"/>
  <c r="M101" i="9"/>
  <c r="N159" i="24" s="1"/>
  <c r="M102" i="9"/>
  <c r="N87" i="24" s="1"/>
  <c r="M103" i="9"/>
  <c r="N145" i="24" s="1"/>
  <c r="M104" i="9"/>
  <c r="N96" i="24" s="1"/>
  <c r="M105" i="9"/>
  <c r="N73" i="24" s="1"/>
  <c r="P73" i="24" s="1"/>
  <c r="M106" i="9"/>
  <c r="N110" i="24" s="1"/>
  <c r="M107" i="9"/>
  <c r="N74" i="24" s="1"/>
  <c r="M108" i="9"/>
  <c r="N41" i="24" s="1"/>
  <c r="M109" i="9"/>
  <c r="N143" i="24" s="1"/>
  <c r="M110" i="9"/>
  <c r="N114" i="24" s="1"/>
  <c r="P114" i="24" s="1"/>
  <c r="M111" i="9"/>
  <c r="N162" i="24" s="1"/>
  <c r="M112" i="9"/>
  <c r="N142" i="24" s="1"/>
  <c r="M113" i="9"/>
  <c r="N56" i="24" s="1"/>
  <c r="M114" i="9"/>
  <c r="N106" i="24" s="1"/>
  <c r="M115" i="9"/>
  <c r="N134" i="24" s="1"/>
  <c r="M116" i="9"/>
  <c r="N89" i="24" s="1"/>
  <c r="M117" i="9"/>
  <c r="N135" i="24" s="1"/>
  <c r="M118" i="9"/>
  <c r="N102" i="24" s="1"/>
  <c r="M119" i="9"/>
  <c r="N13" i="24" s="1"/>
  <c r="M120" i="9"/>
  <c r="N158" i="24" s="1"/>
  <c r="M121" i="9"/>
  <c r="N191" i="24" s="1"/>
  <c r="M122" i="9"/>
  <c r="N26" i="24" s="1"/>
  <c r="M123" i="9"/>
  <c r="N27" i="24" s="1"/>
  <c r="M124" i="9"/>
  <c r="N66" i="24" s="1"/>
  <c r="M125" i="9"/>
  <c r="N173" i="24" s="1"/>
  <c r="M126" i="9"/>
  <c r="N181" i="24" s="1"/>
  <c r="M127" i="9"/>
  <c r="N175" i="24" s="1"/>
  <c r="M128" i="9"/>
  <c r="N86" i="24" s="1"/>
  <c r="M129" i="9"/>
  <c r="N20" i="24" s="1"/>
  <c r="M130" i="9"/>
  <c r="N72" i="24" s="1"/>
  <c r="M131" i="9"/>
  <c r="N63" i="24" s="1"/>
  <c r="M132" i="9"/>
  <c r="N153" i="24" s="1"/>
  <c r="M133" i="9"/>
  <c r="N60" i="24" s="1"/>
  <c r="M134" i="9"/>
  <c r="N95" i="24" s="1"/>
  <c r="M135" i="9"/>
  <c r="N54" i="24" s="1"/>
  <c r="M136" i="9"/>
  <c r="N118" i="24" s="1"/>
  <c r="M137" i="9"/>
  <c r="M138" i="9"/>
  <c r="N46" i="24" s="1"/>
  <c r="M139" i="9"/>
  <c r="M140" i="9"/>
  <c r="N169" i="24" s="1"/>
  <c r="M141" i="9"/>
  <c r="N39" i="24" s="1"/>
  <c r="M142" i="9"/>
  <c r="N99" i="24" s="1"/>
  <c r="M143" i="9"/>
  <c r="N78" i="24" s="1"/>
  <c r="M144" i="9"/>
  <c r="N97" i="24" s="1"/>
  <c r="M145" i="9"/>
  <c r="N83" i="24" s="1"/>
  <c r="M146" i="9"/>
  <c r="N11" i="24" s="1"/>
  <c r="M147" i="9"/>
  <c r="N109" i="24" s="1"/>
  <c r="P109" i="24" s="1"/>
  <c r="M148" i="9"/>
  <c r="M149" i="9"/>
  <c r="N184" i="24" s="1"/>
  <c r="M150" i="9"/>
  <c r="N115" i="24" s="1"/>
  <c r="M151" i="9"/>
  <c r="N40" i="24" s="1"/>
  <c r="M152" i="9"/>
  <c r="N149" i="24" s="1"/>
  <c r="M153" i="9"/>
  <c r="N177" i="24" s="1"/>
  <c r="M154" i="9"/>
  <c r="N100" i="24" s="1"/>
  <c r="M155" i="9"/>
  <c r="N15" i="24" s="1"/>
  <c r="M156" i="9"/>
  <c r="N185" i="24" s="1"/>
  <c r="M157" i="9"/>
  <c r="N141" i="24" s="1"/>
  <c r="M158" i="9"/>
  <c r="N174" i="24" s="1"/>
  <c r="M159" i="9"/>
  <c r="N85" i="24" s="1"/>
  <c r="M160" i="9"/>
  <c r="N193" i="24" s="1"/>
  <c r="M161" i="9"/>
  <c r="N161" i="24" s="1"/>
  <c r="P161" i="24" s="1"/>
  <c r="M162" i="9"/>
  <c r="N112" i="24" s="1"/>
  <c r="M163" i="9"/>
  <c r="N148" i="24" s="1"/>
  <c r="M164" i="9"/>
  <c r="N94" i="24" s="1"/>
  <c r="M165" i="9"/>
  <c r="N9" i="24" s="1"/>
  <c r="M166" i="9"/>
  <c r="N130" i="24" s="1"/>
  <c r="M167" i="9"/>
  <c r="N192" i="24" s="1"/>
  <c r="M168" i="9"/>
  <c r="N116" i="24" s="1"/>
  <c r="P116" i="24" s="1"/>
  <c r="M169" i="9"/>
  <c r="N82" i="24" s="1"/>
  <c r="M170" i="9"/>
  <c r="N80" i="24" s="1"/>
  <c r="M171" i="9"/>
  <c r="N160" i="24" s="1"/>
  <c r="P160" i="24" s="1"/>
  <c r="M172" i="9"/>
  <c r="N19" i="24" s="1"/>
  <c r="M173" i="9"/>
  <c r="N164" i="24" s="1"/>
  <c r="M174" i="9"/>
  <c r="N90" i="24" s="1"/>
  <c r="M175" i="9"/>
  <c r="N189" i="24" s="1"/>
  <c r="M176" i="9"/>
  <c r="N150" i="24" s="1"/>
  <c r="M177" i="9"/>
  <c r="N190" i="24" s="1"/>
  <c r="M178" i="9"/>
  <c r="N14" i="24" s="1"/>
  <c r="M179" i="9"/>
  <c r="N91" i="24" s="1"/>
  <c r="M180" i="9"/>
  <c r="N151" i="24" s="1"/>
  <c r="M181" i="9"/>
  <c r="N113" i="24" s="1"/>
  <c r="M182" i="9"/>
  <c r="N84" i="24" s="1"/>
  <c r="M183" i="9"/>
  <c r="N182" i="24" s="1"/>
  <c r="M184" i="9"/>
  <c r="N179" i="24" s="1"/>
  <c r="M185" i="9"/>
  <c r="N186" i="24" s="1"/>
  <c r="M186" i="9"/>
  <c r="N8" i="24" s="1"/>
  <c r="M187" i="9"/>
  <c r="N180" i="24" s="1"/>
  <c r="M188" i="9"/>
  <c r="N156" i="24" s="1"/>
  <c r="M189" i="9"/>
  <c r="N107" i="24" s="1"/>
  <c r="C189" i="9"/>
  <c r="H107" i="24" s="1"/>
  <c r="C188" i="9"/>
  <c r="H156" i="24" s="1"/>
  <c r="C187" i="9"/>
  <c r="H180" i="24" s="1"/>
  <c r="C186" i="9"/>
  <c r="H8" i="24" s="1"/>
  <c r="C185" i="9"/>
  <c r="H186" i="24" s="1"/>
  <c r="C184" i="9"/>
  <c r="H179" i="24" s="1"/>
  <c r="C183" i="9"/>
  <c r="H182" i="24" s="1"/>
  <c r="C182" i="9"/>
  <c r="H84" i="24" s="1"/>
  <c r="C181" i="9"/>
  <c r="H113" i="24" s="1"/>
  <c r="C180" i="9"/>
  <c r="H151" i="24" s="1"/>
  <c r="C179" i="9"/>
  <c r="H91" i="24" s="1"/>
  <c r="C178" i="9"/>
  <c r="H14" i="24" s="1"/>
  <c r="C177" i="9"/>
  <c r="H190" i="24" s="1"/>
  <c r="C176" i="9"/>
  <c r="H150" i="24" s="1"/>
  <c r="C175" i="9"/>
  <c r="H189" i="24" s="1"/>
  <c r="C174" i="9"/>
  <c r="H90" i="24" s="1"/>
  <c r="C173" i="9"/>
  <c r="H164" i="24" s="1"/>
  <c r="C172" i="9"/>
  <c r="H19" i="24" s="1"/>
  <c r="C171" i="9"/>
  <c r="H160" i="24" s="1"/>
  <c r="C170" i="9"/>
  <c r="H80" i="24" s="1"/>
  <c r="C169" i="9"/>
  <c r="H82" i="24" s="1"/>
  <c r="C168" i="9"/>
  <c r="H116" i="24" s="1"/>
  <c r="C167" i="9"/>
  <c r="H192" i="24" s="1"/>
  <c r="C166" i="9"/>
  <c r="H130" i="24" s="1"/>
  <c r="C165" i="9"/>
  <c r="H9" i="24" s="1"/>
  <c r="C164" i="9"/>
  <c r="H94" i="24" s="1"/>
  <c r="C163" i="9"/>
  <c r="H148" i="24" s="1"/>
  <c r="C162" i="9"/>
  <c r="H112" i="24" s="1"/>
  <c r="C161" i="9"/>
  <c r="H161" i="24" s="1"/>
  <c r="C160" i="9"/>
  <c r="H193" i="24" s="1"/>
  <c r="C159" i="9"/>
  <c r="H85" i="24" s="1"/>
  <c r="C158" i="9"/>
  <c r="H174" i="24" s="1"/>
  <c r="C157" i="9"/>
  <c r="H141" i="24" s="1"/>
  <c r="C156" i="9"/>
  <c r="H185" i="24" s="1"/>
  <c r="C155" i="9"/>
  <c r="H15" i="24" s="1"/>
  <c r="C154" i="9"/>
  <c r="H100" i="24" s="1"/>
  <c r="C153" i="9"/>
  <c r="H177" i="24" s="1"/>
  <c r="C152" i="9"/>
  <c r="H149" i="24" s="1"/>
  <c r="C151" i="9"/>
  <c r="H40" i="24" s="1"/>
  <c r="C150" i="9"/>
  <c r="H115" i="24" s="1"/>
  <c r="C149" i="9"/>
  <c r="H184" i="24" s="1"/>
  <c r="C148" i="9"/>
  <c r="H47" i="24" s="1"/>
  <c r="C147" i="9"/>
  <c r="H109" i="24" s="1"/>
  <c r="C146" i="9"/>
  <c r="H11" i="24" s="1"/>
  <c r="C145" i="9"/>
  <c r="H83" i="24" s="1"/>
  <c r="C144" i="9"/>
  <c r="H97" i="24" s="1"/>
  <c r="C143" i="9"/>
  <c r="H78" i="24" s="1"/>
  <c r="C142" i="9"/>
  <c r="H99" i="24" s="1"/>
  <c r="C141" i="9"/>
  <c r="H39" i="24" s="1"/>
  <c r="C140" i="9"/>
  <c r="H169" i="24" s="1"/>
  <c r="C139" i="9"/>
  <c r="H111" i="24" s="1"/>
  <c r="C138" i="9"/>
  <c r="H46" i="24" s="1"/>
  <c r="C137" i="9"/>
  <c r="H117" i="24" s="1"/>
  <c r="C136" i="9"/>
  <c r="H118" i="24" s="1"/>
  <c r="C135" i="9"/>
  <c r="H54" i="24" s="1"/>
  <c r="C134" i="9"/>
  <c r="H95" i="24" s="1"/>
  <c r="C133" i="9"/>
  <c r="H60" i="24" s="1"/>
  <c r="C132" i="9"/>
  <c r="H153" i="24" s="1"/>
  <c r="C131" i="9"/>
  <c r="H63" i="24" s="1"/>
  <c r="C130" i="9"/>
  <c r="H72" i="24" s="1"/>
  <c r="C129" i="9"/>
  <c r="H20" i="24" s="1"/>
  <c r="C128" i="9"/>
  <c r="H86" i="24" s="1"/>
  <c r="C127" i="9"/>
  <c r="H175" i="24" s="1"/>
  <c r="C126" i="9"/>
  <c r="H181" i="24" s="1"/>
  <c r="C125" i="9"/>
  <c r="H173" i="24" s="1"/>
  <c r="C124" i="9"/>
  <c r="H66" i="24" s="1"/>
  <c r="C123" i="9"/>
  <c r="H27" i="24" s="1"/>
  <c r="C122" i="9"/>
  <c r="H26" i="24" s="1"/>
  <c r="C121" i="9"/>
  <c r="H191" i="24" s="1"/>
  <c r="C120" i="9"/>
  <c r="H158" i="24" s="1"/>
  <c r="C119" i="9"/>
  <c r="H13" i="24" s="1"/>
  <c r="C118" i="9"/>
  <c r="H102" i="24" s="1"/>
  <c r="C117" i="9"/>
  <c r="H135" i="24" s="1"/>
  <c r="C116" i="9"/>
  <c r="H89" i="24" s="1"/>
  <c r="C115" i="9"/>
  <c r="H134" i="24" s="1"/>
  <c r="C114" i="9"/>
  <c r="H106" i="24" s="1"/>
  <c r="C113" i="9"/>
  <c r="H56" i="24" s="1"/>
  <c r="C112" i="9"/>
  <c r="H142" i="24" s="1"/>
  <c r="C111" i="9"/>
  <c r="H162" i="24" s="1"/>
  <c r="C110" i="9"/>
  <c r="H114" i="24" s="1"/>
  <c r="C109" i="9"/>
  <c r="H143" i="24" s="1"/>
  <c r="C108" i="9"/>
  <c r="H41" i="24" s="1"/>
  <c r="C107" i="9"/>
  <c r="H74" i="24" s="1"/>
  <c r="C106" i="9"/>
  <c r="H110" i="24" s="1"/>
  <c r="C105" i="9"/>
  <c r="H73" i="24" s="1"/>
  <c r="C104" i="9"/>
  <c r="H96" i="24" s="1"/>
  <c r="C103" i="9"/>
  <c r="H145" i="24" s="1"/>
  <c r="C102" i="9"/>
  <c r="H87" i="24" s="1"/>
  <c r="C101" i="9"/>
  <c r="H159" i="24" s="1"/>
  <c r="C100" i="9"/>
  <c r="H178" i="24" s="1"/>
  <c r="C99" i="9"/>
  <c r="H176" i="24" s="1"/>
  <c r="C98" i="9"/>
  <c r="H104" i="24" s="1"/>
  <c r="C97" i="9"/>
  <c r="H75" i="24" s="1"/>
  <c r="C96" i="9"/>
  <c r="H170" i="24" s="1"/>
  <c r="C95" i="9"/>
  <c r="H103" i="24" s="1"/>
  <c r="C94" i="9"/>
  <c r="H33" i="24" s="1"/>
  <c r="C93" i="9"/>
  <c r="H152" i="24" s="1"/>
  <c r="C92" i="9"/>
  <c r="H167" i="24" s="1"/>
  <c r="C91" i="9"/>
  <c r="H35" i="24" s="1"/>
  <c r="C90" i="9"/>
  <c r="H79" i="24" s="1"/>
  <c r="C89" i="9"/>
  <c r="H129" i="24" s="1"/>
  <c r="C88" i="9"/>
  <c r="H48" i="24" s="1"/>
  <c r="C87" i="9"/>
  <c r="H105" i="24" s="1"/>
  <c r="C86" i="9"/>
  <c r="H68" i="24" s="1"/>
  <c r="C85" i="9"/>
  <c r="H23" i="24" s="1"/>
  <c r="C84" i="9"/>
  <c r="H49" i="24" s="1"/>
  <c r="C83" i="9"/>
  <c r="H98" i="24" s="1"/>
  <c r="C82" i="9"/>
  <c r="H139" i="24" s="1"/>
  <c r="C81" i="9"/>
  <c r="H18" i="24" s="1"/>
  <c r="C80" i="9"/>
  <c r="H168" i="24" s="1"/>
  <c r="C79" i="9"/>
  <c r="H53" i="24" s="1"/>
  <c r="C78" i="9"/>
  <c r="H172" i="24" s="1"/>
  <c r="C77" i="9"/>
  <c r="H108" i="24" s="1"/>
  <c r="C76" i="9"/>
  <c r="H38" i="24" s="1"/>
  <c r="C75" i="9"/>
  <c r="H183" i="24" s="1"/>
  <c r="C74" i="9"/>
  <c r="H7" i="24" s="1"/>
  <c r="C73" i="9"/>
  <c r="H51" i="24" s="1"/>
  <c r="C72" i="9"/>
  <c r="H61" i="24" s="1"/>
  <c r="C71" i="9"/>
  <c r="H155" i="24" s="1"/>
  <c r="C70" i="9"/>
  <c r="H36" i="24" s="1"/>
  <c r="C69" i="9"/>
  <c r="H133" i="24" s="1"/>
  <c r="C68" i="9"/>
  <c r="H140" i="24" s="1"/>
  <c r="C67" i="9"/>
  <c r="H157" i="24" s="1"/>
  <c r="C66" i="9"/>
  <c r="H17" i="24" s="1"/>
  <c r="C65" i="9"/>
  <c r="H138" i="24" s="1"/>
  <c r="C64" i="9"/>
  <c r="H71" i="24" s="1"/>
  <c r="C63" i="9"/>
  <c r="H65" i="24" s="1"/>
  <c r="C62" i="9"/>
  <c r="H121" i="24" s="1"/>
  <c r="C61" i="9"/>
  <c r="H25" i="24" s="1"/>
  <c r="C60" i="9"/>
  <c r="H127" i="24" s="1"/>
  <c r="C59" i="9"/>
  <c r="H93" i="24" s="1"/>
  <c r="C58" i="9"/>
  <c r="H21" i="24" s="1"/>
  <c r="C57" i="9"/>
  <c r="H144" i="24" s="1"/>
  <c r="C56" i="9"/>
  <c r="H119" i="24" s="1"/>
  <c r="C55" i="9"/>
  <c r="H12" i="24" s="1"/>
  <c r="C54" i="9"/>
  <c r="H22" i="24" s="1"/>
  <c r="C53" i="9"/>
  <c r="H76" i="24" s="1"/>
  <c r="C52" i="9"/>
  <c r="H171" i="24" s="1"/>
  <c r="C51" i="9"/>
  <c r="H10" i="24" s="1"/>
  <c r="C50" i="9"/>
  <c r="H147" i="24" s="1"/>
  <c r="C49" i="9"/>
  <c r="H45" i="24" s="1"/>
  <c r="C48" i="9"/>
  <c r="H55" i="24" s="1"/>
  <c r="C47" i="9"/>
  <c r="H16" i="24" s="1"/>
  <c r="C46" i="9"/>
  <c r="H124" i="24" s="1"/>
  <c r="C45" i="9"/>
  <c r="H69" i="24" s="1"/>
  <c r="C44" i="9"/>
  <c r="H57" i="24" s="1"/>
  <c r="C43" i="9"/>
  <c r="H188" i="24" s="1"/>
  <c r="C42" i="9"/>
  <c r="H128" i="24" s="1"/>
  <c r="C41" i="9"/>
  <c r="H163" i="24" s="1"/>
  <c r="C40" i="9"/>
  <c r="H132" i="24" s="1"/>
  <c r="C39" i="9"/>
  <c r="H52" i="24" s="1"/>
  <c r="C38" i="9"/>
  <c r="H165" i="24" s="1"/>
  <c r="C37" i="9"/>
  <c r="H146" i="24" s="1"/>
  <c r="C36" i="9"/>
  <c r="H126" i="24" s="1"/>
  <c r="C35" i="9"/>
  <c r="H50" i="24" s="1"/>
  <c r="C34" i="9"/>
  <c r="H64" i="24" s="1"/>
  <c r="C33" i="9"/>
  <c r="H136" i="24" s="1"/>
  <c r="C32" i="9"/>
  <c r="H187" i="24" s="1"/>
  <c r="C31" i="9"/>
  <c r="H77" i="24" s="1"/>
  <c r="C30" i="9"/>
  <c r="H125" i="24" s="1"/>
  <c r="C29" i="9"/>
  <c r="H154" i="24" s="1"/>
  <c r="C28" i="9"/>
  <c r="H123" i="24" s="1"/>
  <c r="C27" i="9"/>
  <c r="H120" i="24" s="1"/>
  <c r="C26" i="9"/>
  <c r="H137" i="24" s="1"/>
  <c r="C25" i="9"/>
  <c r="H81" i="24" s="1"/>
  <c r="C24" i="9"/>
  <c r="H43" i="24" s="1"/>
  <c r="C23" i="9"/>
  <c r="H28" i="24" s="1"/>
  <c r="C22" i="9"/>
  <c r="H58" i="24" s="1"/>
  <c r="C21" i="9"/>
  <c r="H42" i="24" s="1"/>
  <c r="C20" i="9"/>
  <c r="H101" i="24" s="1"/>
  <c r="C19" i="9"/>
  <c r="H131" i="24" s="1"/>
  <c r="C18" i="9"/>
  <c r="H62" i="24" s="1"/>
  <c r="C17" i="9"/>
  <c r="H70" i="24" s="1"/>
  <c r="C16" i="9"/>
  <c r="H122" i="24" s="1"/>
  <c r="C15" i="9"/>
  <c r="H37" i="24" s="1"/>
  <c r="C14" i="9"/>
  <c r="H67" i="24" s="1"/>
  <c r="C13" i="9"/>
  <c r="H166" i="24" s="1"/>
  <c r="C12" i="9"/>
  <c r="H29" i="24" s="1"/>
  <c r="C11" i="9"/>
  <c r="H30" i="24" s="1"/>
  <c r="C10" i="9"/>
  <c r="H92" i="24" s="1"/>
  <c r="C9" i="9"/>
  <c r="C8" i="9"/>
  <c r="H59" i="24" s="1"/>
  <c r="C7" i="9"/>
  <c r="H31" i="24" s="1"/>
  <c r="C6" i="9"/>
  <c r="H24" i="24" s="1"/>
  <c r="C5" i="9"/>
  <c r="H44" i="24" s="1"/>
  <c r="C4" i="9"/>
  <c r="H34" i="24" s="1"/>
  <c r="C3" i="9"/>
  <c r="H88" i="24" s="1"/>
  <c r="C2" i="9"/>
  <c r="H32" i="24" s="1"/>
  <c r="E18" i="8" l="1"/>
  <c r="E26" i="8"/>
  <c r="I25" i="24"/>
  <c r="I152" i="24"/>
  <c r="I60" i="24"/>
  <c r="O130" i="24"/>
  <c r="O102" i="24"/>
  <c r="O22" i="24"/>
  <c r="O165" i="24"/>
  <c r="O58" i="24"/>
  <c r="O24" i="24"/>
  <c r="I24" i="24"/>
  <c r="I67" i="24"/>
  <c r="I125" i="24"/>
  <c r="I124" i="24"/>
  <c r="I121" i="24"/>
  <c r="I36" i="24"/>
  <c r="I172" i="24"/>
  <c r="I68" i="24"/>
  <c r="I33" i="24"/>
  <c r="I87" i="24"/>
  <c r="I114" i="24"/>
  <c r="I102" i="24"/>
  <c r="I181" i="24"/>
  <c r="I95" i="24"/>
  <c r="I99" i="24"/>
  <c r="I115" i="24"/>
  <c r="I174" i="24"/>
  <c r="I130" i="24"/>
  <c r="I90" i="24"/>
  <c r="I84" i="24"/>
  <c r="O107" i="24"/>
  <c r="O113" i="24"/>
  <c r="O164" i="24"/>
  <c r="O9" i="24"/>
  <c r="O141" i="24"/>
  <c r="O184" i="24"/>
  <c r="O39" i="24"/>
  <c r="O60" i="24"/>
  <c r="O173" i="24"/>
  <c r="O135" i="24"/>
  <c r="O143" i="24"/>
  <c r="O159" i="24"/>
  <c r="O152" i="24"/>
  <c r="O23" i="24"/>
  <c r="O108" i="24"/>
  <c r="O133" i="24"/>
  <c r="O25" i="24"/>
  <c r="O76" i="24"/>
  <c r="O69" i="24"/>
  <c r="O146" i="24"/>
  <c r="O154" i="24"/>
  <c r="O42" i="24"/>
  <c r="O166" i="24"/>
  <c r="O44" i="24"/>
  <c r="I133" i="24"/>
  <c r="I184" i="24"/>
  <c r="I107" i="24"/>
  <c r="O181" i="24"/>
  <c r="O172" i="24"/>
  <c r="O124" i="24"/>
  <c r="O125" i="24"/>
  <c r="O67" i="24"/>
  <c r="I58" i="24"/>
  <c r="I165" i="24"/>
  <c r="I22" i="24"/>
  <c r="I31" i="24"/>
  <c r="I37" i="24"/>
  <c r="I28" i="24"/>
  <c r="I77" i="24"/>
  <c r="I52" i="24"/>
  <c r="I16" i="24"/>
  <c r="I12" i="24"/>
  <c r="I65" i="24"/>
  <c r="I155" i="24"/>
  <c r="I53" i="24"/>
  <c r="I105" i="24"/>
  <c r="I103" i="24"/>
  <c r="I145" i="24"/>
  <c r="I162" i="24"/>
  <c r="I13" i="24"/>
  <c r="I175" i="24"/>
  <c r="I54" i="24"/>
  <c r="I78" i="24"/>
  <c r="I40" i="24"/>
  <c r="I85" i="24"/>
  <c r="I192" i="24"/>
  <c r="I189" i="24"/>
  <c r="I182" i="24"/>
  <c r="O156" i="24"/>
  <c r="O151" i="24"/>
  <c r="O19" i="24"/>
  <c r="O94" i="24"/>
  <c r="O185" i="24"/>
  <c r="O47" i="24"/>
  <c r="O169" i="24"/>
  <c r="O153" i="24"/>
  <c r="O66" i="24"/>
  <c r="O89" i="24"/>
  <c r="O41" i="24"/>
  <c r="O178" i="24"/>
  <c r="O167" i="24"/>
  <c r="O49" i="24"/>
  <c r="O38" i="24"/>
  <c r="O140" i="24"/>
  <c r="O127" i="24"/>
  <c r="O171" i="24"/>
  <c r="O57" i="24"/>
  <c r="O126" i="24"/>
  <c r="O123" i="24"/>
  <c r="O101" i="24"/>
  <c r="O29" i="24"/>
  <c r="O34" i="24"/>
  <c r="I44" i="24"/>
  <c r="I154" i="24"/>
  <c r="I76" i="24"/>
  <c r="I159" i="24"/>
  <c r="I164" i="24"/>
  <c r="O174" i="24"/>
  <c r="O99" i="24"/>
  <c r="O36" i="24"/>
  <c r="I132" i="24"/>
  <c r="I61" i="24"/>
  <c r="I158" i="24"/>
  <c r="O111" i="24"/>
  <c r="O27" i="24"/>
  <c r="O134" i="24"/>
  <c r="O74" i="24"/>
  <c r="O176" i="24"/>
  <c r="O35" i="24"/>
  <c r="O98" i="24"/>
  <c r="O183" i="24"/>
  <c r="O157" i="24"/>
  <c r="O93" i="24"/>
  <c r="O10" i="24"/>
  <c r="O188" i="24"/>
  <c r="O50" i="24"/>
  <c r="O120" i="24"/>
  <c r="O131" i="24"/>
  <c r="O30" i="24"/>
  <c r="O88" i="24"/>
  <c r="I166" i="24"/>
  <c r="I146" i="24"/>
  <c r="I108" i="24"/>
  <c r="I143" i="24"/>
  <c r="I9" i="24"/>
  <c r="O95" i="24"/>
  <c r="O121" i="24"/>
  <c r="I48" i="24"/>
  <c r="I86" i="24"/>
  <c r="I149" i="24"/>
  <c r="I179" i="24"/>
  <c r="O160" i="24"/>
  <c r="O109" i="24"/>
  <c r="O63" i="24"/>
  <c r="I70" i="24"/>
  <c r="I81" i="24"/>
  <c r="I136" i="24"/>
  <c r="I163" i="24"/>
  <c r="I45" i="24"/>
  <c r="I144" i="24"/>
  <c r="I138" i="24"/>
  <c r="I51" i="24"/>
  <c r="I18" i="24"/>
  <c r="I129" i="24"/>
  <c r="I75" i="24"/>
  <c r="I73" i="24"/>
  <c r="I56" i="24"/>
  <c r="I191" i="24"/>
  <c r="I20" i="24"/>
  <c r="I117" i="24"/>
  <c r="I83" i="24"/>
  <c r="I177" i="24"/>
  <c r="I161" i="24"/>
  <c r="I82" i="24"/>
  <c r="I190" i="24"/>
  <c r="I186" i="24"/>
  <c r="O8" i="24"/>
  <c r="O14" i="24"/>
  <c r="O80" i="24"/>
  <c r="O112" i="24"/>
  <c r="O100" i="24"/>
  <c r="O11" i="24"/>
  <c r="O46" i="24"/>
  <c r="O72" i="24"/>
  <c r="O26" i="24"/>
  <c r="O106" i="24"/>
  <c r="O110" i="24"/>
  <c r="O104" i="24"/>
  <c r="O79" i="24"/>
  <c r="O139" i="24"/>
  <c r="O7" i="24"/>
  <c r="O17" i="24"/>
  <c r="O21" i="24"/>
  <c r="O147" i="24"/>
  <c r="O128" i="24"/>
  <c r="O64" i="24"/>
  <c r="O137" i="24"/>
  <c r="O62" i="24"/>
  <c r="O92" i="24"/>
  <c r="I42" i="24"/>
  <c r="I69" i="24"/>
  <c r="I39" i="24"/>
  <c r="O90" i="24"/>
  <c r="O114" i="24"/>
  <c r="O68" i="24"/>
  <c r="I122" i="24"/>
  <c r="I43" i="24"/>
  <c r="I55" i="24"/>
  <c r="I168" i="24"/>
  <c r="I193" i="24"/>
  <c r="O91" i="24"/>
  <c r="O148" i="24"/>
  <c r="I92" i="24"/>
  <c r="I137" i="24"/>
  <c r="I64" i="24"/>
  <c r="I21" i="24"/>
  <c r="I17" i="24"/>
  <c r="I7" i="24"/>
  <c r="I139" i="24"/>
  <c r="I79" i="24"/>
  <c r="I104" i="24"/>
  <c r="I110" i="24"/>
  <c r="I106" i="24"/>
  <c r="I26" i="24"/>
  <c r="I72" i="24"/>
  <c r="I46" i="24"/>
  <c r="I11" i="24"/>
  <c r="I100" i="24"/>
  <c r="I112" i="24"/>
  <c r="I80" i="24"/>
  <c r="I14" i="24"/>
  <c r="I8" i="24"/>
  <c r="O186" i="24"/>
  <c r="O190" i="24"/>
  <c r="O82" i="24"/>
  <c r="O161" i="24"/>
  <c r="O177" i="24"/>
  <c r="O83" i="24"/>
  <c r="O20" i="24"/>
  <c r="O191" i="24"/>
  <c r="O56" i="24"/>
  <c r="O73" i="24"/>
  <c r="O75" i="24"/>
  <c r="O129" i="24"/>
  <c r="O18" i="24"/>
  <c r="O51" i="24"/>
  <c r="O138" i="24"/>
  <c r="O144" i="24"/>
  <c r="O45" i="24"/>
  <c r="O163" i="24"/>
  <c r="O136" i="24"/>
  <c r="O81" i="24"/>
  <c r="O70" i="24"/>
  <c r="O6" i="24"/>
  <c r="I23" i="24"/>
  <c r="I173" i="24"/>
  <c r="I113" i="24"/>
  <c r="O115" i="24"/>
  <c r="O87" i="24"/>
  <c r="I119" i="24"/>
  <c r="I96" i="24"/>
  <c r="I118" i="24"/>
  <c r="I116" i="24"/>
  <c r="O180" i="24"/>
  <c r="O15" i="24"/>
  <c r="I32" i="24"/>
  <c r="I62" i="24"/>
  <c r="I128" i="24"/>
  <c r="I147" i="24"/>
  <c r="I88" i="24"/>
  <c r="I30" i="24"/>
  <c r="I131" i="24"/>
  <c r="I120" i="24"/>
  <c r="I50" i="24"/>
  <c r="I188" i="24"/>
  <c r="I10" i="24"/>
  <c r="I93" i="24"/>
  <c r="I157" i="24"/>
  <c r="I183" i="24"/>
  <c r="I98" i="24"/>
  <c r="I35" i="24"/>
  <c r="I176" i="24"/>
  <c r="I74" i="24"/>
  <c r="I134" i="24"/>
  <c r="I27" i="24"/>
  <c r="I63" i="24"/>
  <c r="I111" i="24"/>
  <c r="I109" i="24"/>
  <c r="I15" i="24"/>
  <c r="I148" i="24"/>
  <c r="I160" i="24"/>
  <c r="I91" i="24"/>
  <c r="I180" i="24"/>
  <c r="O179" i="24"/>
  <c r="O150" i="24"/>
  <c r="O116" i="24"/>
  <c r="O193" i="24"/>
  <c r="O149" i="24"/>
  <c r="O97" i="24"/>
  <c r="O118" i="24"/>
  <c r="O86" i="24"/>
  <c r="O158" i="24"/>
  <c r="O142" i="24"/>
  <c r="O96" i="24"/>
  <c r="O170" i="24"/>
  <c r="O48" i="24"/>
  <c r="O168" i="24"/>
  <c r="O61" i="24"/>
  <c r="O71" i="24"/>
  <c r="O119" i="24"/>
  <c r="O55" i="24"/>
  <c r="O132" i="24"/>
  <c r="O187" i="24"/>
  <c r="O43" i="24"/>
  <c r="O122" i="24"/>
  <c r="O59" i="24"/>
  <c r="I135" i="24"/>
  <c r="I141" i="24"/>
  <c r="O84" i="24"/>
  <c r="O33" i="24"/>
  <c r="I59" i="24"/>
  <c r="I187" i="24"/>
  <c r="I71" i="24"/>
  <c r="I170" i="24"/>
  <c r="I142" i="24"/>
  <c r="I97" i="24"/>
  <c r="I150" i="24"/>
  <c r="I34" i="24"/>
  <c r="I29" i="24"/>
  <c r="I101" i="24"/>
  <c r="I123" i="24"/>
  <c r="I126" i="24"/>
  <c r="I57" i="24"/>
  <c r="I171" i="24"/>
  <c r="I127" i="24"/>
  <c r="I140" i="24"/>
  <c r="I38" i="24"/>
  <c r="I49" i="24"/>
  <c r="I167" i="24"/>
  <c r="I178" i="24"/>
  <c r="I41" i="24"/>
  <c r="I89" i="24"/>
  <c r="I66" i="24"/>
  <c r="I153" i="24"/>
  <c r="I169" i="24"/>
  <c r="I47" i="24"/>
  <c r="I185" i="24"/>
  <c r="I94" i="24"/>
  <c r="I19" i="24"/>
  <c r="I151" i="24"/>
  <c r="I156" i="24"/>
  <c r="O182" i="24"/>
  <c r="O189" i="24"/>
  <c r="O192" i="24"/>
  <c r="O85" i="24"/>
  <c r="O40" i="24"/>
  <c r="O78" i="24"/>
  <c r="O54" i="24"/>
  <c r="O175" i="24"/>
  <c r="O13" i="24"/>
  <c r="O162" i="24"/>
  <c r="O145" i="24"/>
  <c r="O103" i="24"/>
  <c r="O105" i="24"/>
  <c r="O53" i="24"/>
  <c r="O155" i="24"/>
  <c r="O65" i="24"/>
  <c r="O12" i="24"/>
  <c r="O16" i="24"/>
  <c r="O52" i="24"/>
  <c r="O77" i="24"/>
  <c r="O28" i="24"/>
  <c r="O37" i="24"/>
  <c r="O31" i="24"/>
  <c r="E8" i="8"/>
  <c r="E23" i="8"/>
  <c r="E27" i="8"/>
  <c r="E25" i="8"/>
  <c r="E9" i="8"/>
  <c r="E20" i="8"/>
  <c r="E22" i="8"/>
  <c r="E17" i="8"/>
  <c r="E21" i="8"/>
  <c r="E24" i="8"/>
  <c r="E28" i="8"/>
  <c r="E19" i="8"/>
  <c r="F3" i="9" l="1"/>
  <c r="J88" i="24" s="1"/>
  <c r="F4" i="9"/>
  <c r="J34" i="24" s="1"/>
  <c r="F5" i="9"/>
  <c r="J44" i="24" s="1"/>
  <c r="F6" i="9"/>
  <c r="J24" i="24" s="1"/>
  <c r="F7" i="9"/>
  <c r="J31" i="24" s="1"/>
  <c r="F8" i="9"/>
  <c r="J59" i="24" s="1"/>
  <c r="F9" i="9"/>
  <c r="F10" i="9"/>
  <c r="J92" i="24" s="1"/>
  <c r="F11" i="9"/>
  <c r="J30" i="24" s="1"/>
  <c r="F12" i="9"/>
  <c r="J29" i="24" s="1"/>
  <c r="F13" i="9"/>
  <c r="J166" i="24" s="1"/>
  <c r="F14" i="9"/>
  <c r="J67" i="24" s="1"/>
  <c r="F15" i="9"/>
  <c r="J37" i="24" s="1"/>
  <c r="F16" i="9"/>
  <c r="J122" i="24" s="1"/>
  <c r="F17" i="9"/>
  <c r="J70" i="24" s="1"/>
  <c r="F18" i="9"/>
  <c r="J62" i="24" s="1"/>
  <c r="F19" i="9"/>
  <c r="J131" i="24" s="1"/>
  <c r="F20" i="9"/>
  <c r="J101" i="24" s="1"/>
  <c r="F21" i="9"/>
  <c r="J42" i="24" s="1"/>
  <c r="F22" i="9"/>
  <c r="J58" i="24" s="1"/>
  <c r="F23" i="9"/>
  <c r="J28" i="24" s="1"/>
  <c r="F24" i="9"/>
  <c r="J43" i="24" s="1"/>
  <c r="F25" i="9"/>
  <c r="J81" i="24" s="1"/>
  <c r="F26" i="9"/>
  <c r="J137" i="24" s="1"/>
  <c r="F27" i="9"/>
  <c r="J120" i="24" s="1"/>
  <c r="F28" i="9"/>
  <c r="J123" i="24" s="1"/>
  <c r="F29" i="9"/>
  <c r="J154" i="24" s="1"/>
  <c r="F30" i="9"/>
  <c r="J125" i="24" s="1"/>
  <c r="F31" i="9"/>
  <c r="J77" i="24" s="1"/>
  <c r="F32" i="9"/>
  <c r="J187" i="24" s="1"/>
  <c r="F33" i="9"/>
  <c r="J136" i="24" s="1"/>
  <c r="F34" i="9"/>
  <c r="J64" i="24" s="1"/>
  <c r="F35" i="9"/>
  <c r="J50" i="24" s="1"/>
  <c r="F36" i="9"/>
  <c r="J126" i="24" s="1"/>
  <c r="F37" i="9"/>
  <c r="J146" i="24" s="1"/>
  <c r="F38" i="9"/>
  <c r="J165" i="24" s="1"/>
  <c r="F39" i="9"/>
  <c r="J52" i="24" s="1"/>
  <c r="F40" i="9"/>
  <c r="J132" i="24" s="1"/>
  <c r="F41" i="9"/>
  <c r="J163" i="24" s="1"/>
  <c r="F42" i="9"/>
  <c r="J128" i="24" s="1"/>
  <c r="F43" i="9"/>
  <c r="J188" i="24" s="1"/>
  <c r="F44" i="9"/>
  <c r="J57" i="24" s="1"/>
  <c r="F45" i="9"/>
  <c r="J69" i="24" s="1"/>
  <c r="F46" i="9"/>
  <c r="J124" i="24" s="1"/>
  <c r="F47" i="9"/>
  <c r="J16" i="24" s="1"/>
  <c r="F48" i="9"/>
  <c r="J55" i="24" s="1"/>
  <c r="F49" i="9"/>
  <c r="J45" i="24" s="1"/>
  <c r="F50" i="9"/>
  <c r="J147" i="24" s="1"/>
  <c r="F51" i="9"/>
  <c r="J10" i="24" s="1"/>
  <c r="F52" i="9"/>
  <c r="J171" i="24" s="1"/>
  <c r="F53" i="9"/>
  <c r="J76" i="24" s="1"/>
  <c r="F54" i="9"/>
  <c r="J22" i="24" s="1"/>
  <c r="F55" i="9"/>
  <c r="J12" i="24" s="1"/>
  <c r="F56" i="9"/>
  <c r="J119" i="24" s="1"/>
  <c r="F57" i="9"/>
  <c r="J144" i="24" s="1"/>
  <c r="F58" i="9"/>
  <c r="J21" i="24" s="1"/>
  <c r="F59" i="9"/>
  <c r="J93" i="24" s="1"/>
  <c r="F60" i="9"/>
  <c r="J127" i="24" s="1"/>
  <c r="F61" i="9"/>
  <c r="J25" i="24" s="1"/>
  <c r="F62" i="9"/>
  <c r="J121" i="24" s="1"/>
  <c r="F63" i="9"/>
  <c r="J65" i="24" s="1"/>
  <c r="F64" i="9"/>
  <c r="J71" i="24" s="1"/>
  <c r="F65" i="9"/>
  <c r="J138" i="24" s="1"/>
  <c r="F66" i="9"/>
  <c r="J17" i="24" s="1"/>
  <c r="F67" i="9"/>
  <c r="J157" i="24" s="1"/>
  <c r="F68" i="9"/>
  <c r="J140" i="24" s="1"/>
  <c r="F69" i="9"/>
  <c r="J133" i="24" s="1"/>
  <c r="F70" i="9"/>
  <c r="J36" i="24" s="1"/>
  <c r="F71" i="9"/>
  <c r="J155" i="24" s="1"/>
  <c r="F72" i="9"/>
  <c r="J61" i="24" s="1"/>
  <c r="F73" i="9"/>
  <c r="J51" i="24" s="1"/>
  <c r="F74" i="9"/>
  <c r="J7" i="24" s="1"/>
  <c r="F75" i="9"/>
  <c r="J183" i="24" s="1"/>
  <c r="F76" i="9"/>
  <c r="J38" i="24" s="1"/>
  <c r="F77" i="9"/>
  <c r="J108" i="24" s="1"/>
  <c r="F78" i="9"/>
  <c r="J172" i="24" s="1"/>
  <c r="F79" i="9"/>
  <c r="J53" i="24" s="1"/>
  <c r="F80" i="9"/>
  <c r="J168" i="24" s="1"/>
  <c r="F81" i="9"/>
  <c r="J18" i="24" s="1"/>
  <c r="F82" i="9"/>
  <c r="J139" i="24" s="1"/>
  <c r="F83" i="9"/>
  <c r="J98" i="24" s="1"/>
  <c r="F84" i="9"/>
  <c r="J49" i="24" s="1"/>
  <c r="F85" i="9"/>
  <c r="J23" i="24" s="1"/>
  <c r="F86" i="9"/>
  <c r="J68" i="24" s="1"/>
  <c r="F87" i="9"/>
  <c r="J105" i="24" s="1"/>
  <c r="F88" i="9"/>
  <c r="J48" i="24" s="1"/>
  <c r="F89" i="9"/>
  <c r="J129" i="24" s="1"/>
  <c r="F90" i="9"/>
  <c r="J79" i="24" s="1"/>
  <c r="F91" i="9"/>
  <c r="J35" i="24" s="1"/>
  <c r="F92" i="9"/>
  <c r="J167" i="24" s="1"/>
  <c r="F93" i="9"/>
  <c r="J152" i="24" s="1"/>
  <c r="F94" i="9"/>
  <c r="J33" i="24" s="1"/>
  <c r="F95" i="9"/>
  <c r="J103" i="24" s="1"/>
  <c r="F96" i="9"/>
  <c r="J170" i="24" s="1"/>
  <c r="F97" i="9"/>
  <c r="J75" i="24" s="1"/>
  <c r="F98" i="9"/>
  <c r="J104" i="24" s="1"/>
  <c r="F99" i="9"/>
  <c r="J176" i="24" s="1"/>
  <c r="F100" i="9"/>
  <c r="J178" i="24" s="1"/>
  <c r="F101" i="9"/>
  <c r="J159" i="24" s="1"/>
  <c r="F102" i="9"/>
  <c r="J87" i="24" s="1"/>
  <c r="F103" i="9"/>
  <c r="J145" i="24" s="1"/>
  <c r="F104" i="9"/>
  <c r="J96" i="24" s="1"/>
  <c r="F105" i="9"/>
  <c r="J73" i="24" s="1"/>
  <c r="F106" i="9"/>
  <c r="J110" i="24" s="1"/>
  <c r="F107" i="9"/>
  <c r="J74" i="24" s="1"/>
  <c r="F108" i="9"/>
  <c r="J41" i="24" s="1"/>
  <c r="F109" i="9"/>
  <c r="J143" i="24" s="1"/>
  <c r="F110" i="9"/>
  <c r="J114" i="24" s="1"/>
  <c r="F111" i="9"/>
  <c r="J162" i="24" s="1"/>
  <c r="F112" i="9"/>
  <c r="J142" i="24" s="1"/>
  <c r="F113" i="9"/>
  <c r="J56" i="24" s="1"/>
  <c r="F114" i="9"/>
  <c r="J106" i="24" s="1"/>
  <c r="F115" i="9"/>
  <c r="J134" i="24" s="1"/>
  <c r="F116" i="9"/>
  <c r="J89" i="24" s="1"/>
  <c r="F117" i="9"/>
  <c r="J135" i="24" s="1"/>
  <c r="F118" i="9"/>
  <c r="J102" i="24" s="1"/>
  <c r="F119" i="9"/>
  <c r="J13" i="24" s="1"/>
  <c r="F120" i="9"/>
  <c r="J158" i="24" s="1"/>
  <c r="F121" i="9"/>
  <c r="J191" i="24" s="1"/>
  <c r="F122" i="9"/>
  <c r="J26" i="24" s="1"/>
  <c r="F123" i="9"/>
  <c r="J27" i="24" s="1"/>
  <c r="F124" i="9"/>
  <c r="J66" i="24" s="1"/>
  <c r="F125" i="9"/>
  <c r="J173" i="24" s="1"/>
  <c r="F126" i="9"/>
  <c r="J181" i="24" s="1"/>
  <c r="F127" i="9"/>
  <c r="J175" i="24" s="1"/>
  <c r="F128" i="9"/>
  <c r="J86" i="24" s="1"/>
  <c r="F129" i="9"/>
  <c r="J20" i="24" s="1"/>
  <c r="F130" i="9"/>
  <c r="J72" i="24" s="1"/>
  <c r="F131" i="9"/>
  <c r="J63" i="24" s="1"/>
  <c r="F132" i="9"/>
  <c r="J153" i="24" s="1"/>
  <c r="F133" i="9"/>
  <c r="J60" i="24" s="1"/>
  <c r="F134" i="9"/>
  <c r="J95" i="24" s="1"/>
  <c r="F135" i="9"/>
  <c r="J54" i="24" s="1"/>
  <c r="F136" i="9"/>
  <c r="J118" i="24" s="1"/>
  <c r="F137" i="9"/>
  <c r="J117" i="24" s="1"/>
  <c r="F138" i="9"/>
  <c r="J46" i="24" s="1"/>
  <c r="F139" i="9"/>
  <c r="J111" i="24" s="1"/>
  <c r="F140" i="9"/>
  <c r="J169" i="24" s="1"/>
  <c r="F141" i="9"/>
  <c r="J39" i="24" s="1"/>
  <c r="F142" i="9"/>
  <c r="J99" i="24" s="1"/>
  <c r="F143" i="9"/>
  <c r="J78" i="24" s="1"/>
  <c r="F144" i="9"/>
  <c r="J97" i="24" s="1"/>
  <c r="F145" i="9"/>
  <c r="J83" i="24" s="1"/>
  <c r="F146" i="9"/>
  <c r="J11" i="24" s="1"/>
  <c r="F147" i="9"/>
  <c r="J109" i="24" s="1"/>
  <c r="F148" i="9"/>
  <c r="J47" i="24" s="1"/>
  <c r="F149" i="9"/>
  <c r="J184" i="24" s="1"/>
  <c r="F150" i="9"/>
  <c r="J115" i="24" s="1"/>
  <c r="F151" i="9"/>
  <c r="J40" i="24" s="1"/>
  <c r="F152" i="9"/>
  <c r="J149" i="24" s="1"/>
  <c r="F153" i="9"/>
  <c r="J177" i="24" s="1"/>
  <c r="F154" i="9"/>
  <c r="J100" i="24" s="1"/>
  <c r="F155" i="9"/>
  <c r="J15" i="24" s="1"/>
  <c r="F156" i="9"/>
  <c r="J185" i="24" s="1"/>
  <c r="F157" i="9"/>
  <c r="J141" i="24" s="1"/>
  <c r="F158" i="9"/>
  <c r="J174" i="24" s="1"/>
  <c r="F159" i="9"/>
  <c r="J85" i="24" s="1"/>
  <c r="F160" i="9"/>
  <c r="J193" i="24" s="1"/>
  <c r="F161" i="9"/>
  <c r="J161" i="24" s="1"/>
  <c r="F162" i="9"/>
  <c r="J112" i="24" s="1"/>
  <c r="F163" i="9"/>
  <c r="J148" i="24" s="1"/>
  <c r="F164" i="9"/>
  <c r="J94" i="24" s="1"/>
  <c r="F165" i="9"/>
  <c r="J9" i="24" s="1"/>
  <c r="F166" i="9"/>
  <c r="J130" i="24" s="1"/>
  <c r="F167" i="9"/>
  <c r="J192" i="24" s="1"/>
  <c r="F168" i="9"/>
  <c r="J116" i="24" s="1"/>
  <c r="F169" i="9"/>
  <c r="J82" i="24" s="1"/>
  <c r="F170" i="9"/>
  <c r="J80" i="24" s="1"/>
  <c r="F171" i="9"/>
  <c r="J160" i="24" s="1"/>
  <c r="F172" i="9"/>
  <c r="J19" i="24" s="1"/>
  <c r="F173" i="9"/>
  <c r="J164" i="24" s="1"/>
  <c r="F174" i="9"/>
  <c r="J90" i="24" s="1"/>
  <c r="F175" i="9"/>
  <c r="J189" i="24" s="1"/>
  <c r="F176" i="9"/>
  <c r="J150" i="24" s="1"/>
  <c r="F177" i="9"/>
  <c r="J190" i="24" s="1"/>
  <c r="F178" i="9"/>
  <c r="J14" i="24" s="1"/>
  <c r="F179" i="9"/>
  <c r="J91" i="24" s="1"/>
  <c r="F180" i="9"/>
  <c r="J151" i="24" s="1"/>
  <c r="F181" i="9"/>
  <c r="J113" i="24" s="1"/>
  <c r="F182" i="9"/>
  <c r="J84" i="24" s="1"/>
  <c r="F183" i="9"/>
  <c r="J182" i="24" s="1"/>
  <c r="F184" i="9"/>
  <c r="J179" i="24" s="1"/>
  <c r="F185" i="9"/>
  <c r="J186" i="24" s="1"/>
  <c r="F186" i="9"/>
  <c r="J8" i="24" s="1"/>
  <c r="F187" i="9"/>
  <c r="J180" i="24" s="1"/>
  <c r="F188" i="9"/>
  <c r="J156" i="24" s="1"/>
  <c r="F189" i="9"/>
  <c r="J107" i="24" s="1"/>
  <c r="F2" i="9"/>
  <c r="J32" i="24" s="1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2" i="15"/>
  <c r="K15" i="24" l="1"/>
  <c r="L15" i="24"/>
  <c r="Y15" i="24" s="1"/>
  <c r="K134" i="24"/>
  <c r="L134" i="24"/>
  <c r="Y134" i="24" s="1"/>
  <c r="K35" i="24"/>
  <c r="L35" i="24"/>
  <c r="Y35" i="24" s="1"/>
  <c r="K98" i="24"/>
  <c r="L98" i="24"/>
  <c r="Y98" i="24" s="1"/>
  <c r="K8" i="24"/>
  <c r="L8" i="24"/>
  <c r="Y8" i="24" s="1"/>
  <c r="K14" i="24"/>
  <c r="L14" i="24"/>
  <c r="Y14" i="24" s="1"/>
  <c r="K80" i="24"/>
  <c r="L80" i="24"/>
  <c r="Y80" i="24" s="1"/>
  <c r="K112" i="24"/>
  <c r="L112" i="24"/>
  <c r="Y112" i="24" s="1"/>
  <c r="K100" i="24"/>
  <c r="L100" i="24"/>
  <c r="Y100" i="24" s="1"/>
  <c r="K11" i="24"/>
  <c r="L11" i="24"/>
  <c r="Y11" i="24" s="1"/>
  <c r="K46" i="24"/>
  <c r="L46" i="24"/>
  <c r="Y46" i="24" s="1"/>
  <c r="K72" i="24"/>
  <c r="L72" i="24"/>
  <c r="Y72" i="24" s="1"/>
  <c r="K26" i="24"/>
  <c r="L26" i="24"/>
  <c r="Y26" i="24" s="1"/>
  <c r="K106" i="24"/>
  <c r="L106" i="24"/>
  <c r="Y106" i="24" s="1"/>
  <c r="K110" i="24"/>
  <c r="L110" i="24"/>
  <c r="Y110" i="24" s="1"/>
  <c r="K104" i="24"/>
  <c r="L104" i="24"/>
  <c r="Y104" i="24" s="1"/>
  <c r="K79" i="24"/>
  <c r="L79" i="24"/>
  <c r="Y79" i="24" s="1"/>
  <c r="K139" i="24"/>
  <c r="L139" i="24"/>
  <c r="Y139" i="24" s="1"/>
  <c r="K7" i="24"/>
  <c r="L7" i="24"/>
  <c r="Y7" i="24" s="1"/>
  <c r="K17" i="24"/>
  <c r="L17" i="24"/>
  <c r="Y17" i="24" s="1"/>
  <c r="K21" i="24"/>
  <c r="L21" i="24"/>
  <c r="Y21" i="24" s="1"/>
  <c r="K147" i="24"/>
  <c r="L147" i="24"/>
  <c r="Y147" i="24" s="1"/>
  <c r="K128" i="24"/>
  <c r="L128" i="24"/>
  <c r="Y128" i="24" s="1"/>
  <c r="K64" i="24"/>
  <c r="L64" i="24"/>
  <c r="Y64" i="24" s="1"/>
  <c r="K137" i="24"/>
  <c r="L137" i="24"/>
  <c r="Y137" i="24" s="1"/>
  <c r="K62" i="24"/>
  <c r="L62" i="24"/>
  <c r="Y62" i="24" s="1"/>
  <c r="K92" i="24"/>
  <c r="L92" i="24"/>
  <c r="Y92" i="24" s="1"/>
  <c r="K180" i="24"/>
  <c r="L180" i="24"/>
  <c r="Y180" i="24" s="1"/>
  <c r="K111" i="24"/>
  <c r="L111" i="24"/>
  <c r="Y111" i="24" s="1"/>
  <c r="K82" i="24"/>
  <c r="L82" i="24"/>
  <c r="Y82" i="24" s="1"/>
  <c r="K20" i="24"/>
  <c r="L20" i="24"/>
  <c r="Y20" i="24" s="1"/>
  <c r="K73" i="24"/>
  <c r="L73" i="24"/>
  <c r="Y73" i="24" s="1"/>
  <c r="K51" i="24"/>
  <c r="L51" i="24"/>
  <c r="Y51" i="24" s="1"/>
  <c r="K45" i="24"/>
  <c r="L45" i="24"/>
  <c r="Y45" i="24" s="1"/>
  <c r="K136" i="24"/>
  <c r="L136" i="24"/>
  <c r="Y136" i="24" s="1"/>
  <c r="K81" i="24"/>
  <c r="L81" i="24"/>
  <c r="Y81" i="24" s="1"/>
  <c r="K70" i="24"/>
  <c r="L70" i="24"/>
  <c r="Y70" i="24" s="1"/>
  <c r="K179" i="24"/>
  <c r="L179" i="24"/>
  <c r="Y179" i="24" s="1"/>
  <c r="K150" i="24"/>
  <c r="L150" i="24"/>
  <c r="Y150" i="24" s="1"/>
  <c r="K116" i="24"/>
  <c r="L116" i="24"/>
  <c r="Y116" i="24" s="1"/>
  <c r="K193" i="24"/>
  <c r="L193" i="24"/>
  <c r="Y193" i="24" s="1"/>
  <c r="K149" i="24"/>
  <c r="L149" i="24"/>
  <c r="Y149" i="24" s="1"/>
  <c r="K97" i="24"/>
  <c r="L97" i="24"/>
  <c r="Y97" i="24" s="1"/>
  <c r="K118" i="24"/>
  <c r="L118" i="24"/>
  <c r="Y118" i="24" s="1"/>
  <c r="K86" i="24"/>
  <c r="L86" i="24"/>
  <c r="Y86" i="24" s="1"/>
  <c r="K158" i="24"/>
  <c r="L158" i="24"/>
  <c r="Y158" i="24" s="1"/>
  <c r="K142" i="24"/>
  <c r="L142" i="24"/>
  <c r="Y142" i="24" s="1"/>
  <c r="K96" i="24"/>
  <c r="L96" i="24"/>
  <c r="Y96" i="24" s="1"/>
  <c r="K170" i="24"/>
  <c r="L170" i="24"/>
  <c r="Y170" i="24" s="1"/>
  <c r="K48" i="24"/>
  <c r="L48" i="24"/>
  <c r="Y48" i="24" s="1"/>
  <c r="K168" i="24"/>
  <c r="L168" i="24"/>
  <c r="Y168" i="24" s="1"/>
  <c r="K61" i="24"/>
  <c r="L61" i="24"/>
  <c r="Y61" i="24" s="1"/>
  <c r="K71" i="24"/>
  <c r="L71" i="24"/>
  <c r="Y71" i="24" s="1"/>
  <c r="K119" i="24"/>
  <c r="L119" i="24"/>
  <c r="Y119" i="24" s="1"/>
  <c r="K55" i="24"/>
  <c r="L55" i="24"/>
  <c r="Y55" i="24" s="1"/>
  <c r="K132" i="24"/>
  <c r="L132" i="24"/>
  <c r="Y132" i="24" s="1"/>
  <c r="K187" i="24"/>
  <c r="L187" i="24"/>
  <c r="Y187" i="24" s="1"/>
  <c r="K43" i="24"/>
  <c r="L43" i="24"/>
  <c r="Y43" i="24" s="1"/>
  <c r="K122" i="24"/>
  <c r="L122" i="24"/>
  <c r="Y122" i="24" s="1"/>
  <c r="K59" i="24"/>
  <c r="L59" i="24"/>
  <c r="Y59" i="24" s="1"/>
  <c r="K109" i="24"/>
  <c r="L109" i="24"/>
  <c r="Y109" i="24" s="1"/>
  <c r="K63" i="24"/>
  <c r="L63" i="24"/>
  <c r="Y63" i="24" s="1"/>
  <c r="K176" i="24"/>
  <c r="L176" i="24"/>
  <c r="Y176" i="24" s="1"/>
  <c r="K83" i="24"/>
  <c r="L83" i="24"/>
  <c r="Y83" i="24" s="1"/>
  <c r="K56" i="24"/>
  <c r="L56" i="24"/>
  <c r="Y56" i="24" s="1"/>
  <c r="K18" i="24"/>
  <c r="L18" i="24"/>
  <c r="Y18" i="24" s="1"/>
  <c r="K138" i="24"/>
  <c r="L138" i="24"/>
  <c r="Y138" i="24" s="1"/>
  <c r="K144" i="24"/>
  <c r="L144" i="24"/>
  <c r="Y144" i="24" s="1"/>
  <c r="K163" i="24"/>
  <c r="L163" i="24"/>
  <c r="Y163" i="24" s="1"/>
  <c r="K189" i="24"/>
  <c r="L189" i="24"/>
  <c r="Y189" i="24" s="1"/>
  <c r="K192" i="24"/>
  <c r="L192" i="24"/>
  <c r="Y192" i="24" s="1"/>
  <c r="K85" i="24"/>
  <c r="L85" i="24"/>
  <c r="Y85" i="24" s="1"/>
  <c r="K40" i="24"/>
  <c r="L40" i="24"/>
  <c r="Y40" i="24" s="1"/>
  <c r="K78" i="24"/>
  <c r="L78" i="24"/>
  <c r="Y78" i="24" s="1"/>
  <c r="K54" i="24"/>
  <c r="L54" i="24"/>
  <c r="Y54" i="24" s="1"/>
  <c r="K175" i="24"/>
  <c r="L175" i="24"/>
  <c r="Y175" i="24" s="1"/>
  <c r="K13" i="24"/>
  <c r="L13" i="24"/>
  <c r="Y13" i="24" s="1"/>
  <c r="K162" i="24"/>
  <c r="L162" i="24"/>
  <c r="Y162" i="24" s="1"/>
  <c r="K145" i="24"/>
  <c r="L145" i="24"/>
  <c r="Y145" i="24" s="1"/>
  <c r="K103" i="24"/>
  <c r="L103" i="24"/>
  <c r="Y103" i="24" s="1"/>
  <c r="K105" i="24"/>
  <c r="L105" i="24"/>
  <c r="Y105" i="24" s="1"/>
  <c r="K53" i="24"/>
  <c r="L53" i="24"/>
  <c r="Y53" i="24" s="1"/>
  <c r="K155" i="24"/>
  <c r="L155" i="24"/>
  <c r="Y155" i="24" s="1"/>
  <c r="K65" i="24"/>
  <c r="L65" i="24"/>
  <c r="Y65" i="24" s="1"/>
  <c r="K12" i="24"/>
  <c r="L12" i="24"/>
  <c r="Y12" i="24" s="1"/>
  <c r="K16" i="24"/>
  <c r="L16" i="24"/>
  <c r="Y16" i="24" s="1"/>
  <c r="K52" i="24"/>
  <c r="L52" i="24"/>
  <c r="Y52" i="24" s="1"/>
  <c r="K77" i="24"/>
  <c r="L77" i="24"/>
  <c r="Y77" i="24" s="1"/>
  <c r="K28" i="24"/>
  <c r="L28" i="24"/>
  <c r="Y28" i="24" s="1"/>
  <c r="K37" i="24"/>
  <c r="L37" i="24"/>
  <c r="Y37" i="24" s="1"/>
  <c r="K31" i="24"/>
  <c r="L31" i="24"/>
  <c r="Y31" i="24" s="1"/>
  <c r="K148" i="24"/>
  <c r="L148" i="24"/>
  <c r="Y148" i="24" s="1"/>
  <c r="K190" i="24"/>
  <c r="L190" i="24"/>
  <c r="Y190" i="24" s="1"/>
  <c r="K191" i="24"/>
  <c r="L191" i="24"/>
  <c r="Y191" i="24" s="1"/>
  <c r="K75" i="24"/>
  <c r="L75" i="24"/>
  <c r="Y75" i="24" s="1"/>
  <c r="K182" i="24"/>
  <c r="L182" i="24"/>
  <c r="Y182" i="24" s="1"/>
  <c r="K32" i="24"/>
  <c r="L32" i="24"/>
  <c r="Y32" i="24" s="1"/>
  <c r="K84" i="24"/>
  <c r="L84" i="24"/>
  <c r="Y84" i="24" s="1"/>
  <c r="K90" i="24"/>
  <c r="L90" i="24"/>
  <c r="Y90" i="24" s="1"/>
  <c r="K130" i="24"/>
  <c r="L130" i="24"/>
  <c r="Y130" i="24" s="1"/>
  <c r="K174" i="24"/>
  <c r="L174" i="24"/>
  <c r="Y174" i="24" s="1"/>
  <c r="K115" i="24"/>
  <c r="L115" i="24"/>
  <c r="Y115" i="24" s="1"/>
  <c r="K99" i="24"/>
  <c r="L99" i="24"/>
  <c r="Y99" i="24" s="1"/>
  <c r="K95" i="24"/>
  <c r="L95" i="24"/>
  <c r="Y95" i="24" s="1"/>
  <c r="K181" i="24"/>
  <c r="L181" i="24"/>
  <c r="Y181" i="24" s="1"/>
  <c r="K102" i="24"/>
  <c r="L102" i="24"/>
  <c r="Y102" i="24" s="1"/>
  <c r="K114" i="24"/>
  <c r="L114" i="24"/>
  <c r="Y114" i="24" s="1"/>
  <c r="K87" i="24"/>
  <c r="L87" i="24"/>
  <c r="Y87" i="24" s="1"/>
  <c r="K33" i="24"/>
  <c r="L33" i="24"/>
  <c r="Y33" i="24" s="1"/>
  <c r="K68" i="24"/>
  <c r="L68" i="24"/>
  <c r="Y68" i="24" s="1"/>
  <c r="K172" i="24"/>
  <c r="L172" i="24"/>
  <c r="Y172" i="24" s="1"/>
  <c r="K36" i="24"/>
  <c r="L36" i="24"/>
  <c r="Y36" i="24" s="1"/>
  <c r="K121" i="24"/>
  <c r="L121" i="24"/>
  <c r="Y121" i="24" s="1"/>
  <c r="K22" i="24"/>
  <c r="L22" i="24"/>
  <c r="Y22" i="24" s="1"/>
  <c r="K124" i="24"/>
  <c r="L124" i="24"/>
  <c r="Y124" i="24" s="1"/>
  <c r="K165" i="24"/>
  <c r="L165" i="24"/>
  <c r="Y165" i="24" s="1"/>
  <c r="K125" i="24"/>
  <c r="L125" i="24"/>
  <c r="Y125" i="24" s="1"/>
  <c r="K58" i="24"/>
  <c r="L58" i="24"/>
  <c r="Y58" i="24" s="1"/>
  <c r="K67" i="24"/>
  <c r="L67" i="24"/>
  <c r="Y67" i="24" s="1"/>
  <c r="K24" i="24"/>
  <c r="L24" i="24"/>
  <c r="Y24" i="24" s="1"/>
  <c r="K160" i="24"/>
  <c r="L160" i="24"/>
  <c r="Y160" i="24" s="1"/>
  <c r="K27" i="24"/>
  <c r="L27" i="24"/>
  <c r="Y27" i="24" s="1"/>
  <c r="K74" i="24"/>
  <c r="L74" i="24"/>
  <c r="Y74" i="24" s="1"/>
  <c r="K161" i="24"/>
  <c r="L161" i="24"/>
  <c r="Y161" i="24" s="1"/>
  <c r="K117" i="24"/>
  <c r="L117" i="24"/>
  <c r="Y117" i="24" s="1"/>
  <c r="K129" i="24"/>
  <c r="L129" i="24"/>
  <c r="Y129" i="24" s="1"/>
  <c r="K107" i="24"/>
  <c r="L107" i="24"/>
  <c r="Y107" i="24" s="1"/>
  <c r="K113" i="24"/>
  <c r="L113" i="24"/>
  <c r="Y113" i="24" s="1"/>
  <c r="K164" i="24"/>
  <c r="L164" i="24"/>
  <c r="Y164" i="24" s="1"/>
  <c r="K9" i="24"/>
  <c r="L9" i="24"/>
  <c r="Y9" i="24" s="1"/>
  <c r="K141" i="24"/>
  <c r="L141" i="24"/>
  <c r="Y141" i="24" s="1"/>
  <c r="K184" i="24"/>
  <c r="L184" i="24"/>
  <c r="Y184" i="24" s="1"/>
  <c r="K39" i="24"/>
  <c r="L39" i="24"/>
  <c r="Y39" i="24" s="1"/>
  <c r="K60" i="24"/>
  <c r="L60" i="24"/>
  <c r="Y60" i="24" s="1"/>
  <c r="K173" i="24"/>
  <c r="L173" i="24"/>
  <c r="Y173" i="24" s="1"/>
  <c r="K135" i="24"/>
  <c r="L135" i="24"/>
  <c r="Y135" i="24" s="1"/>
  <c r="K143" i="24"/>
  <c r="L143" i="24"/>
  <c r="Y143" i="24" s="1"/>
  <c r="K159" i="24"/>
  <c r="L159" i="24"/>
  <c r="Y159" i="24" s="1"/>
  <c r="K152" i="24"/>
  <c r="L152" i="24"/>
  <c r="Y152" i="24" s="1"/>
  <c r="K23" i="24"/>
  <c r="L23" i="24"/>
  <c r="Y23" i="24" s="1"/>
  <c r="K108" i="24"/>
  <c r="L108" i="24"/>
  <c r="Y108" i="24" s="1"/>
  <c r="K133" i="24"/>
  <c r="L133" i="24"/>
  <c r="Y133" i="24" s="1"/>
  <c r="K25" i="24"/>
  <c r="L25" i="24"/>
  <c r="Y25" i="24" s="1"/>
  <c r="K76" i="24"/>
  <c r="L76" i="24"/>
  <c r="Y76" i="24" s="1"/>
  <c r="K69" i="24"/>
  <c r="L69" i="24"/>
  <c r="Y69" i="24" s="1"/>
  <c r="K146" i="24"/>
  <c r="L146" i="24"/>
  <c r="Y146" i="24" s="1"/>
  <c r="K154" i="24"/>
  <c r="L154" i="24"/>
  <c r="Y154" i="24" s="1"/>
  <c r="K42" i="24"/>
  <c r="L42" i="24"/>
  <c r="Y42" i="24" s="1"/>
  <c r="K166" i="24"/>
  <c r="L166" i="24"/>
  <c r="Y166" i="24" s="1"/>
  <c r="K44" i="24"/>
  <c r="L44" i="24"/>
  <c r="Y44" i="24" s="1"/>
  <c r="K91" i="24"/>
  <c r="L91" i="24"/>
  <c r="Y91" i="24" s="1"/>
  <c r="K186" i="24"/>
  <c r="L186" i="24"/>
  <c r="Y186" i="24" s="1"/>
  <c r="K177" i="24"/>
  <c r="L177" i="24"/>
  <c r="Y177" i="24" s="1"/>
  <c r="K156" i="24"/>
  <c r="L156" i="24"/>
  <c r="Y156" i="24" s="1"/>
  <c r="K151" i="24"/>
  <c r="L151" i="24"/>
  <c r="Y151" i="24" s="1"/>
  <c r="K19" i="24"/>
  <c r="L19" i="24"/>
  <c r="Y19" i="24" s="1"/>
  <c r="K94" i="24"/>
  <c r="L94" i="24"/>
  <c r="Y94" i="24" s="1"/>
  <c r="K185" i="24"/>
  <c r="L185" i="24"/>
  <c r="Y185" i="24" s="1"/>
  <c r="K47" i="24"/>
  <c r="L47" i="24"/>
  <c r="Y47" i="24" s="1"/>
  <c r="K169" i="24"/>
  <c r="L169" i="24"/>
  <c r="Y169" i="24" s="1"/>
  <c r="K153" i="24"/>
  <c r="L153" i="24"/>
  <c r="Y153" i="24" s="1"/>
  <c r="K66" i="24"/>
  <c r="L66" i="24"/>
  <c r="Y66" i="24" s="1"/>
  <c r="K89" i="24"/>
  <c r="L89" i="24"/>
  <c r="Y89" i="24" s="1"/>
  <c r="K41" i="24"/>
  <c r="L41" i="24"/>
  <c r="Y41" i="24" s="1"/>
  <c r="K178" i="24"/>
  <c r="L178" i="24"/>
  <c r="Y178" i="24" s="1"/>
  <c r="K167" i="24"/>
  <c r="L167" i="24"/>
  <c r="Y167" i="24" s="1"/>
  <c r="K49" i="24"/>
  <c r="L49" i="24"/>
  <c r="Y49" i="24" s="1"/>
  <c r="K38" i="24"/>
  <c r="L38" i="24"/>
  <c r="Y38" i="24" s="1"/>
  <c r="K140" i="24"/>
  <c r="L140" i="24"/>
  <c r="Y140" i="24" s="1"/>
  <c r="K127" i="24"/>
  <c r="L127" i="24"/>
  <c r="Y127" i="24" s="1"/>
  <c r="K171" i="24"/>
  <c r="L171" i="24"/>
  <c r="Y171" i="24" s="1"/>
  <c r="K57" i="24"/>
  <c r="L57" i="24"/>
  <c r="Y57" i="24" s="1"/>
  <c r="K126" i="24"/>
  <c r="L126" i="24"/>
  <c r="Y126" i="24" s="1"/>
  <c r="K123" i="24"/>
  <c r="L123" i="24"/>
  <c r="Y123" i="24" s="1"/>
  <c r="K101" i="24"/>
  <c r="L101" i="24"/>
  <c r="Y101" i="24" s="1"/>
  <c r="K29" i="24"/>
  <c r="L29" i="24"/>
  <c r="Y29" i="24" s="1"/>
  <c r="K34" i="24"/>
  <c r="L34" i="24"/>
  <c r="Y34" i="24" s="1"/>
  <c r="K183" i="24"/>
  <c r="L183" i="24"/>
  <c r="Y183" i="24" s="1"/>
  <c r="K157" i="24"/>
  <c r="L157" i="24"/>
  <c r="Y157" i="24" s="1"/>
  <c r="K93" i="24"/>
  <c r="L93" i="24"/>
  <c r="Y93" i="24" s="1"/>
  <c r="K10" i="24"/>
  <c r="L10" i="24"/>
  <c r="Y10" i="24" s="1"/>
  <c r="K188" i="24"/>
  <c r="L188" i="24"/>
  <c r="Y188" i="24" s="1"/>
  <c r="K50" i="24"/>
  <c r="L50" i="24"/>
  <c r="Y50" i="24" s="1"/>
  <c r="K120" i="24"/>
  <c r="L120" i="24"/>
  <c r="Y120" i="24" s="1"/>
  <c r="K131" i="24"/>
  <c r="L131" i="24"/>
  <c r="Y131" i="24" s="1"/>
  <c r="K30" i="24"/>
  <c r="L30" i="24"/>
  <c r="Y30" i="24" s="1"/>
  <c r="K88" i="24"/>
  <c r="L88" i="24"/>
  <c r="Y88" i="24" s="1"/>
  <c r="O43" i="9"/>
  <c r="O123" i="9"/>
  <c r="O171" i="9"/>
  <c r="O28" i="9"/>
  <c r="O52" i="9"/>
  <c r="O100" i="9"/>
  <c r="O140" i="9"/>
  <c r="O156" i="9"/>
  <c r="O172" i="9"/>
  <c r="O180" i="9"/>
  <c r="O11" i="9"/>
  <c r="O75" i="9"/>
  <c r="O131" i="9"/>
  <c r="O179" i="9"/>
  <c r="O36" i="9"/>
  <c r="O68" i="9"/>
  <c r="O92" i="9"/>
  <c r="O148" i="9"/>
  <c r="O164" i="9"/>
  <c r="O188" i="9"/>
  <c r="O5" i="9"/>
  <c r="O13" i="9"/>
  <c r="O21" i="9"/>
  <c r="O29" i="9"/>
  <c r="O37" i="9"/>
  <c r="O45" i="9"/>
  <c r="O53" i="9"/>
  <c r="O61" i="9"/>
  <c r="O69" i="9"/>
  <c r="O77" i="9"/>
  <c r="O85" i="9"/>
  <c r="O93" i="9"/>
  <c r="O101" i="9"/>
  <c r="O109" i="9"/>
  <c r="O117" i="9"/>
  <c r="O125" i="9"/>
  <c r="O133" i="9"/>
  <c r="O141" i="9"/>
  <c r="O149" i="9"/>
  <c r="O157" i="9"/>
  <c r="O165" i="9"/>
  <c r="O173" i="9"/>
  <c r="O181" i="9"/>
  <c r="O189" i="9"/>
  <c r="O3" i="9"/>
  <c r="O59" i="9"/>
  <c r="O83" i="9"/>
  <c r="O147" i="9"/>
  <c r="O134" i="9"/>
  <c r="O142" i="9"/>
  <c r="O182" i="9"/>
  <c r="O19" i="9"/>
  <c r="O51" i="9"/>
  <c r="O99" i="9"/>
  <c r="O187" i="9"/>
  <c r="O12" i="9"/>
  <c r="O20" i="9"/>
  <c r="O44" i="9"/>
  <c r="O132" i="9"/>
  <c r="O30" i="9"/>
  <c r="O70" i="9"/>
  <c r="O126" i="9"/>
  <c r="O150" i="9"/>
  <c r="O158" i="9"/>
  <c r="O15" i="9"/>
  <c r="O39" i="9"/>
  <c r="O55" i="9"/>
  <c r="O79" i="9"/>
  <c r="O103" i="9"/>
  <c r="O111" i="9"/>
  <c r="O127" i="9"/>
  <c r="O135" i="9"/>
  <c r="O143" i="9"/>
  <c r="O151" i="9"/>
  <c r="O159" i="9"/>
  <c r="O167" i="9"/>
  <c r="O175" i="9"/>
  <c r="O183" i="9"/>
  <c r="O91" i="9"/>
  <c r="O107" i="9"/>
  <c r="O155" i="9"/>
  <c r="O4" i="9"/>
  <c r="O84" i="9"/>
  <c r="O124" i="9"/>
  <c r="O22" i="9"/>
  <c r="O46" i="9"/>
  <c r="O94" i="9"/>
  <c r="O118" i="9"/>
  <c r="O174" i="9"/>
  <c r="O7" i="9"/>
  <c r="O23" i="9"/>
  <c r="O31" i="9"/>
  <c r="O47" i="9"/>
  <c r="O63" i="9"/>
  <c r="O71" i="9"/>
  <c r="O87" i="9"/>
  <c r="O95" i="9"/>
  <c r="O119" i="9"/>
  <c r="O8" i="9"/>
  <c r="O16" i="9"/>
  <c r="O24" i="9"/>
  <c r="O32" i="9"/>
  <c r="O40" i="9"/>
  <c r="O48" i="9"/>
  <c r="O56" i="9"/>
  <c r="O64" i="9"/>
  <c r="O72" i="9"/>
  <c r="O80" i="9"/>
  <c r="O88" i="9"/>
  <c r="O96" i="9"/>
  <c r="O104" i="9"/>
  <c r="O112" i="9"/>
  <c r="O120" i="9"/>
  <c r="O128" i="9"/>
  <c r="O136" i="9"/>
  <c r="O144" i="9"/>
  <c r="O152" i="9"/>
  <c r="O160" i="9"/>
  <c r="O168" i="9"/>
  <c r="O176" i="9"/>
  <c r="O184" i="9"/>
  <c r="O35" i="9"/>
  <c r="O67" i="9"/>
  <c r="O139" i="9"/>
  <c r="O76" i="9"/>
  <c r="O116" i="9"/>
  <c r="O14" i="9"/>
  <c r="O54" i="9"/>
  <c r="O102" i="9"/>
  <c r="O25" i="9"/>
  <c r="O41" i="9"/>
  <c r="O57" i="9"/>
  <c r="O65" i="9"/>
  <c r="O89" i="9"/>
  <c r="O105" i="9"/>
  <c r="O121" i="9"/>
  <c r="O137" i="9"/>
  <c r="O145" i="9"/>
  <c r="O153" i="9"/>
  <c r="O161" i="9"/>
  <c r="O169" i="9"/>
  <c r="O177" i="9"/>
  <c r="O185" i="9"/>
  <c r="O27" i="9"/>
  <c r="O115" i="9"/>
  <c r="O163" i="9"/>
  <c r="O60" i="9"/>
  <c r="O108" i="9"/>
  <c r="O6" i="9"/>
  <c r="O38" i="9"/>
  <c r="O62" i="9"/>
  <c r="O78" i="9"/>
  <c r="O86" i="9"/>
  <c r="O110" i="9"/>
  <c r="O166" i="9"/>
  <c r="O9" i="9"/>
  <c r="H6" i="24"/>
  <c r="O17" i="9"/>
  <c r="O33" i="9"/>
  <c r="O49" i="9"/>
  <c r="O73" i="9"/>
  <c r="O81" i="9"/>
  <c r="O97" i="9"/>
  <c r="O113" i="9"/>
  <c r="O129" i="9"/>
  <c r="O10" i="9"/>
  <c r="O18" i="9"/>
  <c r="O26" i="9"/>
  <c r="O34" i="9"/>
  <c r="O42" i="9"/>
  <c r="O50" i="9"/>
  <c r="O58" i="9"/>
  <c r="O66" i="9"/>
  <c r="O74" i="9"/>
  <c r="O82" i="9"/>
  <c r="O90" i="9"/>
  <c r="O98" i="9"/>
  <c r="O106" i="9"/>
  <c r="O114" i="9"/>
  <c r="O122" i="9"/>
  <c r="O130" i="9"/>
  <c r="O138" i="9"/>
  <c r="O146" i="9"/>
  <c r="O154" i="9"/>
  <c r="O162" i="9"/>
  <c r="O170" i="9"/>
  <c r="O178" i="9"/>
  <c r="O186" i="9"/>
  <c r="G138" i="24" l="1"/>
  <c r="M138" i="24" s="1"/>
  <c r="P138" i="24" s="1"/>
  <c r="G15" i="24"/>
  <c r="M15" i="24" s="1"/>
  <c r="P15" i="24" s="1"/>
  <c r="G17" i="24"/>
  <c r="M17" i="24" s="1"/>
  <c r="P17" i="24" s="1"/>
  <c r="J6" i="24"/>
  <c r="K6" i="24" s="1"/>
  <c r="I6" i="24"/>
  <c r="G127" i="24" l="1"/>
  <c r="M127" i="24" s="1"/>
  <c r="P127" i="24" s="1"/>
  <c r="G49" i="24"/>
  <c r="M49" i="24" s="1"/>
  <c r="P49" i="24" s="1"/>
  <c r="G141" i="24"/>
  <c r="M141" i="24" s="1"/>
  <c r="P141" i="24" s="1"/>
  <c r="G107" i="24"/>
  <c r="M107" i="24" s="1"/>
  <c r="P107" i="24" s="1"/>
  <c r="G38" i="24"/>
  <c r="M38" i="24" s="1"/>
  <c r="P38" i="24" s="1"/>
  <c r="G41" i="24"/>
  <c r="M41" i="24" s="1"/>
  <c r="P41" i="24" s="1"/>
  <c r="G169" i="24"/>
  <c r="M169" i="24" s="1"/>
  <c r="P169" i="24" s="1"/>
  <c r="G164" i="24"/>
  <c r="M164" i="24" s="1"/>
  <c r="P164" i="24" s="1"/>
  <c r="G128" i="24"/>
  <c r="M128" i="24" s="1"/>
  <c r="P128" i="24" s="1"/>
  <c r="G171" i="24"/>
  <c r="M171" i="24" s="1"/>
  <c r="P171" i="24" s="1"/>
  <c r="L6" i="24"/>
  <c r="G6" i="24" s="1"/>
  <c r="G167" i="24" l="1"/>
  <c r="M167" i="24" s="1"/>
  <c r="P167" i="24" s="1"/>
  <c r="G73" i="24"/>
  <c r="M73" i="24" s="1"/>
  <c r="Q188" i="24"/>
  <c r="T188" i="24" s="1"/>
  <c r="Q180" i="24"/>
  <c r="T180" i="24" s="1"/>
  <c r="Q172" i="24"/>
  <c r="T172" i="24" s="1"/>
  <c r="Q164" i="24"/>
  <c r="T164" i="24" s="1"/>
  <c r="Q156" i="24"/>
  <c r="T156" i="24" s="1"/>
  <c r="Q148" i="24"/>
  <c r="T148" i="24" s="1"/>
  <c r="Q140" i="24"/>
  <c r="T140" i="24" s="1"/>
  <c r="Q132" i="24"/>
  <c r="T132" i="24" s="1"/>
  <c r="Q124" i="24"/>
  <c r="T124" i="24" s="1"/>
  <c r="Q116" i="24"/>
  <c r="T116" i="24" s="1"/>
  <c r="Q108" i="24"/>
  <c r="T108" i="24" s="1"/>
  <c r="Q100" i="24"/>
  <c r="T100" i="24" s="1"/>
  <c r="Q92" i="24"/>
  <c r="T92" i="24" s="1"/>
  <c r="Q84" i="24"/>
  <c r="T84" i="24" s="1"/>
  <c r="Q76" i="24"/>
  <c r="T76" i="24" s="1"/>
  <c r="Q68" i="24"/>
  <c r="T68" i="24" s="1"/>
  <c r="Q60" i="24"/>
  <c r="T60" i="24" s="1"/>
  <c r="Q52" i="24"/>
  <c r="T52" i="24" s="1"/>
  <c r="Q44" i="24"/>
  <c r="T44" i="24" s="1"/>
  <c r="Q36" i="24"/>
  <c r="T36" i="24" s="1"/>
  <c r="Q28" i="24"/>
  <c r="T28" i="24" s="1"/>
  <c r="Q20" i="24"/>
  <c r="T20" i="24" s="1"/>
  <c r="Q12" i="24"/>
  <c r="T12" i="24" s="1"/>
  <c r="Q173" i="24"/>
  <c r="T173" i="24" s="1"/>
  <c r="Q101" i="24"/>
  <c r="T101" i="24" s="1"/>
  <c r="Q77" i="24"/>
  <c r="T77" i="24" s="1"/>
  <c r="Q61" i="24"/>
  <c r="T61" i="24" s="1"/>
  <c r="Q45" i="24"/>
  <c r="T45" i="24" s="1"/>
  <c r="Q29" i="24"/>
  <c r="T29" i="24" s="1"/>
  <c r="Q13" i="24"/>
  <c r="T13" i="24" s="1"/>
  <c r="Q187" i="24"/>
  <c r="T187" i="24" s="1"/>
  <c r="Q179" i="24"/>
  <c r="T179" i="24" s="1"/>
  <c r="Q171" i="24"/>
  <c r="T171" i="24" s="1"/>
  <c r="Q163" i="24"/>
  <c r="T163" i="24" s="1"/>
  <c r="Q155" i="24"/>
  <c r="T155" i="24" s="1"/>
  <c r="Q147" i="24"/>
  <c r="T147" i="24" s="1"/>
  <c r="Q139" i="24"/>
  <c r="T139" i="24" s="1"/>
  <c r="Q131" i="24"/>
  <c r="T131" i="24" s="1"/>
  <c r="Q123" i="24"/>
  <c r="T123" i="24" s="1"/>
  <c r="Q115" i="24"/>
  <c r="T115" i="24" s="1"/>
  <c r="Q107" i="24"/>
  <c r="T107" i="24" s="1"/>
  <c r="Q99" i="24"/>
  <c r="T99" i="24" s="1"/>
  <c r="Q91" i="24"/>
  <c r="T91" i="24" s="1"/>
  <c r="Q83" i="24"/>
  <c r="T83" i="24" s="1"/>
  <c r="Q75" i="24"/>
  <c r="T75" i="24" s="1"/>
  <c r="Q67" i="24"/>
  <c r="T67" i="24" s="1"/>
  <c r="Q59" i="24"/>
  <c r="T59" i="24" s="1"/>
  <c r="Q51" i="24"/>
  <c r="T51" i="24" s="1"/>
  <c r="Q43" i="24"/>
  <c r="T43" i="24" s="1"/>
  <c r="Q35" i="24"/>
  <c r="T35" i="24" s="1"/>
  <c r="Q27" i="24"/>
  <c r="T27" i="24" s="1"/>
  <c r="Q19" i="24"/>
  <c r="T19" i="24" s="1"/>
  <c r="Q11" i="24"/>
  <c r="T11" i="24" s="1"/>
  <c r="Q186" i="24"/>
  <c r="T186" i="24" s="1"/>
  <c r="Q178" i="24"/>
  <c r="T178" i="24" s="1"/>
  <c r="Q170" i="24"/>
  <c r="T170" i="24" s="1"/>
  <c r="Q162" i="24"/>
  <c r="T162" i="24" s="1"/>
  <c r="Q154" i="24"/>
  <c r="Q146" i="24"/>
  <c r="T146" i="24" s="1"/>
  <c r="Q138" i="24"/>
  <c r="T138" i="24" s="1"/>
  <c r="Q130" i="24"/>
  <c r="T130" i="24" s="1"/>
  <c r="Q122" i="24"/>
  <c r="T122" i="24" s="1"/>
  <c r="Q114" i="24"/>
  <c r="T114" i="24" s="1"/>
  <c r="Q106" i="24"/>
  <c r="T106" i="24" s="1"/>
  <c r="Q98" i="24"/>
  <c r="T98" i="24" s="1"/>
  <c r="Q90" i="24"/>
  <c r="T90" i="24" s="1"/>
  <c r="Q82" i="24"/>
  <c r="T82" i="24" s="1"/>
  <c r="Q74" i="24"/>
  <c r="T74" i="24" s="1"/>
  <c r="Q66" i="24"/>
  <c r="T66" i="24" s="1"/>
  <c r="Q58" i="24"/>
  <c r="T58" i="24" s="1"/>
  <c r="Q50" i="24"/>
  <c r="T50" i="24" s="1"/>
  <c r="Q42" i="24"/>
  <c r="T42" i="24" s="1"/>
  <c r="Q34" i="24"/>
  <c r="T34" i="24" s="1"/>
  <c r="Q26" i="24"/>
  <c r="T26" i="24" s="1"/>
  <c r="Q18" i="24"/>
  <c r="T18" i="24" s="1"/>
  <c r="Q10" i="24"/>
  <c r="T10" i="24" s="1"/>
  <c r="Q189" i="24"/>
  <c r="T189" i="24" s="1"/>
  <c r="Q181" i="24"/>
  <c r="T181" i="24" s="1"/>
  <c r="Q165" i="24"/>
  <c r="T165" i="24" s="1"/>
  <c r="Q157" i="24"/>
  <c r="T157" i="24" s="1"/>
  <c r="Q149" i="24"/>
  <c r="T149" i="24" s="1"/>
  <c r="Q141" i="24"/>
  <c r="T141" i="24" s="1"/>
  <c r="Q133" i="24"/>
  <c r="T133" i="24" s="1"/>
  <c r="Q125" i="24"/>
  <c r="T125" i="24" s="1"/>
  <c r="Q117" i="24"/>
  <c r="T117" i="24" s="1"/>
  <c r="Q109" i="24"/>
  <c r="T109" i="24" s="1"/>
  <c r="Q93" i="24"/>
  <c r="T93" i="24" s="1"/>
  <c r="Q85" i="24"/>
  <c r="T85" i="24" s="1"/>
  <c r="Q69" i="24"/>
  <c r="T69" i="24" s="1"/>
  <c r="Q53" i="24"/>
  <c r="T53" i="24" s="1"/>
  <c r="Q37" i="24"/>
  <c r="T37" i="24" s="1"/>
  <c r="Q193" i="24"/>
  <c r="T193" i="24" s="1"/>
  <c r="Q185" i="24"/>
  <c r="T185" i="24" s="1"/>
  <c r="Q177" i="24"/>
  <c r="T177" i="24" s="1"/>
  <c r="Q169" i="24"/>
  <c r="T169" i="24" s="1"/>
  <c r="Q161" i="24"/>
  <c r="T161" i="24" s="1"/>
  <c r="Q153" i="24"/>
  <c r="T153" i="24" s="1"/>
  <c r="Q145" i="24"/>
  <c r="T145" i="24" s="1"/>
  <c r="Q137" i="24"/>
  <c r="T137" i="24" s="1"/>
  <c r="Q129" i="24"/>
  <c r="T129" i="24" s="1"/>
  <c r="Q121" i="24"/>
  <c r="T121" i="24" s="1"/>
  <c r="Q113" i="24"/>
  <c r="T113" i="24" s="1"/>
  <c r="Q105" i="24"/>
  <c r="T105" i="24" s="1"/>
  <c r="Q97" i="24"/>
  <c r="T97" i="24" s="1"/>
  <c r="Q89" i="24"/>
  <c r="T89" i="24" s="1"/>
  <c r="Q81" i="24"/>
  <c r="T81" i="24" s="1"/>
  <c r="Q73" i="24"/>
  <c r="T73" i="24" s="1"/>
  <c r="Q65" i="24"/>
  <c r="T65" i="24" s="1"/>
  <c r="Q57" i="24"/>
  <c r="T57" i="24" s="1"/>
  <c r="Q49" i="24"/>
  <c r="T49" i="24" s="1"/>
  <c r="Q41" i="24"/>
  <c r="T41" i="24" s="1"/>
  <c r="Q33" i="24"/>
  <c r="T33" i="24" s="1"/>
  <c r="Q25" i="24"/>
  <c r="T25" i="24" s="1"/>
  <c r="Q17" i="24"/>
  <c r="T17" i="24" s="1"/>
  <c r="Q9" i="24"/>
  <c r="T9" i="24" s="1"/>
  <c r="Q192" i="24"/>
  <c r="T192" i="24" s="1"/>
  <c r="Q184" i="24"/>
  <c r="T184" i="24" s="1"/>
  <c r="Q176" i="24"/>
  <c r="T176" i="24" s="1"/>
  <c r="Q168" i="24"/>
  <c r="T168" i="24" s="1"/>
  <c r="Q160" i="24"/>
  <c r="Q152" i="24"/>
  <c r="T152" i="24" s="1"/>
  <c r="Q144" i="24"/>
  <c r="T144" i="24" s="1"/>
  <c r="Q136" i="24"/>
  <c r="T136" i="24" s="1"/>
  <c r="Q128" i="24"/>
  <c r="T128" i="24" s="1"/>
  <c r="Q120" i="24"/>
  <c r="T120" i="24" s="1"/>
  <c r="Q112" i="24"/>
  <c r="T112" i="24" s="1"/>
  <c r="Q104" i="24"/>
  <c r="T104" i="24" s="1"/>
  <c r="Q96" i="24"/>
  <c r="T96" i="24" s="1"/>
  <c r="Q88" i="24"/>
  <c r="T88" i="24" s="1"/>
  <c r="Q80" i="24"/>
  <c r="T80" i="24" s="1"/>
  <c r="Q72" i="24"/>
  <c r="T72" i="24" s="1"/>
  <c r="Q64" i="24"/>
  <c r="T64" i="24" s="1"/>
  <c r="Q56" i="24"/>
  <c r="T56" i="24" s="1"/>
  <c r="Q48" i="24"/>
  <c r="T48" i="24" s="1"/>
  <c r="Q40" i="24"/>
  <c r="T40" i="24" s="1"/>
  <c r="Q32" i="24"/>
  <c r="T32" i="24" s="1"/>
  <c r="Q24" i="24"/>
  <c r="T24" i="24" s="1"/>
  <c r="Q16" i="24"/>
  <c r="T16" i="24" s="1"/>
  <c r="Q8" i="24"/>
  <c r="T8" i="24" s="1"/>
  <c r="Q191" i="24"/>
  <c r="T191" i="24" s="1"/>
  <c r="Q183" i="24"/>
  <c r="T183" i="24" s="1"/>
  <c r="Q175" i="24"/>
  <c r="T175" i="24" s="1"/>
  <c r="Q167" i="24"/>
  <c r="T167" i="24" s="1"/>
  <c r="Q159" i="24"/>
  <c r="T159" i="24" s="1"/>
  <c r="Q151" i="24"/>
  <c r="T151" i="24" s="1"/>
  <c r="Q143" i="24"/>
  <c r="T143" i="24" s="1"/>
  <c r="Q135" i="24"/>
  <c r="T135" i="24" s="1"/>
  <c r="Q127" i="24"/>
  <c r="T127" i="24" s="1"/>
  <c r="Q119" i="24"/>
  <c r="T119" i="24" s="1"/>
  <c r="Q111" i="24"/>
  <c r="T111" i="24" s="1"/>
  <c r="Q103" i="24"/>
  <c r="T103" i="24" s="1"/>
  <c r="Q95" i="24"/>
  <c r="T95" i="24" s="1"/>
  <c r="Q87" i="24"/>
  <c r="T87" i="24" s="1"/>
  <c r="Q79" i="24"/>
  <c r="T79" i="24" s="1"/>
  <c r="Q71" i="24"/>
  <c r="T71" i="24" s="1"/>
  <c r="Q63" i="24"/>
  <c r="T63" i="24" s="1"/>
  <c r="Q55" i="24"/>
  <c r="T55" i="24" s="1"/>
  <c r="Q47" i="24"/>
  <c r="T47" i="24" s="1"/>
  <c r="Q39" i="24"/>
  <c r="T39" i="24" s="1"/>
  <c r="Q31" i="24"/>
  <c r="T31" i="24" s="1"/>
  <c r="Q23" i="24"/>
  <c r="T23" i="24" s="1"/>
  <c r="Q15" i="24"/>
  <c r="T15" i="24" s="1"/>
  <c r="Q7" i="24"/>
  <c r="T7" i="24" s="1"/>
  <c r="Q190" i="24"/>
  <c r="T190" i="24" s="1"/>
  <c r="Q182" i="24"/>
  <c r="T182" i="24" s="1"/>
  <c r="Q174" i="24"/>
  <c r="T174" i="24" s="1"/>
  <c r="Q166" i="24"/>
  <c r="T166" i="24" s="1"/>
  <c r="Q158" i="24"/>
  <c r="T158" i="24" s="1"/>
  <c r="Q150" i="24"/>
  <c r="T150" i="24" s="1"/>
  <c r="Q142" i="24"/>
  <c r="T142" i="24" s="1"/>
  <c r="Q134" i="24"/>
  <c r="T134" i="24" s="1"/>
  <c r="Q126" i="24"/>
  <c r="T126" i="24" s="1"/>
  <c r="Q118" i="24"/>
  <c r="T118" i="24" s="1"/>
  <c r="Q110" i="24"/>
  <c r="T110" i="24" s="1"/>
  <c r="Q102" i="24"/>
  <c r="T102" i="24" s="1"/>
  <c r="Q94" i="24"/>
  <c r="T94" i="24" s="1"/>
  <c r="Q86" i="24"/>
  <c r="T86" i="24" s="1"/>
  <c r="Q78" i="24"/>
  <c r="T78" i="24" s="1"/>
  <c r="Q70" i="24"/>
  <c r="T70" i="24" s="1"/>
  <c r="Q62" i="24"/>
  <c r="T62" i="24" s="1"/>
  <c r="Q54" i="24"/>
  <c r="T54" i="24" s="1"/>
  <c r="Q46" i="24"/>
  <c r="T46" i="24" s="1"/>
  <c r="Q38" i="24"/>
  <c r="T38" i="24" s="1"/>
  <c r="Q30" i="24"/>
  <c r="Q22" i="24"/>
  <c r="T22" i="24" s="1"/>
  <c r="Q14" i="24"/>
  <c r="T14" i="24" s="1"/>
  <c r="Q6" i="24"/>
  <c r="T6" i="24" s="1"/>
  <c r="Q21" i="24"/>
  <c r="T21" i="24" s="1"/>
  <c r="G192" i="24"/>
  <c r="M192" i="24" s="1"/>
  <c r="P192" i="24" s="1"/>
  <c r="G109" i="24"/>
  <c r="M109" i="24" s="1"/>
  <c r="G124" i="24"/>
  <c r="M124" i="24" s="1"/>
  <c r="P124" i="24" s="1"/>
  <c r="G182" i="24"/>
  <c r="M182" i="24" s="1"/>
  <c r="P182" i="24" s="1"/>
  <c r="G70" i="24"/>
  <c r="M70" i="24" s="1"/>
  <c r="P70" i="24" s="1"/>
  <c r="G114" i="24"/>
  <c r="G151" i="24"/>
  <c r="M151" i="24" s="1"/>
  <c r="P151" i="24" s="1"/>
  <c r="G53" i="24"/>
  <c r="G175" i="24"/>
  <c r="M175" i="24" s="1"/>
  <c r="P175" i="24" s="1"/>
  <c r="G101" i="24"/>
  <c r="M101" i="24" s="1"/>
  <c r="P101" i="24" s="1"/>
  <c r="G62" i="24"/>
  <c r="M62" i="24" s="1"/>
  <c r="P62" i="24" s="1"/>
  <c r="G160" i="24"/>
  <c r="M160" i="24" s="1"/>
  <c r="G43" i="24"/>
  <c r="M43" i="24" s="1"/>
  <c r="P43" i="24" s="1"/>
  <c r="G148" i="24"/>
  <c r="G181" i="24"/>
  <c r="M181" i="24" s="1"/>
  <c r="P181" i="24" s="1"/>
  <c r="G82" i="24"/>
  <c r="M82" i="24" s="1"/>
  <c r="P82" i="24" s="1"/>
  <c r="G100" i="24"/>
  <c r="M100" i="24" s="1"/>
  <c r="P100" i="24" s="1"/>
  <c r="G16" i="24"/>
  <c r="M16" i="24" s="1"/>
  <c r="G144" i="24"/>
  <c r="M144" i="24" s="1"/>
  <c r="P144" i="24" s="1"/>
  <c r="G21" i="24"/>
  <c r="G60" i="24"/>
  <c r="G54" i="24"/>
  <c r="M54" i="24" s="1"/>
  <c r="P54" i="24" s="1"/>
  <c r="G176" i="24"/>
  <c r="M176" i="24" s="1"/>
  <c r="P176" i="24" s="1"/>
  <c r="G9" i="24"/>
  <c r="G137" i="24"/>
  <c r="M137" i="24" s="1"/>
  <c r="P137" i="24" s="1"/>
  <c r="G113" i="24"/>
  <c r="M113" i="24" s="1"/>
  <c r="P113" i="24" s="1"/>
  <c r="G44" i="24"/>
  <c r="M44" i="24" s="1"/>
  <c r="P44" i="24" s="1"/>
  <c r="G18" i="24"/>
  <c r="M18" i="24" s="1"/>
  <c r="P18" i="24" s="1"/>
  <c r="G93" i="24"/>
  <c r="G139" i="24"/>
  <c r="M139" i="24" s="1"/>
  <c r="P139" i="24" s="1"/>
  <c r="G85" i="24"/>
  <c r="M85" i="24" s="1"/>
  <c r="P85" i="24" s="1"/>
  <c r="G48" i="24"/>
  <c r="M48" i="24" s="1"/>
  <c r="P48" i="24" s="1"/>
  <c r="G156" i="24"/>
  <c r="U156" i="24" s="1"/>
  <c r="G184" i="24"/>
  <c r="M184" i="24" s="1"/>
  <c r="P184" i="24" s="1"/>
  <c r="G146" i="24"/>
  <c r="M146" i="24" s="1"/>
  <c r="P146" i="24" s="1"/>
  <c r="G122" i="24"/>
  <c r="M122" i="24" s="1"/>
  <c r="P122" i="24" s="1"/>
  <c r="G121" i="24"/>
  <c r="G10" i="24"/>
  <c r="M10" i="24" s="1"/>
  <c r="P10" i="24" s="1"/>
  <c r="G77" i="24"/>
  <c r="M77" i="24" s="1"/>
  <c r="P77" i="24" s="1"/>
  <c r="G108" i="24"/>
  <c r="M108" i="24" s="1"/>
  <c r="P108" i="24" s="1"/>
  <c r="G111" i="24"/>
  <c r="M111" i="24" s="1"/>
  <c r="P111" i="24" s="1"/>
  <c r="G186" i="24"/>
  <c r="M186" i="24" s="1"/>
  <c r="P186" i="24" s="1"/>
  <c r="G88" i="24"/>
  <c r="M88" i="24" s="1"/>
  <c r="P88" i="24" s="1"/>
  <c r="G66" i="24"/>
  <c r="G177" i="24"/>
  <c r="M177" i="24" s="1"/>
  <c r="P177" i="24" s="1"/>
  <c r="G78" i="24"/>
  <c r="M78" i="24" s="1"/>
  <c r="P78" i="24" s="1"/>
  <c r="G64" i="24"/>
  <c r="M64" i="24" s="1"/>
  <c r="P64" i="24" s="1"/>
  <c r="G129" i="24"/>
  <c r="G74" i="24"/>
  <c r="M74" i="24" s="1"/>
  <c r="P74" i="24" s="1"/>
  <c r="G86" i="24"/>
  <c r="U86" i="24" s="1"/>
  <c r="G106" i="24"/>
  <c r="M106" i="24" s="1"/>
  <c r="P106" i="24" s="1"/>
  <c r="G166" i="24"/>
  <c r="M166" i="24" s="1"/>
  <c r="P166" i="24" s="1"/>
  <c r="G28" i="24"/>
  <c r="M28" i="24" s="1"/>
  <c r="P28" i="24" s="1"/>
  <c r="G179" i="24"/>
  <c r="M179" i="24" s="1"/>
  <c r="P179" i="24" s="1"/>
  <c r="G154" i="24"/>
  <c r="M154" i="24" s="1"/>
  <c r="P154" i="24" s="1"/>
  <c r="G30" i="24"/>
  <c r="G133" i="24"/>
  <c r="M133" i="24" s="1"/>
  <c r="P133" i="24" s="1"/>
  <c r="G55" i="24"/>
  <c r="M55" i="24" s="1"/>
  <c r="P55" i="24" s="1"/>
  <c r="G187" i="24"/>
  <c r="M187" i="24" s="1"/>
  <c r="P187" i="24" s="1"/>
  <c r="G46" i="24"/>
  <c r="G172" i="24"/>
  <c r="M172" i="24" s="1"/>
  <c r="P172" i="24" s="1"/>
  <c r="G117" i="24"/>
  <c r="G110" i="24"/>
  <c r="M110" i="24" s="1"/>
  <c r="P110" i="24" s="1"/>
  <c r="G155" i="24"/>
  <c r="M155" i="24" s="1"/>
  <c r="P155" i="24" s="1"/>
  <c r="G103" i="24"/>
  <c r="M103" i="24" s="1"/>
  <c r="P103" i="24" s="1"/>
  <c r="G87" i="24"/>
  <c r="G158" i="24"/>
  <c r="G161" i="24"/>
  <c r="G34" i="24"/>
  <c r="M34" i="24" s="1"/>
  <c r="P34" i="24" s="1"/>
  <c r="G71" i="24"/>
  <c r="M71" i="24" s="1"/>
  <c r="P71" i="24" s="1"/>
  <c r="G96" i="24"/>
  <c r="M96" i="24" s="1"/>
  <c r="P96" i="24" s="1"/>
  <c r="G75" i="24"/>
  <c r="G19" i="24"/>
  <c r="M19" i="24" s="1"/>
  <c r="P19" i="24" s="1"/>
  <c r="G168" i="24"/>
  <c r="U168" i="24" s="1"/>
  <c r="G91" i="24"/>
  <c r="M91" i="24" s="1"/>
  <c r="P91" i="24" s="1"/>
  <c r="G190" i="24"/>
  <c r="G185" i="24"/>
  <c r="M185" i="24" s="1"/>
  <c r="P185" i="24" s="1"/>
  <c r="G147" i="24"/>
  <c r="M147" i="24" s="1"/>
  <c r="P147" i="24" s="1"/>
  <c r="G145" i="24"/>
  <c r="M145" i="24" s="1"/>
  <c r="P145" i="24" s="1"/>
  <c r="G50" i="24"/>
  <c r="M50" i="24" s="1"/>
  <c r="P50" i="24" s="1"/>
  <c r="G45" i="24"/>
  <c r="M45" i="24" s="1"/>
  <c r="P45" i="24" s="1"/>
  <c r="G89" i="24"/>
  <c r="M89" i="24" s="1"/>
  <c r="P89" i="24" s="1"/>
  <c r="G29" i="24"/>
  <c r="M29" i="24" s="1"/>
  <c r="P29" i="24" s="1"/>
  <c r="G162" i="24"/>
  <c r="M162" i="24" s="1"/>
  <c r="P162" i="24" s="1"/>
  <c r="G24" i="24"/>
  <c r="M24" i="24" s="1"/>
  <c r="P24" i="24" s="1"/>
  <c r="G163" i="24"/>
  <c r="M163" i="24" s="1"/>
  <c r="P163" i="24" s="1"/>
  <c r="G13" i="24"/>
  <c r="M13" i="24" s="1"/>
  <c r="P13" i="24" s="1"/>
  <c r="G134" i="24"/>
  <c r="G115" i="24"/>
  <c r="M115" i="24" s="1"/>
  <c r="P115" i="24" s="1"/>
  <c r="G95" i="24"/>
  <c r="M95" i="24" s="1"/>
  <c r="P95" i="24" s="1"/>
  <c r="G112" i="24"/>
  <c r="M112" i="24" s="1"/>
  <c r="P112" i="24" s="1"/>
  <c r="G31" i="24"/>
  <c r="G79" i="24"/>
  <c r="M79" i="24" s="1"/>
  <c r="P79" i="24" s="1"/>
  <c r="G116" i="24"/>
  <c r="G99" i="24"/>
  <c r="M99" i="24" s="1"/>
  <c r="P99" i="24" s="1"/>
  <c r="G105" i="24"/>
  <c r="G35" i="24"/>
  <c r="M35" i="24" s="1"/>
  <c r="P35" i="24" s="1"/>
  <c r="G22" i="24"/>
  <c r="M22" i="24" s="1"/>
  <c r="P22" i="24" s="1"/>
  <c r="G104" i="24"/>
  <c r="M104" i="24" s="1"/>
  <c r="P104" i="24" s="1"/>
  <c r="G61" i="24"/>
  <c r="G130" i="24"/>
  <c r="G67" i="24"/>
  <c r="M67" i="24" s="1"/>
  <c r="P67" i="24" s="1"/>
  <c r="G72" i="24"/>
  <c r="M72" i="24" s="1"/>
  <c r="P72" i="24" s="1"/>
  <c r="G118" i="24"/>
  <c r="G159" i="24"/>
  <c r="M159" i="24" s="1"/>
  <c r="P159" i="24" s="1"/>
  <c r="G142" i="24"/>
  <c r="M142" i="24" s="1"/>
  <c r="P142" i="24" s="1"/>
  <c r="G90" i="24"/>
  <c r="M90" i="24" s="1"/>
  <c r="P90" i="24" s="1"/>
  <c r="G80" i="24"/>
  <c r="G51" i="24"/>
  <c r="M51" i="24" s="1"/>
  <c r="P51" i="24" s="1"/>
  <c r="G39" i="24"/>
  <c r="M39" i="24" s="1"/>
  <c r="P39" i="24" s="1"/>
  <c r="G165" i="24"/>
  <c r="M165" i="24" s="1"/>
  <c r="P165" i="24" s="1"/>
  <c r="G59" i="24"/>
  <c r="G52" i="24"/>
  <c r="M52" i="24" s="1"/>
  <c r="P52" i="24" s="1"/>
  <c r="G191" i="24"/>
  <c r="M191" i="24" s="1"/>
  <c r="P191" i="24" s="1"/>
  <c r="G23" i="24"/>
  <c r="M23" i="24" s="1"/>
  <c r="P23" i="24" s="1"/>
  <c r="G120" i="24"/>
  <c r="G57" i="24"/>
  <c r="M57" i="24" s="1"/>
  <c r="P57" i="24" s="1"/>
  <c r="G97" i="24"/>
  <c r="M97" i="24" s="1"/>
  <c r="P97" i="24" s="1"/>
  <c r="G33" i="24"/>
  <c r="M33" i="24" s="1"/>
  <c r="P33" i="24" s="1"/>
  <c r="G47" i="24"/>
  <c r="M47" i="24" s="1"/>
  <c r="P47" i="24" s="1"/>
  <c r="G25" i="24"/>
  <c r="M25" i="24" s="1"/>
  <c r="P25" i="24" s="1"/>
  <c r="G98" i="24"/>
  <c r="M98" i="24" s="1"/>
  <c r="P98" i="24" s="1"/>
  <c r="G58" i="24"/>
  <c r="M58" i="24" s="1"/>
  <c r="G94" i="24"/>
  <c r="G36" i="24"/>
  <c r="M36" i="24" s="1"/>
  <c r="P36" i="24" s="1"/>
  <c r="G152" i="24"/>
  <c r="M152" i="24" s="1"/>
  <c r="P152" i="24" s="1"/>
  <c r="G63" i="24"/>
  <c r="M63" i="24" s="1"/>
  <c r="P63" i="24" s="1"/>
  <c r="G76" i="24"/>
  <c r="G188" i="24"/>
  <c r="M188" i="24" s="1"/>
  <c r="P188" i="24" s="1"/>
  <c r="G174" i="24"/>
  <c r="G170" i="24"/>
  <c r="M170" i="24" s="1"/>
  <c r="P170" i="24" s="1"/>
  <c r="G68" i="24"/>
  <c r="M68" i="24" s="1"/>
  <c r="P68" i="24" s="1"/>
  <c r="G32" i="24"/>
  <c r="M32" i="24" s="1"/>
  <c r="G178" i="24"/>
  <c r="M178" i="24" s="1"/>
  <c r="P178" i="24" s="1"/>
  <c r="G125" i="24"/>
  <c r="M125" i="24" s="1"/>
  <c r="P125" i="24" s="1"/>
  <c r="G12" i="24"/>
  <c r="M12" i="24" s="1"/>
  <c r="P12" i="24" s="1"/>
  <c r="G143" i="24"/>
  <c r="M143" i="24" s="1"/>
  <c r="P143" i="24" s="1"/>
  <c r="G131" i="24"/>
  <c r="M131" i="24" s="1"/>
  <c r="P131" i="24" s="1"/>
  <c r="G8" i="24"/>
  <c r="M8" i="24" s="1"/>
  <c r="P8" i="24" s="1"/>
  <c r="G149" i="24"/>
  <c r="M149" i="24" s="1"/>
  <c r="P149" i="24" s="1"/>
  <c r="G157" i="24"/>
  <c r="M157" i="24" s="1"/>
  <c r="P157" i="24" s="1"/>
  <c r="G69" i="24"/>
  <c r="M69" i="24" s="1"/>
  <c r="P69" i="24" s="1"/>
  <c r="G173" i="24"/>
  <c r="M173" i="24" s="1"/>
  <c r="P173" i="24" s="1"/>
  <c r="G180" i="24"/>
  <c r="G83" i="24"/>
  <c r="G81" i="24"/>
  <c r="M81" i="24" s="1"/>
  <c r="P81" i="24" s="1"/>
  <c r="G126" i="24"/>
  <c r="M126" i="24" s="1"/>
  <c r="P126" i="24" s="1"/>
  <c r="G102" i="24"/>
  <c r="M102" i="24" s="1"/>
  <c r="P102" i="24" s="1"/>
  <c r="G92" i="24"/>
  <c r="M92" i="24" s="1"/>
  <c r="P92" i="24" s="1"/>
  <c r="G26" i="24"/>
  <c r="M26" i="24" s="1"/>
  <c r="P26" i="24" s="1"/>
  <c r="G193" i="24"/>
  <c r="M193" i="24" s="1"/>
  <c r="P193" i="24" s="1"/>
  <c r="G37" i="24"/>
  <c r="M37" i="24" s="1"/>
  <c r="P37" i="24" s="1"/>
  <c r="G20" i="24"/>
  <c r="G40" i="24"/>
  <c r="M40" i="24" s="1"/>
  <c r="P40" i="24" s="1"/>
  <c r="G136" i="24"/>
  <c r="M136" i="24" s="1"/>
  <c r="P136" i="24" s="1"/>
  <c r="G132" i="24"/>
  <c r="G119" i="24"/>
  <c r="M119" i="24" s="1"/>
  <c r="P119" i="24" s="1"/>
  <c r="G140" i="24"/>
  <c r="M140" i="24" s="1"/>
  <c r="P140" i="24" s="1"/>
  <c r="G135" i="24"/>
  <c r="M135" i="24" s="1"/>
  <c r="P135" i="24" s="1"/>
  <c r="G27" i="24"/>
  <c r="G183" i="24"/>
  <c r="M183" i="24" s="1"/>
  <c r="P183" i="24" s="1"/>
  <c r="G65" i="24"/>
  <c r="M65" i="24" s="1"/>
  <c r="G7" i="24"/>
  <c r="M7" i="24" s="1"/>
  <c r="P7" i="24" s="1"/>
  <c r="G153" i="24"/>
  <c r="G14" i="24"/>
  <c r="G123" i="24"/>
  <c r="M123" i="24" s="1"/>
  <c r="P123" i="24" s="1"/>
  <c r="G42" i="24"/>
  <c r="M42" i="24" s="1"/>
  <c r="P42" i="24" s="1"/>
  <c r="G189" i="24"/>
  <c r="G150" i="24"/>
  <c r="M150" i="24" s="1"/>
  <c r="P150" i="24" s="1"/>
  <c r="G56" i="24"/>
  <c r="M56" i="24" s="1"/>
  <c r="P56" i="24" s="1"/>
  <c r="G84" i="24"/>
  <c r="M84" i="24" s="1"/>
  <c r="P84" i="24" s="1"/>
  <c r="G11" i="24"/>
  <c r="M11" i="24" s="1"/>
  <c r="P11" i="24" s="1"/>
  <c r="Y6" i="24"/>
  <c r="U171" i="24"/>
  <c r="U164" i="24"/>
  <c r="U138" i="24"/>
  <c r="U41" i="24"/>
  <c r="M6" i="24"/>
  <c r="P6" i="24" s="1"/>
  <c r="U6" i="24"/>
  <c r="U49" i="24"/>
  <c r="U17" i="24"/>
  <c r="U107" i="24"/>
  <c r="U15" i="24"/>
  <c r="U38" i="24"/>
  <c r="U169" i="24"/>
  <c r="U141" i="24"/>
  <c r="M28" i="8"/>
  <c r="N28" i="8" s="1"/>
  <c r="L28" i="8"/>
  <c r="J28" i="8"/>
  <c r="I28" i="8"/>
  <c r="F28" i="8"/>
  <c r="H28" i="8" s="1"/>
  <c r="M27" i="8"/>
  <c r="N27" i="8" s="1"/>
  <c r="L27" i="8"/>
  <c r="J27" i="8"/>
  <c r="I27" i="8"/>
  <c r="F27" i="8"/>
  <c r="H27" i="8" s="1"/>
  <c r="M26" i="8"/>
  <c r="N26" i="8" s="1"/>
  <c r="L26" i="8"/>
  <c r="J26" i="8"/>
  <c r="I26" i="8"/>
  <c r="F26" i="8"/>
  <c r="H26" i="8" s="1"/>
  <c r="L25" i="8"/>
  <c r="I25" i="8"/>
  <c r="K25" i="8" s="1"/>
  <c r="F25" i="8"/>
  <c r="H25" i="8" s="1"/>
  <c r="M24" i="8"/>
  <c r="N24" i="8" s="1"/>
  <c r="L24" i="8"/>
  <c r="J24" i="8"/>
  <c r="I24" i="8"/>
  <c r="F24" i="8"/>
  <c r="H24" i="8" s="1"/>
  <c r="L23" i="8"/>
  <c r="J23" i="8"/>
  <c r="I23" i="8"/>
  <c r="F23" i="8"/>
  <c r="H23" i="8" s="1"/>
  <c r="M22" i="8"/>
  <c r="N22" i="8" s="1"/>
  <c r="L22" i="8"/>
  <c r="I22" i="8"/>
  <c r="K22" i="8" s="1"/>
  <c r="F22" i="8"/>
  <c r="H22" i="8" s="1"/>
  <c r="M21" i="8"/>
  <c r="N21" i="8" s="1"/>
  <c r="L21" i="8"/>
  <c r="J21" i="8"/>
  <c r="I21" i="8"/>
  <c r="F21" i="8"/>
  <c r="H21" i="8" s="1"/>
  <c r="M20" i="8"/>
  <c r="N20" i="8" s="1"/>
  <c r="L20" i="8"/>
  <c r="J20" i="8"/>
  <c r="I20" i="8"/>
  <c r="F20" i="8"/>
  <c r="H20" i="8" s="1"/>
  <c r="L19" i="8"/>
  <c r="J19" i="8"/>
  <c r="I19" i="8"/>
  <c r="F19" i="8"/>
  <c r="H19" i="8" s="1"/>
  <c r="M18" i="8"/>
  <c r="N18" i="8" s="1"/>
  <c r="L18" i="8"/>
  <c r="J18" i="8"/>
  <c r="I18" i="8"/>
  <c r="F18" i="8"/>
  <c r="H18" i="8" s="1"/>
  <c r="M17" i="8"/>
  <c r="L17" i="8"/>
  <c r="J17" i="8"/>
  <c r="I17" i="8"/>
  <c r="F17" i="8"/>
  <c r="H17" i="8" s="1"/>
  <c r="M16" i="8"/>
  <c r="N16" i="8" s="1"/>
  <c r="L16" i="8"/>
  <c r="J16" i="8"/>
  <c r="I16" i="8"/>
  <c r="G16" i="8"/>
  <c r="F16" i="8"/>
  <c r="D16" i="8"/>
  <c r="C16" i="8"/>
  <c r="L9" i="8"/>
  <c r="I9" i="8"/>
  <c r="K9" i="8" s="1"/>
  <c r="F9" i="8"/>
  <c r="H9" i="8" s="1"/>
  <c r="L8" i="8"/>
  <c r="I8" i="8"/>
  <c r="K8" i="8" s="1"/>
  <c r="F8" i="8"/>
  <c r="H8" i="8" s="1"/>
  <c r="M7" i="8"/>
  <c r="L7" i="8"/>
  <c r="J7" i="8"/>
  <c r="K7" i="8" s="1"/>
  <c r="I7" i="8"/>
  <c r="G7" i="8"/>
  <c r="H7" i="8" s="1"/>
  <c r="F7" i="8"/>
  <c r="D7" i="8"/>
  <c r="D35" i="8" s="1"/>
  <c r="C7" i="8"/>
  <c r="C35" i="8" s="1"/>
  <c r="F35" i="8" l="1"/>
  <c r="F10" i="8"/>
  <c r="L10" i="8"/>
  <c r="L35" i="8"/>
  <c r="I35" i="8"/>
  <c r="I10" i="8"/>
  <c r="K23" i="8"/>
  <c r="K18" i="8"/>
  <c r="K27" i="8"/>
  <c r="K28" i="8"/>
  <c r="N17" i="8"/>
  <c r="N29" i="8" s="1"/>
  <c r="K19" i="8"/>
  <c r="K24" i="8"/>
  <c r="K20" i="8"/>
  <c r="H16" i="8"/>
  <c r="K26" i="8"/>
  <c r="K16" i="8"/>
  <c r="K21" i="8"/>
  <c r="K17" i="8"/>
  <c r="U115" i="24"/>
  <c r="G35" i="8"/>
  <c r="M35" i="8"/>
  <c r="N7" i="8"/>
  <c r="J35" i="8"/>
  <c r="U103" i="24"/>
  <c r="U144" i="24"/>
  <c r="U52" i="24"/>
  <c r="U143" i="24"/>
  <c r="U139" i="24"/>
  <c r="U97" i="24"/>
  <c r="U92" i="24"/>
  <c r="U163" i="24"/>
  <c r="U150" i="24"/>
  <c r="U179" i="24"/>
  <c r="U172" i="24"/>
  <c r="U22" i="24"/>
  <c r="U100" i="24"/>
  <c r="U167" i="24"/>
  <c r="U157" i="24"/>
  <c r="U58" i="24"/>
  <c r="U151" i="24"/>
  <c r="U79" i="24"/>
  <c r="U186" i="24"/>
  <c r="U57" i="24"/>
  <c r="U33" i="24"/>
  <c r="U159" i="24"/>
  <c r="U88" i="24"/>
  <c r="U145" i="24"/>
  <c r="U173" i="24"/>
  <c r="U104" i="24"/>
  <c r="U123" i="24"/>
  <c r="U125" i="24"/>
  <c r="U165" i="24"/>
  <c r="U185" i="24"/>
  <c r="U72" i="24"/>
  <c r="U119" i="24"/>
  <c r="U152" i="24"/>
  <c r="U28" i="24"/>
  <c r="U13" i="24"/>
  <c r="U142" i="24"/>
  <c r="U64" i="24"/>
  <c r="U40" i="24"/>
  <c r="U16" i="24"/>
  <c r="U187" i="24"/>
  <c r="U42" i="24"/>
  <c r="U111" i="24"/>
  <c r="U91" i="24"/>
  <c r="U34" i="24"/>
  <c r="U26" i="24"/>
  <c r="U175" i="24"/>
  <c r="U44" i="24"/>
  <c r="U193" i="24"/>
  <c r="U99" i="24"/>
  <c r="U192" i="24"/>
  <c r="U54" i="24"/>
  <c r="U131" i="24"/>
  <c r="U149" i="24"/>
  <c r="U29" i="24"/>
  <c r="U98" i="24"/>
  <c r="U39" i="24"/>
  <c r="U147" i="24"/>
  <c r="U95" i="24"/>
  <c r="U155" i="24"/>
  <c r="U96" i="24"/>
  <c r="U153" i="24"/>
  <c r="M153" i="24"/>
  <c r="P153" i="24" s="1"/>
  <c r="U83" i="24"/>
  <c r="M83" i="24"/>
  <c r="P83" i="24" s="1"/>
  <c r="U134" i="24"/>
  <c r="M134" i="24"/>
  <c r="P134" i="24" s="1"/>
  <c r="U190" i="24"/>
  <c r="M190" i="24"/>
  <c r="P190" i="24" s="1"/>
  <c r="U136" i="24"/>
  <c r="U62" i="24"/>
  <c r="U180" i="24"/>
  <c r="M180" i="24"/>
  <c r="P180" i="24" s="1"/>
  <c r="U80" i="24"/>
  <c r="M80" i="24"/>
  <c r="P80" i="24" s="1"/>
  <c r="M86" i="24"/>
  <c r="P86" i="24" s="1"/>
  <c r="M156" i="24"/>
  <c r="P156" i="24" s="1"/>
  <c r="U93" i="24"/>
  <c r="M93" i="24"/>
  <c r="P93" i="24" s="1"/>
  <c r="U105" i="24"/>
  <c r="M105" i="24"/>
  <c r="P105" i="24" s="1"/>
  <c r="U184" i="24"/>
  <c r="U84" i="24"/>
  <c r="U32" i="24"/>
  <c r="U132" i="24"/>
  <c r="M132" i="24"/>
  <c r="P132" i="24" s="1"/>
  <c r="U130" i="24"/>
  <c r="M130" i="24"/>
  <c r="P130" i="24" s="1"/>
  <c r="U116" i="24"/>
  <c r="M116" i="24"/>
  <c r="M168" i="24"/>
  <c r="P168" i="24" s="1"/>
  <c r="U117" i="24"/>
  <c r="M117" i="24"/>
  <c r="P117" i="24" s="1"/>
  <c r="U30" i="24"/>
  <c r="M30" i="24"/>
  <c r="P30" i="24" s="1"/>
  <c r="U66" i="24"/>
  <c r="M66" i="24"/>
  <c r="P66" i="24" s="1"/>
  <c r="U60" i="24"/>
  <c r="M60" i="24"/>
  <c r="P60" i="24" s="1"/>
  <c r="U148" i="24"/>
  <c r="M148" i="24"/>
  <c r="P148" i="24" s="1"/>
  <c r="U53" i="24"/>
  <c r="M53" i="24"/>
  <c r="P53" i="24" s="1"/>
  <c r="U21" i="24"/>
  <c r="M21" i="24"/>
  <c r="P21" i="24" s="1"/>
  <c r="U81" i="24"/>
  <c r="U124" i="24"/>
  <c r="U77" i="24"/>
  <c r="U174" i="24"/>
  <c r="M174" i="24"/>
  <c r="P174" i="24" s="1"/>
  <c r="U94" i="24"/>
  <c r="M94" i="24"/>
  <c r="P94" i="24" s="1"/>
  <c r="U59" i="24"/>
  <c r="M59" i="24"/>
  <c r="P59" i="24" s="1"/>
  <c r="U31" i="24"/>
  <c r="M31" i="24"/>
  <c r="P31" i="24" s="1"/>
  <c r="U158" i="24"/>
  <c r="M158" i="24"/>
  <c r="P158" i="24" s="1"/>
  <c r="U46" i="24"/>
  <c r="M46" i="24"/>
  <c r="P46" i="24" s="1"/>
  <c r="U129" i="24"/>
  <c r="M129" i="24"/>
  <c r="P129" i="24" s="1"/>
  <c r="U114" i="24"/>
  <c r="M114" i="24"/>
  <c r="U76" i="24"/>
  <c r="M76" i="24"/>
  <c r="P76" i="24" s="1"/>
  <c r="U9" i="24"/>
  <c r="M9" i="24"/>
  <c r="P9" i="24" s="1"/>
  <c r="U61" i="24"/>
  <c r="M61" i="24"/>
  <c r="P61" i="24" s="1"/>
  <c r="U24" i="24"/>
  <c r="U176" i="24"/>
  <c r="U27" i="24"/>
  <c r="M27" i="24"/>
  <c r="P27" i="24" s="1"/>
  <c r="U20" i="24"/>
  <c r="M20" i="24"/>
  <c r="P20" i="24" s="1"/>
  <c r="U75" i="24"/>
  <c r="M75" i="24"/>
  <c r="P75" i="24" s="1"/>
  <c r="U87" i="24"/>
  <c r="M87" i="24"/>
  <c r="P87" i="24" s="1"/>
  <c r="U189" i="24"/>
  <c r="M189" i="24"/>
  <c r="P189" i="24" s="1"/>
  <c r="U161" i="24"/>
  <c r="M161" i="24"/>
  <c r="U121" i="24"/>
  <c r="M121" i="24"/>
  <c r="P121" i="24" s="1"/>
  <c r="U154" i="24"/>
  <c r="U63" i="24"/>
  <c r="U170" i="24"/>
  <c r="U14" i="24"/>
  <c r="M14" i="24"/>
  <c r="P14" i="24" s="1"/>
  <c r="U120" i="24"/>
  <c r="M120" i="24"/>
  <c r="P120" i="24" s="1"/>
  <c r="U118" i="24"/>
  <c r="M118" i="24"/>
  <c r="P118" i="24" s="1"/>
  <c r="U112" i="24"/>
  <c r="U181" i="24"/>
  <c r="U106" i="24"/>
  <c r="U101" i="24"/>
  <c r="U7" i="24"/>
  <c r="U135" i="24"/>
  <c r="U70" i="24"/>
  <c r="U182" i="24"/>
  <c r="L29" i="8"/>
  <c r="R26" i="8"/>
  <c r="R27" i="8"/>
  <c r="R28" i="8"/>
  <c r="F29" i="8"/>
  <c r="I29" i="8"/>
  <c r="R9" i="8"/>
  <c r="E16" i="8"/>
  <c r="R16" i="8" s="1"/>
  <c r="R17" i="8"/>
  <c r="R18" i="8"/>
  <c r="R19" i="8"/>
  <c r="R20" i="8"/>
  <c r="R21" i="8"/>
  <c r="R22" i="8"/>
  <c r="R23" i="8"/>
  <c r="E7" i="8"/>
  <c r="R24" i="8"/>
  <c r="R25" i="8"/>
  <c r="U146" i="24"/>
  <c r="U137" i="24"/>
  <c r="U47" i="24"/>
  <c r="U43" i="24"/>
  <c r="U127" i="24"/>
  <c r="U133" i="24"/>
  <c r="U78" i="24"/>
  <c r="U126" i="24"/>
  <c r="U56" i="24"/>
  <c r="U82" i="24"/>
  <c r="U25" i="24"/>
  <c r="U140" i="24"/>
  <c r="U50" i="24"/>
  <c r="U45" i="24"/>
  <c r="U51" i="24"/>
  <c r="U108" i="24"/>
  <c r="U23" i="24"/>
  <c r="U18" i="24"/>
  <c r="U191" i="24"/>
  <c r="U73" i="24"/>
  <c r="U12" i="24"/>
  <c r="U8" i="24"/>
  <c r="U110" i="24"/>
  <c r="U48" i="24"/>
  <c r="U178" i="24"/>
  <c r="U89" i="24"/>
  <c r="U113" i="24"/>
  <c r="U10" i="24"/>
  <c r="U102" i="24"/>
  <c r="U37" i="24"/>
  <c r="U160" i="24"/>
  <c r="U65" i="24"/>
  <c r="U67" i="24"/>
  <c r="U68" i="24"/>
  <c r="U85" i="24"/>
  <c r="U128" i="24"/>
  <c r="U35" i="24"/>
  <c r="U177" i="24"/>
  <c r="U71" i="24"/>
  <c r="U183" i="24"/>
  <c r="U122" i="24"/>
  <c r="U55" i="24"/>
  <c r="U74" i="24"/>
  <c r="U162" i="24"/>
  <c r="U90" i="24"/>
  <c r="U36" i="24"/>
  <c r="U188" i="24"/>
  <c r="U109" i="24"/>
  <c r="U11" i="24"/>
  <c r="U19" i="24"/>
  <c r="U166" i="24"/>
  <c r="U69" i="24"/>
  <c r="R8" i="8"/>
  <c r="Z117" i="24" l="1"/>
  <c r="K10" i="8"/>
  <c r="K35" i="8"/>
  <c r="N35" i="8"/>
  <c r="N10" i="8"/>
  <c r="R7" i="8"/>
  <c r="P7" i="8" s="1"/>
  <c r="E35" i="8"/>
  <c r="R35" i="8" s="1"/>
  <c r="H35" i="8"/>
  <c r="H10" i="8"/>
  <c r="H29" i="8"/>
  <c r="K29" i="8"/>
  <c r="P10" i="8" l="1"/>
  <c r="O29" i="8" l="1"/>
  <c r="P27" i="8" l="1"/>
  <c r="P28" i="8"/>
  <c r="P26" i="8"/>
  <c r="L36" i="8"/>
  <c r="H36" i="8"/>
  <c r="O36" i="8"/>
  <c r="I36" i="8" l="1"/>
  <c r="F36" i="8"/>
  <c r="K36" i="8"/>
  <c r="N36" i="8"/>
  <c r="M2" i="9"/>
  <c r="S12" i="9"/>
  <c r="V29" i="24" s="1"/>
  <c r="S28" i="9"/>
  <c r="V123" i="24" s="1"/>
  <c r="S36" i="9"/>
  <c r="V126" i="24" s="1"/>
  <c r="S99" i="9"/>
  <c r="V176" i="24" s="1"/>
  <c r="S172" i="9"/>
  <c r="V19" i="24" s="1"/>
  <c r="S6" i="9"/>
  <c r="V24" i="24" s="1"/>
  <c r="S8" i="9"/>
  <c r="V59" i="24" s="1"/>
  <c r="S24" i="9"/>
  <c r="V43" i="24" s="1"/>
  <c r="S47" i="9"/>
  <c r="V16" i="24" s="1"/>
  <c r="S51" i="9"/>
  <c r="V10" i="24" s="1"/>
  <c r="S66" i="9"/>
  <c r="V17" i="24" s="1"/>
  <c r="S67" i="9"/>
  <c r="V157" i="24" s="1"/>
  <c r="S72" i="9"/>
  <c r="V61" i="24" s="1"/>
  <c r="S74" i="9"/>
  <c r="V7" i="24" s="1"/>
  <c r="S76" i="9"/>
  <c r="V38" i="24" s="1"/>
  <c r="S84" i="9"/>
  <c r="V49" i="24" s="1"/>
  <c r="S85" i="9"/>
  <c r="V23" i="24" s="1"/>
  <c r="S95" i="9"/>
  <c r="V103" i="24" s="1"/>
  <c r="S101" i="9"/>
  <c r="V159" i="24" s="1"/>
  <c r="S110" i="9"/>
  <c r="V114" i="24" s="1"/>
  <c r="S112" i="9"/>
  <c r="V142" i="24" s="1"/>
  <c r="S114" i="9"/>
  <c r="V106" i="24" s="1"/>
  <c r="S119" i="9"/>
  <c r="V13" i="24" s="1"/>
  <c r="S121" i="9"/>
  <c r="V191" i="24" s="1"/>
  <c r="S130" i="9"/>
  <c r="V72" i="24" s="1"/>
  <c r="S135" i="9"/>
  <c r="V54" i="24" s="1"/>
  <c r="S136" i="9"/>
  <c r="V118" i="24" s="1"/>
  <c r="S142" i="9"/>
  <c r="V99" i="24" s="1"/>
  <c r="S147" i="9"/>
  <c r="V109" i="24" s="1"/>
  <c r="S148" i="9"/>
  <c r="V47" i="24" s="1"/>
  <c r="S149" i="9"/>
  <c r="V184" i="24" s="1"/>
  <c r="S150" i="9"/>
  <c r="V115" i="24" s="1"/>
  <c r="S155" i="9"/>
  <c r="V15" i="24" s="1"/>
  <c r="S157" i="9"/>
  <c r="V141" i="24" s="1"/>
  <c r="S159" i="9"/>
  <c r="V85" i="24" s="1"/>
  <c r="S161" i="9"/>
  <c r="V161" i="24" s="1"/>
  <c r="S162" i="9"/>
  <c r="V112" i="24" s="1"/>
  <c r="S164" i="9"/>
  <c r="V94" i="24" s="1"/>
  <c r="S169" i="9"/>
  <c r="V82" i="24" s="1"/>
  <c r="S171" i="9"/>
  <c r="V160" i="24" s="1"/>
  <c r="S174" i="9"/>
  <c r="V90" i="24" s="1"/>
  <c r="S181" i="9"/>
  <c r="V113" i="24" s="1"/>
  <c r="S182" i="9"/>
  <c r="V84" i="24" s="1"/>
  <c r="S185" i="9"/>
  <c r="V186" i="24" s="1"/>
  <c r="S187" i="9"/>
  <c r="V180" i="24" s="1"/>
  <c r="S188" i="9"/>
  <c r="V156" i="24" s="1"/>
  <c r="S189" i="9"/>
  <c r="V107" i="24" s="1"/>
  <c r="O2" i="9"/>
  <c r="X84" i="24" l="1"/>
  <c r="Z84" i="24" s="1"/>
  <c r="X113" i="24"/>
  <c r="Z113" i="24" s="1"/>
  <c r="X54" i="24"/>
  <c r="Z54" i="24" s="1"/>
  <c r="X103" i="24"/>
  <c r="Z103" i="24" s="1"/>
  <c r="X10" i="24"/>
  <c r="Z10" i="24" s="1"/>
  <c r="X123" i="24"/>
  <c r="Z123" i="24" s="1"/>
  <c r="X118" i="24"/>
  <c r="Z118" i="24" s="1"/>
  <c r="X90" i="24"/>
  <c r="Z90" i="24" s="1"/>
  <c r="X15" i="24"/>
  <c r="Z15" i="24" s="1"/>
  <c r="X72" i="24"/>
  <c r="Z72" i="24" s="1"/>
  <c r="X23" i="24"/>
  <c r="Z23" i="24" s="1"/>
  <c r="X16" i="24"/>
  <c r="Z16" i="24" s="1"/>
  <c r="X29" i="24"/>
  <c r="Z29" i="24" s="1"/>
  <c r="X17" i="24"/>
  <c r="Z17" i="24" s="1"/>
  <c r="X126" i="24"/>
  <c r="Z126" i="24" s="1"/>
  <c r="X141" i="24"/>
  <c r="Z141" i="24" s="1"/>
  <c r="X160" i="24"/>
  <c r="Z160" i="24" s="1"/>
  <c r="X115" i="24"/>
  <c r="Z115" i="24" s="1"/>
  <c r="X191" i="24"/>
  <c r="Z191" i="24" s="1"/>
  <c r="X49" i="24"/>
  <c r="Z49" i="24" s="1"/>
  <c r="X43" i="24"/>
  <c r="Z43" i="24" s="1"/>
  <c r="X159" i="24"/>
  <c r="Z159" i="24" s="1"/>
  <c r="X82" i="24"/>
  <c r="Z82" i="24" s="1"/>
  <c r="X184" i="24"/>
  <c r="Z184" i="24" s="1"/>
  <c r="X13" i="24"/>
  <c r="Z13" i="24" s="1"/>
  <c r="X38" i="24"/>
  <c r="Z38" i="24" s="1"/>
  <c r="X59" i="24"/>
  <c r="Z59" i="24" s="1"/>
  <c r="X107" i="24"/>
  <c r="Z107" i="24" s="1"/>
  <c r="X94" i="24"/>
  <c r="Z94" i="24" s="1"/>
  <c r="X47" i="24"/>
  <c r="Z47" i="24" s="1"/>
  <c r="X106" i="24"/>
  <c r="Z106" i="24" s="1"/>
  <c r="X7" i="24"/>
  <c r="Z7" i="24" s="1"/>
  <c r="X24" i="24"/>
  <c r="Z24" i="24" s="1"/>
  <c r="X180" i="24"/>
  <c r="Z180" i="24" s="1"/>
  <c r="X112" i="24"/>
  <c r="Z112" i="24" s="1"/>
  <c r="X109" i="24"/>
  <c r="Z109" i="24" s="1"/>
  <c r="X142" i="24"/>
  <c r="Z142" i="24" s="1"/>
  <c r="X61" i="24"/>
  <c r="Z61" i="24" s="1"/>
  <c r="X19" i="24"/>
  <c r="Z19" i="24" s="1"/>
  <c r="X85" i="24"/>
  <c r="Z85" i="24" s="1"/>
  <c r="X156" i="24"/>
  <c r="Z156" i="24" s="1"/>
  <c r="X186" i="24"/>
  <c r="Z186" i="24" s="1"/>
  <c r="X161" i="24"/>
  <c r="Z161" i="24" s="1"/>
  <c r="X99" i="24"/>
  <c r="Z99" i="24" s="1"/>
  <c r="X114" i="24"/>
  <c r="Z114" i="24" s="1"/>
  <c r="X157" i="24"/>
  <c r="Z157" i="24" s="1"/>
  <c r="X176" i="24"/>
  <c r="Z176" i="24" s="1"/>
  <c r="N32" i="24"/>
  <c r="P32" i="24" s="1"/>
  <c r="W109" i="24"/>
  <c r="W61" i="24"/>
  <c r="W160" i="24"/>
  <c r="W180" i="24"/>
  <c r="W16" i="24"/>
  <c r="W191" i="24"/>
  <c r="W82" i="24"/>
  <c r="W159" i="24"/>
  <c r="W10" i="24"/>
  <c r="W99" i="24"/>
  <c r="W85" i="24"/>
  <c r="W117" i="24"/>
  <c r="W114" i="24"/>
  <c r="W29" i="24"/>
  <c r="W90" i="24"/>
  <c r="W59" i="24"/>
  <c r="W19" i="24"/>
  <c r="W15" i="24"/>
  <c r="W176" i="24"/>
  <c r="W17" i="24"/>
  <c r="W24" i="24"/>
  <c r="W156" i="24"/>
  <c r="W115" i="24"/>
  <c r="W72" i="24"/>
  <c r="W23" i="24"/>
  <c r="W94" i="24"/>
  <c r="W47" i="24"/>
  <c r="W49" i="24"/>
  <c r="W126" i="24"/>
  <c r="S180" i="9"/>
  <c r="V151" i="24" s="1"/>
  <c r="S156" i="9"/>
  <c r="V185" i="24" s="1"/>
  <c r="S140" i="9"/>
  <c r="V169" i="24" s="1"/>
  <c r="S132" i="9"/>
  <c r="V153" i="24" s="1"/>
  <c r="S124" i="9"/>
  <c r="V66" i="24" s="1"/>
  <c r="S116" i="9"/>
  <c r="V89" i="24" s="1"/>
  <c r="S108" i="9"/>
  <c r="V41" i="24" s="1"/>
  <c r="S100" i="9"/>
  <c r="V178" i="24" s="1"/>
  <c r="S92" i="9"/>
  <c r="V167" i="24" s="1"/>
  <c r="S68" i="9"/>
  <c r="V140" i="24" s="1"/>
  <c r="S60" i="9"/>
  <c r="V127" i="24" s="1"/>
  <c r="S52" i="9"/>
  <c r="V171" i="24" s="1"/>
  <c r="S44" i="9"/>
  <c r="V57" i="24" s="1"/>
  <c r="S20" i="9"/>
  <c r="V101" i="24" s="1"/>
  <c r="W112" i="24"/>
  <c r="W106" i="24"/>
  <c r="W38" i="24"/>
  <c r="W123" i="24"/>
  <c r="S179" i="9"/>
  <c r="V91" i="24" s="1"/>
  <c r="S163" i="9"/>
  <c r="V148" i="24" s="1"/>
  <c r="S139" i="9"/>
  <c r="V111" i="24" s="1"/>
  <c r="S131" i="9"/>
  <c r="V63" i="24" s="1"/>
  <c r="S123" i="9"/>
  <c r="V27" i="24" s="1"/>
  <c r="S115" i="9"/>
  <c r="V134" i="24" s="1"/>
  <c r="S107" i="9"/>
  <c r="V74" i="24" s="1"/>
  <c r="S91" i="9"/>
  <c r="V35" i="24" s="1"/>
  <c r="S83" i="9"/>
  <c r="V98" i="24" s="1"/>
  <c r="S75" i="9"/>
  <c r="V183" i="24" s="1"/>
  <c r="S59" i="9"/>
  <c r="V93" i="24" s="1"/>
  <c r="W7" i="24"/>
  <c r="S43" i="9"/>
  <c r="V188" i="24" s="1"/>
  <c r="S35" i="9"/>
  <c r="V50" i="24" s="1"/>
  <c r="S27" i="9"/>
  <c r="V120" i="24" s="1"/>
  <c r="S19" i="9"/>
  <c r="V131" i="24" s="1"/>
  <c r="S11" i="9"/>
  <c r="V30" i="24" s="1"/>
  <c r="S3" i="9"/>
  <c r="V88" i="24" s="1"/>
  <c r="S177" i="9"/>
  <c r="V190" i="24" s="1"/>
  <c r="S153" i="9"/>
  <c r="V177" i="24" s="1"/>
  <c r="S145" i="9"/>
  <c r="V83" i="24" s="1"/>
  <c r="S129" i="9"/>
  <c r="V20" i="24" s="1"/>
  <c r="S105" i="9"/>
  <c r="V73" i="24" s="1"/>
  <c r="S73" i="9"/>
  <c r="V51" i="24" s="1"/>
  <c r="S33" i="9"/>
  <c r="V136" i="24" s="1"/>
  <c r="S17" i="9"/>
  <c r="V70" i="24" s="1"/>
  <c r="S113" i="9"/>
  <c r="V56" i="24" s="1"/>
  <c r="S97" i="9"/>
  <c r="V75" i="24" s="1"/>
  <c r="S89" i="9"/>
  <c r="V129" i="24" s="1"/>
  <c r="S81" i="9"/>
  <c r="V18" i="24" s="1"/>
  <c r="S65" i="9"/>
  <c r="V138" i="24" s="1"/>
  <c r="S57" i="9"/>
  <c r="V144" i="24" s="1"/>
  <c r="S49" i="9"/>
  <c r="V45" i="24" s="1"/>
  <c r="S41" i="9"/>
  <c r="V163" i="24" s="1"/>
  <c r="S25" i="9"/>
  <c r="V81" i="24" s="1"/>
  <c r="S9" i="9"/>
  <c r="V6" i="24" s="1"/>
  <c r="X6" i="24" s="1"/>
  <c r="S186" i="9"/>
  <c r="V8" i="24" s="1"/>
  <c r="S154" i="9"/>
  <c r="V100" i="24" s="1"/>
  <c r="S122" i="9"/>
  <c r="V26" i="24" s="1"/>
  <c r="S82" i="9"/>
  <c r="V139" i="24" s="1"/>
  <c r="X139" i="24" s="1"/>
  <c r="S10" i="9"/>
  <c r="V92" i="24" s="1"/>
  <c r="S170" i="9"/>
  <c r="V80" i="24" s="1"/>
  <c r="S146" i="9"/>
  <c r="V11" i="24" s="1"/>
  <c r="S98" i="9"/>
  <c r="V104" i="24" s="1"/>
  <c r="S58" i="9"/>
  <c r="V21" i="24" s="1"/>
  <c r="S42" i="9"/>
  <c r="V128" i="24" s="1"/>
  <c r="S18" i="9"/>
  <c r="V62" i="24" s="1"/>
  <c r="S178" i="9"/>
  <c r="V14" i="24" s="1"/>
  <c r="S138" i="9"/>
  <c r="V46" i="24" s="1"/>
  <c r="S106" i="9"/>
  <c r="V110" i="24" s="1"/>
  <c r="S90" i="9"/>
  <c r="V79" i="24" s="1"/>
  <c r="S50" i="9"/>
  <c r="V147" i="24" s="1"/>
  <c r="S34" i="9"/>
  <c r="V64" i="24" s="1"/>
  <c r="S26" i="9"/>
  <c r="V137" i="24" s="1"/>
  <c r="S176" i="9"/>
  <c r="V150" i="24" s="1"/>
  <c r="S160" i="9"/>
  <c r="V193" i="24" s="1"/>
  <c r="S144" i="9"/>
  <c r="V97" i="24" s="1"/>
  <c r="S128" i="9"/>
  <c r="V86" i="24" s="1"/>
  <c r="S104" i="9"/>
  <c r="V96" i="24" s="1"/>
  <c r="S88" i="9"/>
  <c r="V48" i="24" s="1"/>
  <c r="S56" i="9"/>
  <c r="V119" i="24" s="1"/>
  <c r="S32" i="9"/>
  <c r="V187" i="24" s="1"/>
  <c r="S184" i="9"/>
  <c r="V179" i="24" s="1"/>
  <c r="S168" i="9"/>
  <c r="V116" i="24" s="1"/>
  <c r="S152" i="9"/>
  <c r="V149" i="24" s="1"/>
  <c r="S120" i="9"/>
  <c r="V158" i="24" s="1"/>
  <c r="S96" i="9"/>
  <c r="V170" i="24" s="1"/>
  <c r="S80" i="9"/>
  <c r="V168" i="24" s="1"/>
  <c r="S64" i="9"/>
  <c r="V71" i="24" s="1"/>
  <c r="S48" i="9"/>
  <c r="V55" i="24" s="1"/>
  <c r="S40" i="9"/>
  <c r="V132" i="24" s="1"/>
  <c r="S16" i="9"/>
  <c r="V122" i="24" s="1"/>
  <c r="S4" i="9"/>
  <c r="V34" i="24" s="1"/>
  <c r="S183" i="9"/>
  <c r="V182" i="24" s="1"/>
  <c r="S175" i="9"/>
  <c r="V189" i="24" s="1"/>
  <c r="S167" i="9"/>
  <c r="V192" i="24" s="1"/>
  <c r="S151" i="9"/>
  <c r="V40" i="24" s="1"/>
  <c r="S143" i="9"/>
  <c r="V78" i="24" s="1"/>
  <c r="S127" i="9"/>
  <c r="V175" i="24" s="1"/>
  <c r="S111" i="9"/>
  <c r="V162" i="24" s="1"/>
  <c r="S103" i="9"/>
  <c r="V145" i="24" s="1"/>
  <c r="S87" i="9"/>
  <c r="V105" i="24" s="1"/>
  <c r="S79" i="9"/>
  <c r="V53" i="24" s="1"/>
  <c r="S71" i="9"/>
  <c r="V155" i="24" s="1"/>
  <c r="S63" i="9"/>
  <c r="V65" i="24" s="1"/>
  <c r="S55" i="9"/>
  <c r="V12" i="24" s="1"/>
  <c r="S39" i="9"/>
  <c r="V52" i="24" s="1"/>
  <c r="S31" i="9"/>
  <c r="V77" i="24" s="1"/>
  <c r="S23" i="9"/>
  <c r="V28" i="24" s="1"/>
  <c r="X28" i="24" s="1"/>
  <c r="S15" i="9"/>
  <c r="V37" i="24" s="1"/>
  <c r="S7" i="9"/>
  <c r="V31" i="24" s="1"/>
  <c r="S166" i="9"/>
  <c r="V130" i="24" s="1"/>
  <c r="X130" i="24" s="1"/>
  <c r="S158" i="9"/>
  <c r="V174" i="24" s="1"/>
  <c r="S134" i="9"/>
  <c r="V95" i="24" s="1"/>
  <c r="S126" i="9"/>
  <c r="V181" i="24" s="1"/>
  <c r="S118" i="9"/>
  <c r="V102" i="24" s="1"/>
  <c r="S102" i="9"/>
  <c r="V87" i="24" s="1"/>
  <c r="S94" i="9"/>
  <c r="V33" i="24" s="1"/>
  <c r="S86" i="9"/>
  <c r="V68" i="24" s="1"/>
  <c r="S78" i="9"/>
  <c r="V172" i="24" s="1"/>
  <c r="S70" i="9"/>
  <c r="V36" i="24" s="1"/>
  <c r="S62" i="9"/>
  <c r="V121" i="24" s="1"/>
  <c r="S54" i="9"/>
  <c r="V22" i="24" s="1"/>
  <c r="S46" i="9"/>
  <c r="V124" i="24" s="1"/>
  <c r="S38" i="9"/>
  <c r="V165" i="24" s="1"/>
  <c r="S30" i="9"/>
  <c r="V125" i="24" s="1"/>
  <c r="S22" i="9"/>
  <c r="V58" i="24" s="1"/>
  <c r="S14" i="9"/>
  <c r="V67" i="24" s="1"/>
  <c r="S173" i="9"/>
  <c r="V164" i="24" s="1"/>
  <c r="S165" i="9"/>
  <c r="V9" i="24" s="1"/>
  <c r="S141" i="9"/>
  <c r="V39" i="24" s="1"/>
  <c r="S133" i="9"/>
  <c r="V60" i="24" s="1"/>
  <c r="S125" i="9"/>
  <c r="V173" i="24" s="1"/>
  <c r="S117" i="9"/>
  <c r="V135" i="24" s="1"/>
  <c r="S109" i="9"/>
  <c r="V143" i="24" s="1"/>
  <c r="S93" i="9"/>
  <c r="V152" i="24" s="1"/>
  <c r="S77" i="9"/>
  <c r="V108" i="24" s="1"/>
  <c r="S69" i="9"/>
  <c r="V133" i="24" s="1"/>
  <c r="S61" i="9"/>
  <c r="V25" i="24" s="1"/>
  <c r="S53" i="9"/>
  <c r="V76" i="24" s="1"/>
  <c r="S45" i="9"/>
  <c r="V69" i="24" s="1"/>
  <c r="S37" i="9"/>
  <c r="V146" i="24" s="1"/>
  <c r="S29" i="9"/>
  <c r="V154" i="24" s="1"/>
  <c r="S21" i="9"/>
  <c r="V42" i="24" s="1"/>
  <c r="S13" i="9"/>
  <c r="V166" i="24" s="1"/>
  <c r="S5" i="9"/>
  <c r="V44" i="24" s="1"/>
  <c r="R12" i="8"/>
  <c r="S2" i="9"/>
  <c r="V32" i="24" s="1"/>
  <c r="X32" i="24" s="1"/>
  <c r="P35" i="8"/>
  <c r="P17" i="8"/>
  <c r="P18" i="8"/>
  <c r="R4" i="8"/>
  <c r="P20" i="8"/>
  <c r="P19" i="8"/>
  <c r="P21" i="8"/>
  <c r="P16" i="8"/>
  <c r="P22" i="8"/>
  <c r="P23" i="8"/>
  <c r="P24" i="8"/>
  <c r="P25" i="8"/>
  <c r="P14" i="8" l="1"/>
  <c r="O32" i="24"/>
  <c r="X68" i="24"/>
  <c r="Z68" i="24" s="1"/>
  <c r="X79" i="24"/>
  <c r="Z79" i="24" s="1"/>
  <c r="X135" i="24"/>
  <c r="Z135" i="24" s="1"/>
  <c r="X37" i="24"/>
  <c r="Z37" i="24" s="1"/>
  <c r="X86" i="24"/>
  <c r="Z86" i="24" s="1"/>
  <c r="X163" i="24"/>
  <c r="Z163" i="24" s="1"/>
  <c r="X153" i="24"/>
  <c r="Z153" i="24" s="1"/>
  <c r="X69" i="24"/>
  <c r="Z69" i="24" s="1"/>
  <c r="X173" i="24"/>
  <c r="Z173" i="24" s="1"/>
  <c r="X165" i="24"/>
  <c r="Z165" i="24" s="1"/>
  <c r="X87" i="24"/>
  <c r="Z87" i="24" s="1"/>
  <c r="X145" i="24"/>
  <c r="Z145" i="24" s="1"/>
  <c r="X34" i="24"/>
  <c r="Z34" i="24" s="1"/>
  <c r="X149" i="24"/>
  <c r="Z149" i="24" s="1"/>
  <c r="X97" i="24"/>
  <c r="Z97" i="24" s="1"/>
  <c r="X46" i="24"/>
  <c r="Z46" i="24" s="1"/>
  <c r="X92" i="24"/>
  <c r="Z92" i="24" s="1"/>
  <c r="X45" i="24"/>
  <c r="Z45" i="24" s="1"/>
  <c r="X136" i="24"/>
  <c r="Z136" i="24" s="1"/>
  <c r="X30" i="24"/>
  <c r="Z30" i="24" s="1"/>
  <c r="X98" i="24"/>
  <c r="Z98" i="24" s="1"/>
  <c r="X91" i="24"/>
  <c r="Z91" i="24" s="1"/>
  <c r="X127" i="24"/>
  <c r="Z127" i="24" s="1"/>
  <c r="X169" i="24"/>
  <c r="Z169" i="24" s="1"/>
  <c r="X154" i="24"/>
  <c r="Z154" i="24" s="1"/>
  <c r="X58" i="24"/>
  <c r="Z58" i="24" s="1"/>
  <c r="X190" i="24"/>
  <c r="Z190" i="24" s="1"/>
  <c r="X182" i="24"/>
  <c r="Z182" i="24" s="1"/>
  <c r="X110" i="24"/>
  <c r="Z110" i="24" s="1"/>
  <c r="X70" i="24"/>
  <c r="Z70" i="24" s="1"/>
  <c r="X148" i="24"/>
  <c r="Z148" i="24" s="1"/>
  <c r="X76" i="24"/>
  <c r="Z76" i="24" s="1"/>
  <c r="X60" i="24"/>
  <c r="Z60" i="24" s="1"/>
  <c r="X124" i="24"/>
  <c r="Z124" i="24" s="1"/>
  <c r="X102" i="24"/>
  <c r="Z102" i="24" s="1"/>
  <c r="X77" i="24"/>
  <c r="Z77" i="24" s="1"/>
  <c r="X162" i="24"/>
  <c r="Z162" i="24" s="1"/>
  <c r="X122" i="24"/>
  <c r="Z122" i="24" s="1"/>
  <c r="X116" i="24"/>
  <c r="Z116" i="24" s="1"/>
  <c r="X193" i="24"/>
  <c r="Z193" i="24" s="1"/>
  <c r="X14" i="24"/>
  <c r="Z14" i="24" s="1"/>
  <c r="Z139" i="24"/>
  <c r="X144" i="24"/>
  <c r="Z144" i="24" s="1"/>
  <c r="X51" i="24"/>
  <c r="Z51" i="24" s="1"/>
  <c r="X131" i="24"/>
  <c r="Z131" i="24" s="1"/>
  <c r="X35" i="24"/>
  <c r="Z35" i="24" s="1"/>
  <c r="X140" i="24"/>
  <c r="Z140" i="24" s="1"/>
  <c r="X185" i="24"/>
  <c r="Z185" i="24" s="1"/>
  <c r="X53" i="24"/>
  <c r="Z53" i="24" s="1"/>
  <c r="X96" i="24"/>
  <c r="Z96" i="24" s="1"/>
  <c r="X111" i="24"/>
  <c r="Z111" i="24" s="1"/>
  <c r="X146" i="24"/>
  <c r="Z146" i="24" s="1"/>
  <c r="X125" i="24"/>
  <c r="Z125" i="24" s="1"/>
  <c r="X105" i="24"/>
  <c r="Z105" i="24" s="1"/>
  <c r="X80" i="24"/>
  <c r="Z80" i="24" s="1"/>
  <c r="X88" i="24"/>
  <c r="Z88" i="24" s="1"/>
  <c r="X183" i="24"/>
  <c r="Z183" i="24" s="1"/>
  <c r="X171" i="24"/>
  <c r="Z171" i="24" s="1"/>
  <c r="X25" i="24"/>
  <c r="Z25" i="24" s="1"/>
  <c r="X39" i="24"/>
  <c r="Z39" i="24" s="1"/>
  <c r="X22" i="24"/>
  <c r="Z22" i="24" s="1"/>
  <c r="X181" i="24"/>
  <c r="Z181" i="24" s="1"/>
  <c r="X52" i="24"/>
  <c r="Z52" i="24" s="1"/>
  <c r="X175" i="24"/>
  <c r="Z175" i="24" s="1"/>
  <c r="X132" i="24"/>
  <c r="Z132" i="24" s="1"/>
  <c r="X179" i="24"/>
  <c r="Z179" i="24" s="1"/>
  <c r="X150" i="24"/>
  <c r="Z150" i="24" s="1"/>
  <c r="X62" i="24"/>
  <c r="Z62" i="24" s="1"/>
  <c r="X26" i="24"/>
  <c r="Z26" i="24" s="1"/>
  <c r="X138" i="24"/>
  <c r="Z138" i="24" s="1"/>
  <c r="X73" i="24"/>
  <c r="Z73" i="24" s="1"/>
  <c r="X120" i="24"/>
  <c r="Z120" i="24" s="1"/>
  <c r="X74" i="24"/>
  <c r="Z74" i="24" s="1"/>
  <c r="X167" i="24"/>
  <c r="Z167" i="24" s="1"/>
  <c r="X151" i="24"/>
  <c r="Z151" i="24" s="1"/>
  <c r="X189" i="24"/>
  <c r="Z189" i="24" s="1"/>
  <c r="X56" i="24"/>
  <c r="Z56" i="24" s="1"/>
  <c r="X33" i="24"/>
  <c r="Z33" i="24" s="1"/>
  <c r="X158" i="24"/>
  <c r="Z158" i="24" s="1"/>
  <c r="X44" i="24"/>
  <c r="Z44" i="24" s="1"/>
  <c r="X133" i="24"/>
  <c r="Z133" i="24" s="1"/>
  <c r="X9" i="24"/>
  <c r="Z9" i="24" s="1"/>
  <c r="X121" i="24"/>
  <c r="Z121" i="24" s="1"/>
  <c r="X95" i="24"/>
  <c r="Z95" i="24" s="1"/>
  <c r="X12" i="24"/>
  <c r="Z12" i="24" s="1"/>
  <c r="X78" i="24"/>
  <c r="Z78" i="24" s="1"/>
  <c r="X55" i="24"/>
  <c r="Z55" i="24" s="1"/>
  <c r="X187" i="24"/>
  <c r="Z187" i="24" s="1"/>
  <c r="X137" i="24"/>
  <c r="Z137" i="24" s="1"/>
  <c r="X128" i="24"/>
  <c r="Z128" i="24" s="1"/>
  <c r="X100" i="24"/>
  <c r="Z100" i="24" s="1"/>
  <c r="X18" i="24"/>
  <c r="Z18" i="24" s="1"/>
  <c r="X20" i="24"/>
  <c r="Z20" i="24" s="1"/>
  <c r="X50" i="24"/>
  <c r="Z50" i="24" s="1"/>
  <c r="X134" i="24"/>
  <c r="Z134" i="24" s="1"/>
  <c r="X178" i="24"/>
  <c r="Z178" i="24" s="1"/>
  <c r="X143" i="24"/>
  <c r="Z143" i="24" s="1"/>
  <c r="X31" i="24"/>
  <c r="Z31" i="24" s="1"/>
  <c r="X11" i="24"/>
  <c r="Z11" i="24" s="1"/>
  <c r="X93" i="24"/>
  <c r="Z93" i="24" s="1"/>
  <c r="X166" i="24"/>
  <c r="Z166" i="24" s="1"/>
  <c r="X108" i="24"/>
  <c r="Z108" i="24" s="1"/>
  <c r="X36" i="24"/>
  <c r="Z36" i="24" s="1"/>
  <c r="X174" i="24"/>
  <c r="Z174" i="24" s="1"/>
  <c r="X65" i="24"/>
  <c r="Z65" i="24" s="1"/>
  <c r="X40" i="24"/>
  <c r="Z40" i="24" s="1"/>
  <c r="X71" i="24"/>
  <c r="Z71" i="24" s="1"/>
  <c r="X119" i="24"/>
  <c r="Z119" i="24" s="1"/>
  <c r="X64" i="24"/>
  <c r="Z64" i="24" s="1"/>
  <c r="X21" i="24"/>
  <c r="Z21" i="24" s="1"/>
  <c r="X8" i="24"/>
  <c r="Z8" i="24" s="1"/>
  <c r="X129" i="24"/>
  <c r="Z129" i="24" s="1"/>
  <c r="X83" i="24"/>
  <c r="Z83" i="24" s="1"/>
  <c r="X188" i="24"/>
  <c r="Z188" i="24" s="1"/>
  <c r="X27" i="24"/>
  <c r="Z27" i="24" s="1"/>
  <c r="X41" i="24"/>
  <c r="Z41" i="24" s="1"/>
  <c r="X170" i="24"/>
  <c r="Z170" i="24" s="1"/>
  <c r="X81" i="24"/>
  <c r="Z81" i="24" s="1"/>
  <c r="X164" i="24"/>
  <c r="Z164" i="24" s="1"/>
  <c r="X42" i="24"/>
  <c r="Z42" i="24" s="1"/>
  <c r="X152" i="24"/>
  <c r="Z152" i="24" s="1"/>
  <c r="X67" i="24"/>
  <c r="Z67" i="24" s="1"/>
  <c r="X172" i="24"/>
  <c r="Z172" i="24" s="1"/>
  <c r="X155" i="24"/>
  <c r="Z155" i="24" s="1"/>
  <c r="X192" i="24"/>
  <c r="Z192" i="24" s="1"/>
  <c r="X168" i="24"/>
  <c r="Z168" i="24" s="1"/>
  <c r="X48" i="24"/>
  <c r="Z48" i="24" s="1"/>
  <c r="X147" i="24"/>
  <c r="Z147" i="24" s="1"/>
  <c r="X104" i="24"/>
  <c r="Z104" i="24" s="1"/>
  <c r="X75" i="24"/>
  <c r="Z75" i="24" s="1"/>
  <c r="X177" i="24"/>
  <c r="Z177" i="24" s="1"/>
  <c r="X63" i="24"/>
  <c r="Z63" i="24" s="1"/>
  <c r="X101" i="24"/>
  <c r="Z101" i="24" s="1"/>
  <c r="X89" i="24"/>
  <c r="Z89" i="24" s="1"/>
  <c r="X57" i="24"/>
  <c r="Z57" i="24" s="1"/>
  <c r="X66" i="24"/>
  <c r="Z66" i="24" s="1"/>
  <c r="Z32" i="24"/>
  <c r="W130" i="24"/>
  <c r="Z130" i="24"/>
  <c r="Z28" i="24"/>
  <c r="W28" i="24"/>
  <c r="W118" i="24"/>
  <c r="W54" i="24"/>
  <c r="W184" i="24"/>
  <c r="W84" i="24"/>
  <c r="W186" i="24"/>
  <c r="W43" i="24"/>
  <c r="W142" i="24"/>
  <c r="W107" i="24"/>
  <c r="W113" i="24"/>
  <c r="W103" i="24"/>
  <c r="W157" i="24"/>
  <c r="W141" i="24"/>
  <c r="W13" i="24"/>
  <c r="W161" i="24"/>
  <c r="W42" i="24"/>
  <c r="W152" i="24"/>
  <c r="W172" i="24"/>
  <c r="W52" i="24"/>
  <c r="W175" i="24"/>
  <c r="W158" i="24"/>
  <c r="W86" i="24"/>
  <c r="W110" i="24"/>
  <c r="W80" i="24"/>
  <c r="W163" i="24"/>
  <c r="W70" i="24"/>
  <c r="W88" i="24"/>
  <c r="W12" i="24"/>
  <c r="W78" i="24"/>
  <c r="W149" i="24"/>
  <c r="W97" i="24"/>
  <c r="W46" i="24"/>
  <c r="W92" i="24"/>
  <c r="W45" i="24"/>
  <c r="W136" i="24"/>
  <c r="W30" i="24"/>
  <c r="W98" i="24"/>
  <c r="W27" i="24"/>
  <c r="W91" i="24"/>
  <c r="W171" i="24"/>
  <c r="W178" i="24"/>
  <c r="W153" i="24"/>
  <c r="W166" i="24"/>
  <c r="W154" i="24"/>
  <c r="W68" i="24"/>
  <c r="W146" i="24"/>
  <c r="W135" i="24"/>
  <c r="W125" i="24"/>
  <c r="W65" i="24"/>
  <c r="W40" i="24"/>
  <c r="W122" i="24"/>
  <c r="W116" i="24"/>
  <c r="W193" i="24"/>
  <c r="W14" i="24"/>
  <c r="W139" i="24"/>
  <c r="W144" i="24"/>
  <c r="W51" i="24"/>
  <c r="W131" i="24"/>
  <c r="W108" i="24"/>
  <c r="W143" i="24"/>
  <c r="W58" i="24"/>
  <c r="W69" i="24"/>
  <c r="W173" i="24"/>
  <c r="W165" i="24"/>
  <c r="W87" i="24"/>
  <c r="W155" i="24"/>
  <c r="W192" i="24"/>
  <c r="W34" i="24"/>
  <c r="W132" i="24"/>
  <c r="W179" i="24"/>
  <c r="W150" i="24"/>
  <c r="W62" i="24"/>
  <c r="W26" i="24"/>
  <c r="W138" i="24"/>
  <c r="W73" i="24"/>
  <c r="W120" i="24"/>
  <c r="W174" i="24"/>
  <c r="W76" i="24"/>
  <c r="W60" i="24"/>
  <c r="W124" i="24"/>
  <c r="W102" i="24"/>
  <c r="W31" i="24"/>
  <c r="W53" i="24"/>
  <c r="W189" i="24"/>
  <c r="W55" i="24"/>
  <c r="W187" i="24"/>
  <c r="W137" i="24"/>
  <c r="W128" i="24"/>
  <c r="W100" i="24"/>
  <c r="W18" i="24"/>
  <c r="W20" i="24"/>
  <c r="W50" i="24"/>
  <c r="W25" i="24"/>
  <c r="W22" i="24"/>
  <c r="W37" i="24"/>
  <c r="W105" i="24"/>
  <c r="W182" i="24"/>
  <c r="W71" i="24"/>
  <c r="W119" i="24"/>
  <c r="W64" i="24"/>
  <c r="W8" i="24"/>
  <c r="W129" i="24"/>
  <c r="W83" i="24"/>
  <c r="W188" i="24"/>
  <c r="W93" i="24"/>
  <c r="W74" i="24"/>
  <c r="W111" i="24"/>
  <c r="W101" i="24"/>
  <c r="W89" i="24"/>
  <c r="W185" i="24"/>
  <c r="W39" i="24"/>
  <c r="W181" i="24"/>
  <c r="W44" i="24"/>
  <c r="W133" i="24"/>
  <c r="W9" i="24"/>
  <c r="W121" i="24"/>
  <c r="W95" i="24"/>
  <c r="W145" i="24"/>
  <c r="W75" i="24"/>
  <c r="W177" i="24"/>
  <c r="W36" i="24"/>
  <c r="W162" i="24"/>
  <c r="W81" i="24"/>
  <c r="W56" i="24"/>
  <c r="W190" i="24"/>
  <c r="W183" i="24"/>
  <c r="W134" i="24"/>
  <c r="W148" i="24"/>
  <c r="W57" i="24"/>
  <c r="W167" i="24"/>
  <c r="W66" i="24"/>
  <c r="W151" i="24"/>
  <c r="Z1" i="24"/>
  <c r="Z6" i="24"/>
  <c r="W6" i="24"/>
  <c r="P29" i="8"/>
  <c r="P36" i="8"/>
  <c r="P33" i="8"/>
  <c r="P5" i="8"/>
  <c r="Z2" i="24" l="1"/>
  <c r="Z4" i="24"/>
  <c r="W140" i="24"/>
  <c r="W147" i="24"/>
  <c r="W170" i="24"/>
  <c r="W77" i="24"/>
  <c r="W21" i="24"/>
  <c r="W67" i="24"/>
  <c r="W48" i="24"/>
  <c r="W41" i="24"/>
  <c r="W169" i="24"/>
  <c r="W11" i="24"/>
  <c r="W33" i="24"/>
  <c r="W96" i="24"/>
  <c r="W168" i="24"/>
  <c r="W79" i="24"/>
  <c r="W104" i="24"/>
  <c r="W164" i="24"/>
  <c r="W32" i="24"/>
  <c r="W63" i="24"/>
  <c r="W127" i="24"/>
  <c r="W35" i="24"/>
  <c r="F1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Lorena Montenegro Acuña</author>
  </authors>
  <commentList>
    <comment ref="K6" authorId="0" shapeId="0" xr:uid="{8BD062D6-7A4D-484C-BF0A-0A1F430F3136}">
      <text>
        <r>
          <rPr>
            <b/>
            <sz val="9"/>
            <color indexed="81"/>
            <rFont val="Tahoma"/>
            <family val="2"/>
          </rPr>
          <t>Claudia Lorena Montenegro Acuña:</t>
        </r>
        <r>
          <rPr>
            <sz val="9"/>
            <color indexed="81"/>
            <rFont val="Tahoma"/>
            <family val="2"/>
          </rPr>
          <t xml:space="preserve">
Se deja el indicador pago al 91%</t>
        </r>
      </text>
    </comment>
    <comment ref="R6" authorId="0" shapeId="0" xr:uid="{155B2A29-A1DD-4AEE-B4E2-56E3E662E035}">
      <text>
        <r>
          <rPr>
            <b/>
            <sz val="9"/>
            <color indexed="81"/>
            <rFont val="Tahoma"/>
            <family val="2"/>
          </rPr>
          <t>Claudia Lorena Montenegro Acuña:</t>
        </r>
        <r>
          <rPr>
            <sz val="9"/>
            <color indexed="81"/>
            <rFont val="Tahoma"/>
            <family val="2"/>
          </rPr>
          <t xml:space="preserve">
Se paga con llave solo de cobertura</t>
        </r>
      </text>
    </comment>
    <comment ref="K15" authorId="0" shapeId="0" xr:uid="{0DDCDF45-603F-472C-B6AD-2E9C68B9F20E}">
      <text>
        <r>
          <rPr>
            <b/>
            <sz val="9"/>
            <color indexed="81"/>
            <rFont val="Tahoma"/>
            <family val="2"/>
          </rPr>
          <t>Claudia Lorena Montenegro Acuña:</t>
        </r>
        <r>
          <rPr>
            <sz val="9"/>
            <color indexed="81"/>
            <rFont val="Tahoma"/>
            <family val="2"/>
          </rPr>
          <t xml:space="preserve">
Se deja el indicador pago al 91%</t>
        </r>
      </text>
    </comment>
    <comment ref="R15" authorId="0" shapeId="0" xr:uid="{438B4137-5F2A-4A6A-A1AC-C0032A99291A}">
      <text>
        <r>
          <rPr>
            <b/>
            <sz val="9"/>
            <color indexed="81"/>
            <rFont val="Tahoma"/>
            <family val="2"/>
          </rPr>
          <t>Claudia Lorena Montenegro Acuña:</t>
        </r>
        <r>
          <rPr>
            <sz val="9"/>
            <color indexed="81"/>
            <rFont val="Tahoma"/>
            <family val="2"/>
          </rPr>
          <t xml:space="preserve">
Se paga con llave solo de cobertura</t>
        </r>
      </text>
    </comment>
    <comment ref="K34" authorId="0" shapeId="0" xr:uid="{3F79E92F-3EC9-4571-A9CA-6A2581C79B64}">
      <text>
        <r>
          <rPr>
            <b/>
            <sz val="9"/>
            <color indexed="81"/>
            <rFont val="Tahoma"/>
            <family val="2"/>
          </rPr>
          <t>Claudia Lorena Montenegro Acuña:</t>
        </r>
        <r>
          <rPr>
            <sz val="9"/>
            <color indexed="81"/>
            <rFont val="Tahoma"/>
            <family val="2"/>
          </rPr>
          <t xml:space="preserve">
Se deja el indicador pago al 91%</t>
        </r>
      </text>
    </comment>
    <comment ref="R34" authorId="0" shapeId="0" xr:uid="{36529BB5-2BDF-4EF4-BDE3-D83C9AC82FFB}">
      <text>
        <r>
          <rPr>
            <b/>
            <sz val="9"/>
            <color indexed="81"/>
            <rFont val="Tahoma"/>
            <family val="2"/>
          </rPr>
          <t>Claudia Lorena Montenegro Acuña:</t>
        </r>
        <r>
          <rPr>
            <sz val="9"/>
            <color indexed="81"/>
            <rFont val="Tahoma"/>
            <family val="2"/>
          </rPr>
          <t xml:space="preserve">
Se paga con llave solo de cobertura</t>
        </r>
      </text>
    </comment>
  </commentList>
</comments>
</file>

<file path=xl/sharedStrings.xml><?xml version="1.0" encoding="utf-8"?>
<sst xmlns="http://schemas.openxmlformats.org/spreadsheetml/2006/main" count="2097" uniqueCount="330">
  <si>
    <t>Regional</t>
  </si>
  <si>
    <t>Categoria Efec</t>
  </si>
  <si>
    <t>$ Liquidar</t>
  </si>
  <si>
    <t>Observaciones</t>
  </si>
  <si>
    <t>Total general</t>
  </si>
  <si>
    <t>RUTA</t>
  </si>
  <si>
    <t>Valor Comision</t>
  </si>
  <si>
    <t>Valor a Pagar</t>
  </si>
  <si>
    <t>COORDINADOR</t>
  </si>
  <si>
    <t>VALOR COMISION</t>
  </si>
  <si>
    <t>CTR_1</t>
  </si>
  <si>
    <t>CTR_10</t>
  </si>
  <si>
    <t>CTR_11</t>
  </si>
  <si>
    <t>CTR_12</t>
  </si>
  <si>
    <t>CTR_13</t>
  </si>
  <si>
    <t>CTR_14</t>
  </si>
  <si>
    <t>CTR_15</t>
  </si>
  <si>
    <t>CTR_16</t>
  </si>
  <si>
    <t>CTR_2</t>
  </si>
  <si>
    <t>CTR_3</t>
  </si>
  <si>
    <t>CTR_4</t>
  </si>
  <si>
    <t>CTR_5</t>
  </si>
  <si>
    <t>CTR_6</t>
  </si>
  <si>
    <t>CTR_7</t>
  </si>
  <si>
    <t>CTR_8</t>
  </si>
  <si>
    <t>CTR_9</t>
  </si>
  <si>
    <t>SOR_1</t>
  </si>
  <si>
    <t>SOR_10</t>
  </si>
  <si>
    <t>SOR_11</t>
  </si>
  <si>
    <t>SOR_12</t>
  </si>
  <si>
    <t>SOR_13</t>
  </si>
  <si>
    <t>SOR_14</t>
  </si>
  <si>
    <t>SOR_15</t>
  </si>
  <si>
    <t>SOR_16</t>
  </si>
  <si>
    <t>SOR_2</t>
  </si>
  <si>
    <t>SOR_3</t>
  </si>
  <si>
    <t>SOR_4</t>
  </si>
  <si>
    <t>SOR_5</t>
  </si>
  <si>
    <t>SOR_6</t>
  </si>
  <si>
    <t>SOR_7</t>
  </si>
  <si>
    <t>SOR_8</t>
  </si>
  <si>
    <t>SOR_9</t>
  </si>
  <si>
    <t>NOC_1</t>
  </si>
  <si>
    <t>NOC_10</t>
  </si>
  <si>
    <t>NOC_11</t>
  </si>
  <si>
    <t>NOC_12</t>
  </si>
  <si>
    <t>NOC_13</t>
  </si>
  <si>
    <t>NOC_14</t>
  </si>
  <si>
    <t>NOC_15</t>
  </si>
  <si>
    <t>NOC_16</t>
  </si>
  <si>
    <t>NOC_2</t>
  </si>
  <si>
    <t>NOC_3</t>
  </si>
  <si>
    <t>NOC_4</t>
  </si>
  <si>
    <t>NOC_5</t>
  </si>
  <si>
    <t>NOC_6</t>
  </si>
  <si>
    <t>NOC_7</t>
  </si>
  <si>
    <t>NOC_8</t>
  </si>
  <si>
    <t>NOC_9</t>
  </si>
  <si>
    <t>CALDAS_1</t>
  </si>
  <si>
    <t>ENVIGADO_1</t>
  </si>
  <si>
    <t>ENVIGADO_2</t>
  </si>
  <si>
    <t>ENVIGADO_3</t>
  </si>
  <si>
    <t>ITAGUI_1</t>
  </si>
  <si>
    <t>MEDELLIN_1</t>
  </si>
  <si>
    <t>MEDELLIN_13</t>
  </si>
  <si>
    <t>MEDELLIN_14</t>
  </si>
  <si>
    <t>MEDELLIN_3</t>
  </si>
  <si>
    <t>MEDELLIN_6</t>
  </si>
  <si>
    <t>MEDELLIN_7</t>
  </si>
  <si>
    <t>RIONEGRO_1</t>
  </si>
  <si>
    <t>RIONEGRO_2</t>
  </si>
  <si>
    <t>SABANETA_1</t>
  </si>
  <si>
    <t>BARRANQUILLA_1</t>
  </si>
  <si>
    <t>BARRANQUILLA_2</t>
  </si>
  <si>
    <t>BARRANQUILLA_3</t>
  </si>
  <si>
    <t>BARRANQUILLA_4</t>
  </si>
  <si>
    <t>BARRANQUILLA_5</t>
  </si>
  <si>
    <t>CARTAGENA_1</t>
  </si>
  <si>
    <t>CARTAGENA_2</t>
  </si>
  <si>
    <t>CARTAGENA_3</t>
  </si>
  <si>
    <t>SANTA MARTA_1</t>
  </si>
  <si>
    <t>SANTA MARTA_2</t>
  </si>
  <si>
    <t>SOLEDAD_1</t>
  </si>
  <si>
    <t>VIJ_1</t>
  </si>
  <si>
    <t>VIJ_10</t>
  </si>
  <si>
    <t>VIJ_11</t>
  </si>
  <si>
    <t>VIJ_12</t>
  </si>
  <si>
    <t>VIJ_13</t>
  </si>
  <si>
    <t>VIJ_14</t>
  </si>
  <si>
    <t>VIJ_15</t>
  </si>
  <si>
    <t>VIJ_16</t>
  </si>
  <si>
    <t>VIJ_17</t>
  </si>
  <si>
    <t>VIJ_2</t>
  </si>
  <si>
    <t>VIJ_3</t>
  </si>
  <si>
    <t>VIJ_4</t>
  </si>
  <si>
    <t>VIJ_5</t>
  </si>
  <si>
    <t>VIJ_6</t>
  </si>
  <si>
    <t>VIJ_7</t>
  </si>
  <si>
    <t>VIJ_8</t>
  </si>
  <si>
    <t>VIJ_9</t>
  </si>
  <si>
    <t>ARMENIA_1</t>
  </si>
  <si>
    <t>ARMENIA_2</t>
  </si>
  <si>
    <t>CARTAGO_1</t>
  </si>
  <si>
    <t>DOSQUEBRADAS_1</t>
  </si>
  <si>
    <t>DOSQUEBRADAS_2</t>
  </si>
  <si>
    <t>MANIZALES_1</t>
  </si>
  <si>
    <t>MANIZALES_2</t>
  </si>
  <si>
    <t>MANIZALES_3</t>
  </si>
  <si>
    <t>PEREIRA_1</t>
  </si>
  <si>
    <t>PEREIRA_2</t>
  </si>
  <si>
    <t>BUGA_1</t>
  </si>
  <si>
    <t>CALI_1</t>
  </si>
  <si>
    <t>CALI_14</t>
  </si>
  <si>
    <t>CALI_3</t>
  </si>
  <si>
    <t>CALI_5</t>
  </si>
  <si>
    <t>CALI_6</t>
  </si>
  <si>
    <t>CALI_7</t>
  </si>
  <si>
    <t>CALI_9</t>
  </si>
  <si>
    <t>PALMIRA_1</t>
  </si>
  <si>
    <t>PALMIRA_2</t>
  </si>
  <si>
    <t>PASTO_1</t>
  </si>
  <si>
    <t>TULUA_1</t>
  </si>
  <si>
    <t>YUMBO_1</t>
  </si>
  <si>
    <t>SOC_1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</si>
  <si>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</si>
  <si>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</si>
  <si>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</si>
  <si>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</si>
  <si>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</si>
  <si>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</si>
  <si>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</si>
  <si>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</si>
  <si>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</si>
  <si>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</si>
  <si>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</si>
  <si>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</si>
  <si>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</si>
  <si>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</si>
  <si>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</si>
  <si>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</si>
  <si>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</si>
  <si>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BARRANCABERMEJA_1</t>
  </si>
  <si>
    <t>BARRANCABERMEJA_2</t>
  </si>
  <si>
    <t>BUCARAMANGA_1</t>
  </si>
  <si>
    <t>BUCARAMANGA_2</t>
  </si>
  <si>
    <t>BUCARAMANGA_3</t>
  </si>
  <si>
    <t>BUCARAMANGA_4</t>
  </si>
  <si>
    <t>BUCARAMANGA_5</t>
  </si>
  <si>
    <t>BUCARAMANGA_6</t>
  </si>
  <si>
    <t>BUCARAMANGA_7</t>
  </si>
  <si>
    <t>BUCARAMANGA_8</t>
  </si>
  <si>
    <t>BUCARAMANGA_9</t>
  </si>
  <si>
    <t>CUCUTA_1</t>
  </si>
  <si>
    <t>CUCUTA_2</t>
  </si>
  <si>
    <t>CUCUTA_3</t>
  </si>
  <si>
    <t>CUCUTA_4</t>
  </si>
  <si>
    <t>GIRÓN_1</t>
  </si>
  <si>
    <t>GIRÓN_2</t>
  </si>
  <si>
    <t>CALI_10</t>
  </si>
  <si>
    <t>CALI_11</t>
  </si>
  <si>
    <t>CALI_12</t>
  </si>
  <si>
    <t>CALI_13</t>
  </si>
  <si>
    <t>CALI_15</t>
  </si>
  <si>
    <t>CALI_16</t>
  </si>
  <si>
    <t>CALI_17</t>
  </si>
  <si>
    <t>CALI_18</t>
  </si>
  <si>
    <t>CALI_19</t>
  </si>
  <si>
    <t>CALI_2</t>
  </si>
  <si>
    <t>CALI_4</t>
  </si>
  <si>
    <t>CALI_8</t>
  </si>
  <si>
    <t>POPAYAN_1</t>
  </si>
  <si>
    <t>BELLO_1</t>
  </si>
  <si>
    <t>BELLO_2</t>
  </si>
  <si>
    <t>GIRARDOTA_1</t>
  </si>
  <si>
    <t>MEDELLIN_10</t>
  </si>
  <si>
    <t>MEDELLIN_11</t>
  </si>
  <si>
    <t>MEDELLIN_12</t>
  </si>
  <si>
    <t>MEDELLIN_2</t>
  </si>
  <si>
    <t>MEDELLIN_4</t>
  </si>
  <si>
    <t>MEDELLIN_5</t>
  </si>
  <si>
    <t>MEDELLIN_8</t>
  </si>
  <si>
    <t>MEDELLIN_9</t>
  </si>
  <si>
    <t>NTE_1</t>
  </si>
  <si>
    <t>NTE_10</t>
  </si>
  <si>
    <t>NTE_11</t>
  </si>
  <si>
    <t>NTE_12</t>
  </si>
  <si>
    <t>NTE_13</t>
  </si>
  <si>
    <t>NTE_14</t>
  </si>
  <si>
    <t>NTE_15</t>
  </si>
  <si>
    <t>NTE_16</t>
  </si>
  <si>
    <t>NTE_2</t>
  </si>
  <si>
    <t>NTE_3</t>
  </si>
  <si>
    <t>NTE_4</t>
  </si>
  <si>
    <t>NTE_5</t>
  </si>
  <si>
    <t>NTE_6</t>
  </si>
  <si>
    <t>NTE_7</t>
  </si>
  <si>
    <t>NTE_8</t>
  </si>
  <si>
    <t>NTE_9</t>
  </si>
  <si>
    <t>Supervisor</t>
  </si>
  <si>
    <t>Lider</t>
  </si>
  <si>
    <t>LIDER</t>
  </si>
  <si>
    <t>% CAPTURA</t>
  </si>
  <si>
    <t>OBJ COBERTURA</t>
  </si>
  <si>
    <t>COBERTURA</t>
  </si>
  <si>
    <t>% COBERTURA</t>
  </si>
  <si>
    <t>CAPTURA DE INFORMACION</t>
  </si>
  <si>
    <t>% Cumpl. Captura</t>
  </si>
  <si>
    <t>% Cumplimiento Cobertura</t>
  </si>
  <si>
    <t>Valor total A Pagar Real</t>
  </si>
  <si>
    <t>Promedio de % Cumpl. Captura</t>
  </si>
  <si>
    <t>Promedio de % Cumplimiento Cobertura</t>
  </si>
  <si>
    <t>SUPERVISORES</t>
  </si>
  <si>
    <t>LIDERES</t>
  </si>
  <si>
    <t>SUPERVISOR</t>
  </si>
  <si>
    <t>Comentario</t>
  </si>
  <si>
    <t>REGIONAL BOGOTA</t>
  </si>
  <si>
    <t>REGIONAL ANTIOQUIA</t>
  </si>
  <si>
    <t>REGIONAL ATLANTICO</t>
  </si>
  <si>
    <t>REGIONAL COSTA PERIFERIA</t>
  </si>
  <si>
    <t>REGIONAL PERIFERIA</t>
  </si>
  <si>
    <t>REGIONAL EJE</t>
  </si>
  <si>
    <t>REGIONAL PACIFICO</t>
  </si>
  <si>
    <t>REGIONAL ESTE</t>
  </si>
  <si>
    <t>ANYI MAYERLIE ORJUELA</t>
  </si>
  <si>
    <t>Corresponde Comision</t>
  </si>
  <si>
    <t>SI</t>
  </si>
  <si>
    <t>DEVOLUCIONES &amp; FECHAS CORTAS</t>
  </si>
  <si>
    <t>TIENDA PERFECTA</t>
  </si>
  <si>
    <t>VENTAS</t>
  </si>
  <si>
    <t>LLAVE</t>
  </si>
  <si>
    <t>FECHAS CORTAS %</t>
  </si>
  <si>
    <t>Agotados %</t>
  </si>
  <si>
    <t>Participación %</t>
  </si>
  <si>
    <t>ACTIVIDADES %</t>
  </si>
  <si>
    <t>DEVOLUCIONES %</t>
  </si>
  <si>
    <t>Posición</t>
  </si>
  <si>
    <t>Líder</t>
  </si>
  <si>
    <t>Cobertura %</t>
  </si>
  <si>
    <t>Precios %</t>
  </si>
  <si>
    <t>Inventarios %</t>
  </si>
  <si>
    <t>Valor Comision TP</t>
  </si>
  <si>
    <t>VENTA</t>
  </si>
  <si>
    <t>% Cumplimiento TP</t>
  </si>
  <si>
    <t>Valor Comision Ventas</t>
  </si>
  <si>
    <t>% Cumplimiento Ventas</t>
  </si>
  <si>
    <t>FECHAS CORTAS</t>
  </si>
  <si>
    <t>DEVOLUCIONES</t>
  </si>
  <si>
    <t>pdv devoluciones</t>
  </si>
  <si>
    <t>FC &amp; DEV</t>
  </si>
  <si>
    <t>Valor Comision FC y Dev</t>
  </si>
  <si>
    <t>PLANES COMERCIALES</t>
  </si>
  <si>
    <t>% Cumplimiento FC &amp; DV</t>
  </si>
  <si>
    <t>Promedio de % Cumplimiento TP</t>
  </si>
  <si>
    <t>Promedio de % Cumplimiento Ventas</t>
  </si>
  <si>
    <t>Promedio de % Cumplimiento FC &amp; DV</t>
  </si>
  <si>
    <t xml:space="preserve"> % Cumplimiento TP</t>
  </si>
  <si>
    <t xml:space="preserve"> % Cumplimiento Ventas</t>
  </si>
  <si>
    <t xml:space="preserve"> % Cumplimiento FC &amp; DV</t>
  </si>
  <si>
    <t>VALOR COMISION TP</t>
  </si>
  <si>
    <t>% CUMPL. TP</t>
  </si>
  <si>
    <t>VALOR COMISION X FC DV</t>
  </si>
  <si>
    <t>% FC &amp; DV</t>
  </si>
  <si>
    <t>VALOR COMISION VENTAS</t>
  </si>
  <si>
    <t>% VENTAS</t>
  </si>
  <si>
    <t>LLAVE 1 CAPTURA</t>
  </si>
  <si>
    <t>LLAVE 2 COBERTURA</t>
  </si>
  <si>
    <t>Cumple Llaves</t>
  </si>
  <si>
    <t>CANT.</t>
  </si>
  <si>
    <t>VENTAS 20% - Se liquida a partir del 80%</t>
  </si>
  <si>
    <t>FECHAS CORTAS &amp; DEVOLUCIONES 20% - Se liquida cumpl al 100%</t>
  </si>
  <si>
    <t>TIENDA PERFECTA 60% - Se liquida a partir del 80%</t>
  </si>
  <si>
    <t>FORMADORA</t>
  </si>
  <si>
    <t>SUSAN JULIETH CASTILLO PARRA</t>
  </si>
  <si>
    <t>GIL MARTINEZ JENNIFER STEFANNIE</t>
  </si>
  <si>
    <t>MELISA MARTINEZ</t>
  </si>
  <si>
    <t>ID del Colaborador</t>
  </si>
  <si>
    <t>Nombre del Colaborador</t>
  </si>
  <si>
    <t>PDV Programados</t>
  </si>
  <si>
    <t>PDV Visitados</t>
  </si>
  <si>
    <t>Planes Comerciales %</t>
  </si>
  <si>
    <t>Devoluciones %</t>
  </si>
  <si>
    <t>Fechas Cortas %</t>
  </si>
  <si>
    <t>Runcal 2.0 %</t>
  </si>
  <si>
    <t>Actividades %</t>
  </si>
  <si>
    <t>Recolección de Cestillos %</t>
  </si>
  <si>
    <t>Objetivo de Planes</t>
  </si>
  <si>
    <t>Implementaciones Cumplidas</t>
  </si>
  <si>
    <t>Cumplimiento de Planes %</t>
  </si>
  <si>
    <t>Tipo de Atención</t>
  </si>
  <si>
    <t>Exclusivo</t>
  </si>
  <si>
    <t>Equipo ganador</t>
  </si>
  <si>
    <t xml:space="preserve">SUSANA SILVA MENDOZA      </t>
  </si>
  <si>
    <t xml:space="preserve">JUAN PABLO GIL ALMANZA    </t>
  </si>
  <si>
    <t>PIÑEROS MONTAÑA LAURA ESTEPHANIA</t>
  </si>
  <si>
    <t>MEJÍA BLANDÓN ASTRID KARINA</t>
  </si>
  <si>
    <t>PEREZ ZAGARRA AUGUSTO EDUARDO</t>
  </si>
  <si>
    <t>GONZALEZ BARRANTES EDWIN JESSID</t>
  </si>
  <si>
    <t>CAMPUZANO IRLET ANDREA</t>
  </si>
  <si>
    <t>SÁNCHEZ ZAMBRANO LEIDY NICOLE VANESSA</t>
  </si>
  <si>
    <t>OSSA TABARES JAZMIN BERNARDA</t>
  </si>
  <si>
    <t>Categoria Efec 60%</t>
  </si>
  <si>
    <t>Promedio Llaves</t>
  </si>
  <si>
    <t>PROM. LLAVE</t>
  </si>
  <si>
    <t>TIENDA PERFECTA 60% - Se liquida a partir del 60%</t>
  </si>
  <si>
    <t>Lider Alqueria</t>
  </si>
  <si>
    <t>PAULA RUBIO</t>
  </si>
  <si>
    <t>ALEJANDRO RODRIGUEZ</t>
  </si>
  <si>
    <t>FANNY FERNANDEZ</t>
  </si>
  <si>
    <t>CAMILO RINCON</t>
  </si>
  <si>
    <t>DEISY BERRIO</t>
  </si>
  <si>
    <t>DANIEL OSPINA</t>
  </si>
  <si>
    <t>KELLY DE LA TORRE</t>
  </si>
  <si>
    <t>MIGUEL ARTURO ROMERO</t>
  </si>
  <si>
    <t>NA</t>
  </si>
  <si>
    <t>LEIDY GAVIRIA</t>
  </si>
  <si>
    <t>VACANTE</t>
  </si>
  <si>
    <t>NATALIA IBARRA</t>
  </si>
  <si>
    <t>HEIDY SANCHEZ</t>
  </si>
  <si>
    <t>GIRON_1</t>
  </si>
  <si>
    <t>GIRON_2</t>
  </si>
  <si>
    <t>OSPINO ARAUJO ALEXANDER</t>
  </si>
  <si>
    <t>MARTINEZ VARGAS CHRISTAN RICARDO</t>
  </si>
  <si>
    <t>NATHALY AGUILAR</t>
  </si>
  <si>
    <t>BOLAÑOS QUEVEDO ALEXIS</t>
  </si>
  <si>
    <t>LIQUIDACION SEPTIEMBRE</t>
  </si>
  <si>
    <t>Ingreso el 18 Agosto / Pago pagarantizado Sept</t>
  </si>
  <si>
    <t>GANA REALMENTE</t>
  </si>
  <si>
    <t>% Devoluciones</t>
  </si>
  <si>
    <t>Categoria Efec &gt;60%</t>
  </si>
  <si>
    <t>VENTAS 20% - Se liquida a partir del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</si>
</sst>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theme="5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theme="5" tint="0.79998168889431442"/>
      </patternFill>
    </fill>
    <fill>
      <patternFill patternType="solid">
        <fgColor rgb="FFC00000"/>
        <bgColor theme="5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theme="5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theme="5" tint="0.79998168889431442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2" fillId="6" borderId="6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4" fontId="0" fillId="0" borderId="1" xfId="1" quotePrefix="1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164" fontId="2" fillId="11" borderId="6" xfId="1" applyNumberFormat="1" applyFont="1" applyFill="1" applyBorder="1" applyAlignment="1">
      <alignment horizontal="center" vertical="center"/>
    </xf>
    <xf numFmtId="9" fontId="2" fillId="11" borderId="6" xfId="0" applyNumberFormat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 wrapText="1"/>
    </xf>
    <xf numFmtId="164" fontId="6" fillId="12" borderId="6" xfId="1" applyNumberFormat="1" applyFont="1" applyFill="1" applyBorder="1" applyAlignment="1">
      <alignment horizontal="center" vertical="center"/>
    </xf>
    <xf numFmtId="9" fontId="6" fillId="12" borderId="6" xfId="0" applyNumberFormat="1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 wrapText="1"/>
    </xf>
    <xf numFmtId="164" fontId="2" fillId="14" borderId="6" xfId="1" applyNumberFormat="1" applyFont="1" applyFill="1" applyBorder="1" applyAlignment="1">
      <alignment horizontal="center" vertical="center"/>
    </xf>
    <xf numFmtId="9" fontId="2" fillId="14" borderId="6" xfId="0" applyNumberFormat="1" applyFont="1" applyFill="1" applyBorder="1" applyAlignment="1">
      <alignment horizontal="center" vertical="center"/>
    </xf>
    <xf numFmtId="0" fontId="8" fillId="17" borderId="9" xfId="0" applyFont="1" applyFill="1" applyBorder="1"/>
    <xf numFmtId="0" fontId="9" fillId="15" borderId="10" xfId="0" applyFont="1" applyFill="1" applyBorder="1"/>
    <xf numFmtId="9" fontId="9" fillId="0" borderId="11" xfId="0" applyNumberFormat="1" applyFont="1" applyBorder="1" applyAlignment="1">
      <alignment horizontal="center"/>
    </xf>
    <xf numFmtId="0" fontId="10" fillId="0" borderId="12" xfId="0" applyFont="1" applyBorder="1"/>
    <xf numFmtId="9" fontId="10" fillId="0" borderId="12" xfId="0" applyNumberFormat="1" applyFont="1" applyBorder="1" applyAlignment="1">
      <alignment horizontal="center"/>
    </xf>
    <xf numFmtId="3" fontId="10" fillId="0" borderId="12" xfId="0" applyNumberFormat="1" applyFont="1" applyBorder="1" applyAlignment="1">
      <alignment horizontal="center"/>
    </xf>
    <xf numFmtId="0" fontId="6" fillId="18" borderId="0" xfId="0" applyFont="1" applyFill="1"/>
    <xf numFmtId="0" fontId="0" fillId="0" borderId="0" xfId="0" pivotButton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164" fontId="2" fillId="11" borderId="6" xfId="0" applyNumberFormat="1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0" fontId="9" fillId="0" borderId="11" xfId="0" applyNumberFormat="1" applyFont="1" applyBorder="1" applyAlignment="1">
      <alignment horizontal="center"/>
    </xf>
    <xf numFmtId="10" fontId="10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19" borderId="0" xfId="0" applyNumberFormat="1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9" fontId="11" fillId="19" borderId="0" xfId="0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164" fontId="5" fillId="7" borderId="0" xfId="1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9" fontId="0" fillId="0" borderId="0" xfId="2" applyFont="1"/>
    <xf numFmtId="0" fontId="2" fillId="14" borderId="0" xfId="0" applyFont="1" applyFill="1" applyAlignment="1">
      <alignment horizontal="center" vertical="center" wrapText="1"/>
    </xf>
    <xf numFmtId="44" fontId="0" fillId="0" borderId="0" xfId="1" applyFont="1" applyFill="1" applyBorder="1" applyAlignment="1">
      <alignment horizontal="center"/>
    </xf>
    <xf numFmtId="9" fontId="0" fillId="0" borderId="0" xfId="2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2" fillId="20" borderId="0" xfId="0" applyFont="1" applyFill="1" applyAlignment="1">
      <alignment horizontal="center" vertical="center" wrapText="1"/>
    </xf>
    <xf numFmtId="0" fontId="2" fillId="0" borderId="0" xfId="0" applyFont="1"/>
    <xf numFmtId="0" fontId="13" fillId="18" borderId="0" xfId="0" applyFont="1" applyFill="1"/>
    <xf numFmtId="0" fontId="6" fillId="24" borderId="5" xfId="0" applyFont="1" applyFill="1" applyBorder="1" applyAlignment="1">
      <alignment horizontal="center" vertical="center" wrapText="1"/>
    </xf>
    <xf numFmtId="0" fontId="6" fillId="24" borderId="6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 wrapText="1"/>
    </xf>
    <xf numFmtId="10" fontId="2" fillId="0" borderId="0" xfId="2" applyNumberFormat="1" applyFont="1" applyAlignment="1">
      <alignment horizontal="center"/>
    </xf>
    <xf numFmtId="164" fontId="16" fillId="7" borderId="0" xfId="1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0" xfId="0" applyFont="1" applyFill="1" applyAlignment="1">
      <alignment horizontal="center"/>
    </xf>
    <xf numFmtId="0" fontId="0" fillId="19" borderId="0" xfId="0" applyFill="1"/>
    <xf numFmtId="10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4" fontId="0" fillId="25" borderId="1" xfId="1" applyNumberFormat="1" applyFont="1" applyFill="1" applyBorder="1" applyAlignment="1">
      <alignment horizontal="center"/>
    </xf>
    <xf numFmtId="44" fontId="0" fillId="25" borderId="1" xfId="1" applyFont="1" applyFill="1" applyBorder="1" applyAlignment="1">
      <alignment horizontal="center"/>
    </xf>
    <xf numFmtId="0" fontId="0" fillId="25" borderId="1" xfId="1" applyNumberFormat="1" applyFont="1" applyFill="1" applyBorder="1" applyAlignment="1">
      <alignment horizontal="center"/>
    </xf>
    <xf numFmtId="0" fontId="0" fillId="25" borderId="0" xfId="0" applyFill="1"/>
    <xf numFmtId="0" fontId="6" fillId="2" borderId="1" xfId="0" applyFont="1" applyFill="1" applyBorder="1" applyAlignment="1">
      <alignment horizontal="center" vertical="center" wrapText="1"/>
    </xf>
    <xf numFmtId="10" fontId="0" fillId="0" borderId="1" xfId="2" applyNumberFormat="1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0" applyNumberFormat="1"/>
    <xf numFmtId="0" fontId="0" fillId="22" borderId="0" xfId="0" applyFill="1" applyAlignment="1">
      <alignment horizontal="center" vertical="center"/>
    </xf>
    <xf numFmtId="0" fontId="7" fillId="16" borderId="7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21" borderId="0" xfId="0" applyFont="1" applyFill="1"/>
    <xf numFmtId="10" fontId="2" fillId="0" borderId="0" xfId="2" applyNumberFormat="1" applyFont="1"/>
    <xf numFmtId="10" fontId="0" fillId="0" borderId="0" xfId="2" applyNumberFormat="1" applyFont="1"/>
    <xf numFmtId="0" fontId="2" fillId="9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164" fontId="2" fillId="14" borderId="0" xfId="1" applyNumberFormat="1" applyFont="1" applyFill="1" applyBorder="1" applyAlignment="1">
      <alignment horizontal="center" vertical="center"/>
    </xf>
    <xf numFmtId="9" fontId="2" fillId="14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horizontal="center" vertical="center"/>
    </xf>
    <xf numFmtId="9" fontId="2" fillId="11" borderId="0" xfId="0" applyNumberFormat="1" applyFont="1" applyFill="1" applyAlignment="1">
      <alignment horizontal="center" vertical="center"/>
    </xf>
    <xf numFmtId="164" fontId="6" fillId="12" borderId="0" xfId="1" applyNumberFormat="1" applyFont="1" applyFill="1" applyBorder="1" applyAlignment="1">
      <alignment horizontal="center" vertical="center"/>
    </xf>
    <xf numFmtId="9" fontId="6" fillId="12" borderId="0" xfId="0" applyNumberFormat="1" applyFont="1" applyFill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3" fillId="22" borderId="0" xfId="0" applyFont="1" applyFill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6" fillId="18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D5A4DC"/>
      <color rgb="FFA86E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Lorena Montenegro Acuña" refreshedDate="46310.703800694442" createdVersion="8" refreshedVersion="8" minRefreshableVersion="3" recordCount="188" xr:uid="{A34CB538-17AA-46AB-9A97-5D23AAB0B22B}">
  <cacheSource type="worksheet">
    <worksheetSource ref="B5:AA193" sheet="Liquidacion Comision Septiembre"/>
  </cacheSource>
  <cacheFields count="26">
    <cacheField name="Regional" numFmtId="0">
      <sharedItems/>
    </cacheField>
    <cacheField name="RUTA" numFmtId="0">
      <sharedItems/>
    </cacheField>
    <cacheField name="Lider Alqueria" numFmtId="0">
      <sharedItems/>
    </cacheField>
    <cacheField name="Lider" numFmtId="0">
      <sharedItems count="6">
        <s v="ANYI MAYERLIE ORJUELA"/>
        <s v="OSPINO ARAUJO ALEXANDER"/>
        <s v="NATHALY AGUILAR"/>
        <e v="#N/A" u="1"/>
        <s v="HECTOR MEDINA ROZO" u="1"/>
        <s v="MONICA GIRALDO HERNANDEZ" u="1"/>
      </sharedItems>
    </cacheField>
    <cacheField name="Supervisor" numFmtId="0">
      <sharedItems count="18">
        <s v="SUSANA SILVA MENDOZA      "/>
        <s v="GIL MARTINEZ JENNIFER STEFANNIE"/>
        <s v="JUAN PABLO GIL ALMANZA    "/>
        <s v="MELISA MARTINEZ"/>
        <s v="MEJÍA BLANDÓN ASTRID KARINA"/>
        <s v="PEREZ ZAGARRA AUGUSTO EDUARDO"/>
        <s v="GONZALEZ BARRANTES EDWIN JESSID"/>
        <s v="CAMPUZANO IRLET ANDREA"/>
        <s v="BOLAÑOS QUEVEDO ALEXIS"/>
        <s v="PIÑEROS MONTAÑA LAURA ESTEPHANIA"/>
        <s v="SÁNCHEZ ZAMBRANO LEIDY NICOLE VANESSA"/>
        <s v="MARTINEZ VARGAS CHRISTAN RICARDO"/>
        <s v="OSSA TABARES JAZMIN BERNARDA"/>
        <e v="#N/A" u="1"/>
        <s v="ANA LUCIA MEJIA" u="1"/>
        <s v="CLAUDIA ANDREA JIMÉNEZ OROZCO" u="1"/>
        <s v="ROSERO JURADO LAURA CATALINA" u="1"/>
        <s v="ARIAS GARCÍA MARIAN JULIE" u="1"/>
      </sharedItems>
    </cacheField>
    <cacheField name="Valor Comision" numFmtId="164">
      <sharedItems containsSemiMixedTypes="0" containsString="0" containsNumber="1" containsInteger="1" minValue="150000" maxValue="250000"/>
    </cacheField>
    <cacheField name="% Cumpl. Captura" numFmtId="9">
      <sharedItems containsSemiMixedTypes="0" containsString="0" containsNumber="1" minValue="0.33333333333333331" maxValue="1"/>
    </cacheField>
    <cacheField name="Categoria Efec 60%" numFmtId="0">
      <sharedItems/>
    </cacheField>
    <cacheField name="% Cumplimiento Cobertura" numFmtId="9">
      <sharedItems containsSemiMixedTypes="0" containsString="0" containsNumber="1" minValue="0.64" maxValue="1"/>
    </cacheField>
    <cacheField name="Categoria Efec 60%2" numFmtId="0">
      <sharedItems/>
    </cacheField>
    <cacheField name="Promedio Llaves" numFmtId="9">
      <sharedItems containsSemiMixedTypes="0" containsString="0" containsNumber="1" minValue="0.64666666666666672" maxValue="1"/>
    </cacheField>
    <cacheField name="Valor Comision TP" numFmtId="44">
      <sharedItems containsSemiMixedTypes="0" containsString="0" containsNumber="1" containsInteger="1" minValue="90000" maxValue="150000"/>
    </cacheField>
    <cacheField name="% Cumplimiento TP" numFmtId="9">
      <sharedItems containsSemiMixedTypes="0" containsString="0" containsNumber="1" minValue="0.33333333333333331" maxValue="1"/>
    </cacheField>
    <cacheField name="Categoria Efec &gt;60%" numFmtId="0">
      <sharedItems/>
    </cacheField>
    <cacheField name="$ Liquidar" numFmtId="44">
      <sharedItems containsSemiMixedTypes="0" containsString="0" containsNumber="1" containsInteger="1" minValue="0" maxValue="150000"/>
    </cacheField>
    <cacheField name="Valor Comision Ventas" numFmtId="44">
      <sharedItems containsSemiMixedTypes="0" containsString="0" containsNumber="1" containsInteger="1" minValue="50000" maxValue="50000"/>
    </cacheField>
    <cacheField name="% Cumplimiento Ventas" numFmtId="10">
      <sharedItems containsSemiMixedTypes="0" containsString="0" containsNumber="1" minValue="0.50399389459611477" maxValue="2.6859171788457799"/>
    </cacheField>
    <cacheField name="Categoria Efec" numFmtId="44">
      <sharedItems/>
    </cacheField>
    <cacheField name="$ Liquidar2" numFmtId="44">
      <sharedItems containsSemiMixedTypes="0" containsString="0" containsNumber="1" containsInteger="1" minValue="0" maxValue="50000"/>
    </cacheField>
    <cacheField name="Valor Comision FC y Dev" numFmtId="44">
      <sharedItems containsSemiMixedTypes="0" containsString="0" containsNumber="1" containsInteger="1" minValue="30000" maxValue="50000"/>
    </cacheField>
    <cacheField name="% Cumplimiento FC &amp; DV" numFmtId="9">
      <sharedItems containsSemiMixedTypes="0" containsString="0" containsNumber="1" minValue="0" maxValue="1"/>
    </cacheField>
    <cacheField name="Categoria Efec2" numFmtId="0">
      <sharedItems/>
    </cacheField>
    <cacheField name="$ Liquidar3" numFmtId="164">
      <sharedItems containsSemiMixedTypes="0" containsString="0" containsNumber="1" containsInteger="1" minValue="0" maxValue="50000"/>
    </cacheField>
    <cacheField name="Corresponde Comision" numFmtId="44">
      <sharedItems/>
    </cacheField>
    <cacheField name="Valor total A Pagar Real" numFmtId="44">
      <sharedItems containsSemiMixedTypes="0" containsString="0" containsNumber="1" containsInteger="1" minValue="0" maxValue="250000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REGIONAL BOGOTA"/>
    <s v="CTR_1"/>
    <s v="PAULA RUBIO"/>
    <x v="0"/>
    <x v="0"/>
    <n v="250000"/>
    <n v="1"/>
    <s v="Cumple"/>
    <n v="1"/>
    <s v="Cumple"/>
    <n v="1"/>
    <n v="150000"/>
    <n v="1"/>
    <s v="Cumple"/>
    <n v="150000"/>
    <n v="50000"/>
    <n v="1.0926435529677767"/>
    <s v="Cumple"/>
    <n v="50000"/>
    <n v="50000"/>
    <n v="1"/>
    <s v="Cumple"/>
    <n v="50000"/>
    <s v="SI"/>
    <n v="250000"/>
    <m/>
  </r>
  <r>
    <s v="REGIONAL BOGOTA"/>
    <s v="CTR_10"/>
    <s v="PAULA RUBIO"/>
    <x v="0"/>
    <x v="0"/>
    <n v="250000"/>
    <n v="1"/>
    <s v="Cumple"/>
    <n v="1"/>
    <s v="Cumple"/>
    <n v="1"/>
    <n v="150000"/>
    <n v="1"/>
    <s v="Cumple"/>
    <n v="150000"/>
    <n v="50000"/>
    <n v="2.6859171788457799"/>
    <s v="Cumple"/>
    <n v="50000"/>
    <n v="50000"/>
    <n v="1"/>
    <s v="Cumple"/>
    <n v="50000"/>
    <s v="SI"/>
    <n v="250000"/>
    <m/>
  </r>
  <r>
    <s v="REGIONAL BOGOTA"/>
    <s v="CTR_11"/>
    <s v="PAULA RUBIO"/>
    <x v="0"/>
    <x v="0"/>
    <n v="250000"/>
    <n v="0.91666666666666663"/>
    <s v="Cumple"/>
    <n v="0.91666666666666663"/>
    <s v="Cumple"/>
    <n v="0.91666666666666663"/>
    <n v="150000"/>
    <n v="0.94444444444444431"/>
    <s v="Cumple"/>
    <n v="150000"/>
    <n v="50000"/>
    <n v="1.1306234166244273"/>
    <s v="Cumple"/>
    <n v="50000"/>
    <n v="50000"/>
    <n v="0.95833333333333326"/>
    <s v="No Cumple"/>
    <n v="0"/>
    <s v="SI"/>
    <n v="200000"/>
    <m/>
  </r>
  <r>
    <s v="REGIONAL BOGOTA"/>
    <s v="CTR_12"/>
    <s v="PAULA RUBIO"/>
    <x v="0"/>
    <x v="0"/>
    <n v="250000"/>
    <n v="1"/>
    <s v="Cumple"/>
    <n v="1"/>
    <s v="Cumple"/>
    <n v="1"/>
    <n v="150000"/>
    <n v="1"/>
    <s v="Cumple"/>
    <n v="150000"/>
    <n v="50000"/>
    <n v="1.2889293972126517"/>
    <s v="Cumple"/>
    <n v="50000"/>
    <n v="50000"/>
    <n v="1"/>
    <s v="Cumple"/>
    <n v="50000"/>
    <s v="SI"/>
    <n v="250000"/>
    <m/>
  </r>
  <r>
    <s v="REGIONAL BOGOTA"/>
    <s v="CTR_13"/>
    <s v="ALEJANDRO RODRIGUEZ"/>
    <x v="0"/>
    <x v="0"/>
    <n v="250000"/>
    <n v="1"/>
    <s v="Cumple"/>
    <n v="1"/>
    <s v="Cumple"/>
    <n v="1"/>
    <n v="150000"/>
    <n v="1"/>
    <s v="Cumple"/>
    <n v="150000"/>
    <n v="50000"/>
    <n v="1.1378459129618947"/>
    <s v="Cumple"/>
    <n v="50000"/>
    <n v="50000"/>
    <n v="1"/>
    <s v="Cumple"/>
    <n v="50000"/>
    <s v="SI"/>
    <n v="250000"/>
    <m/>
  </r>
  <r>
    <s v="REGIONAL BOGOTA"/>
    <s v="CTR_14"/>
    <s v="PAULA RUBIO"/>
    <x v="0"/>
    <x v="0"/>
    <n v="250000"/>
    <n v="1"/>
    <s v="Cumple"/>
    <n v="1"/>
    <s v="Cumple"/>
    <n v="1"/>
    <n v="150000"/>
    <n v="0.88888888888888884"/>
    <s v="Cumple"/>
    <n v="150000"/>
    <n v="50000"/>
    <n v="1.1051650648477578"/>
    <s v="Cumple"/>
    <n v="50000"/>
    <n v="50000"/>
    <n v="0.5"/>
    <s v="No Cumple"/>
    <n v="0"/>
    <s v="SI"/>
    <n v="200000"/>
    <m/>
  </r>
  <r>
    <s v="REGIONAL BOGOTA"/>
    <s v="CTR_15"/>
    <s v="PAULA RUBIO"/>
    <x v="0"/>
    <x v="0"/>
    <n v="250000"/>
    <n v="1"/>
    <s v="Cumple"/>
    <n v="1"/>
    <s v="Cumple"/>
    <n v="1"/>
    <n v="150000"/>
    <n v="0.9555555555555556"/>
    <s v="Cumple"/>
    <n v="150000"/>
    <n v="50000"/>
    <n v="1.1243967722996251"/>
    <s v="Cumple"/>
    <n v="50000"/>
    <n v="50000"/>
    <n v="0.5"/>
    <s v="No Cumple"/>
    <n v="0"/>
    <s v="SI"/>
    <n v="200000"/>
    <m/>
  </r>
  <r>
    <s v="REGIONAL BOGOTA"/>
    <s v="CTR_16"/>
    <s v="PAULA RUBIO"/>
    <x v="0"/>
    <x v="0"/>
    <n v="250000"/>
    <n v="1"/>
    <s v="Cumple"/>
    <n v="1"/>
    <s v="Cumple"/>
    <n v="1"/>
    <n v="150000"/>
    <n v="1"/>
    <s v="Cumple"/>
    <n v="150000"/>
    <n v="50000"/>
    <n v="1.1839680179181065"/>
    <s v="Cumple"/>
    <n v="50000"/>
    <n v="50000"/>
    <n v="1"/>
    <s v="Cumple"/>
    <n v="50000"/>
    <s v="SI"/>
    <n v="250000"/>
    <m/>
  </r>
  <r>
    <s v="REGIONAL BOGOTA"/>
    <s v="CTR_2"/>
    <s v="FANNY FERNANDEZ"/>
    <x v="0"/>
    <x v="1"/>
    <n v="250000"/>
    <n v="1"/>
    <s v="Cumple"/>
    <n v="1"/>
    <s v="Cumple"/>
    <n v="1"/>
    <n v="150000"/>
    <n v="1"/>
    <s v="Cumple"/>
    <n v="150000"/>
    <n v="50000"/>
    <n v="1.1922166288206193"/>
    <s v="Cumple"/>
    <n v="50000"/>
    <n v="50000"/>
    <n v="1"/>
    <s v="Cumple"/>
    <n v="50000"/>
    <s v="SI"/>
    <n v="250000"/>
    <m/>
  </r>
  <r>
    <s v="REGIONAL BOGOTA"/>
    <s v="CTR_3"/>
    <s v="FANNY FERNANDEZ"/>
    <x v="0"/>
    <x v="1"/>
    <n v="150000"/>
    <n v="0.33333333333333331"/>
    <s v="No Cumple"/>
    <n v="1"/>
    <s v="Cumple"/>
    <n v="0.66666666666666663"/>
    <n v="90000"/>
    <n v="0.66666666666666663"/>
    <s v="Cumple"/>
    <n v="54000"/>
    <n v="50000"/>
    <n v="1.1921999999999999"/>
    <s v="Cumple"/>
    <n v="50000"/>
    <n v="30000"/>
    <n v="1"/>
    <s v="Cumple"/>
    <n v="30000"/>
    <s v="SI"/>
    <n v="134000"/>
    <m/>
  </r>
  <r>
    <s v="REGIONAL BOGOTA"/>
    <s v="CTR_4"/>
    <s v="CAMILO RINCON"/>
    <x v="0"/>
    <x v="0"/>
    <n v="250000"/>
    <n v="1"/>
    <s v="Cumple"/>
    <n v="1"/>
    <s v="Cumple"/>
    <n v="1"/>
    <n v="150000"/>
    <n v="0.58333333333333337"/>
    <s v="No Cumple"/>
    <n v="0"/>
    <n v="50000"/>
    <n v="1.5777985138145765"/>
    <s v="Cumple"/>
    <n v="50000"/>
    <n v="50000"/>
    <n v="1"/>
    <s v="Cumple"/>
    <n v="50000"/>
    <s v="SI"/>
    <n v="100000"/>
    <m/>
  </r>
  <r>
    <s v="REGIONAL BOGOTA"/>
    <s v="CTR_5"/>
    <s v="CAMILO RINCON"/>
    <x v="0"/>
    <x v="0"/>
    <n v="250000"/>
    <n v="0.66666666666666663"/>
    <s v="Cumple"/>
    <n v="1"/>
    <s v="Cumple"/>
    <n v="0.83333333333333326"/>
    <n v="150000"/>
    <n v="0.66666666666666663"/>
    <s v="Cumple"/>
    <n v="90000"/>
    <n v="50000"/>
    <n v="1.5778000000000001"/>
    <s v="Cumple"/>
    <n v="50000"/>
    <n v="50000"/>
    <n v="1"/>
    <s v="Cumple"/>
    <n v="50000"/>
    <s v="SI"/>
    <n v="190000"/>
    <m/>
  </r>
  <r>
    <s v="REGIONAL BOGOTA"/>
    <s v="CTR_6"/>
    <s v="PAULA RUBIO"/>
    <x v="0"/>
    <x v="0"/>
    <n v="250000"/>
    <n v="1"/>
    <s v="Cumple"/>
    <n v="0.8"/>
    <s v="Cumple"/>
    <n v="0.9"/>
    <n v="150000"/>
    <n v="0.93333333333333324"/>
    <s v="Cumple"/>
    <n v="150000"/>
    <n v="50000"/>
    <n v="0.98928990804900152"/>
    <s v="Cumple"/>
    <n v="49000"/>
    <n v="50000"/>
    <n v="1"/>
    <s v="Cumple"/>
    <n v="50000"/>
    <s v="SI"/>
    <n v="249000"/>
    <m/>
  </r>
  <r>
    <s v="REGIONAL BOGOTA"/>
    <s v="CTR_7"/>
    <s v="ALEJANDRO RODRIGUEZ"/>
    <x v="0"/>
    <x v="0"/>
    <n v="250000"/>
    <n v="1"/>
    <s v="Cumple"/>
    <n v="1"/>
    <s v="Cumple"/>
    <n v="1"/>
    <n v="150000"/>
    <n v="1"/>
    <s v="Cumple"/>
    <n v="150000"/>
    <n v="50000"/>
    <n v="1.0011239365245241"/>
    <s v="Cumple"/>
    <n v="50000"/>
    <n v="50000"/>
    <n v="1"/>
    <s v="Cumple"/>
    <n v="50000"/>
    <s v="SI"/>
    <n v="250000"/>
    <m/>
  </r>
  <r>
    <s v="REGIONAL BOGOTA"/>
    <s v="CTR_8"/>
    <s v="CAMILO RINCON"/>
    <x v="0"/>
    <x v="0"/>
    <n v="250000"/>
    <n v="0.83333333333333337"/>
    <s v="Cumple"/>
    <n v="0.83333333333333337"/>
    <s v="Cumple"/>
    <n v="0.83333333333333337"/>
    <n v="150000"/>
    <n v="0.88888888888888895"/>
    <s v="Cumple"/>
    <n v="150000"/>
    <n v="50000"/>
    <n v="1.0138424832148571"/>
    <s v="Cumple"/>
    <n v="50000"/>
    <n v="50000"/>
    <n v="0.91666666666666674"/>
    <s v="No Cumple"/>
    <n v="0"/>
    <s v="SI"/>
    <n v="200000"/>
    <m/>
  </r>
  <r>
    <s v="REGIONAL BOGOTA"/>
    <s v="CTR_9"/>
    <s v="ALEJANDRO RODRIGUEZ"/>
    <x v="0"/>
    <x v="0"/>
    <n v="250000"/>
    <n v="1"/>
    <s v="Cumple"/>
    <n v="1"/>
    <s v="Cumple"/>
    <n v="1"/>
    <n v="150000"/>
    <n v="1"/>
    <s v="Cumple"/>
    <n v="150000"/>
    <n v="50000"/>
    <n v="0.75218713562562833"/>
    <s v="No Cumple"/>
    <n v="35000"/>
    <n v="50000"/>
    <n v="1"/>
    <s v="Cumple"/>
    <n v="50000"/>
    <s v="SI"/>
    <n v="235000"/>
    <m/>
  </r>
  <r>
    <s v="REGIONAL BOGOTA"/>
    <s v="SOR_1"/>
    <s v="ALEJANDRO RODRIGUEZ"/>
    <x v="0"/>
    <x v="2"/>
    <n v="250000"/>
    <n v="1"/>
    <s v="Cumple"/>
    <n v="1"/>
    <s v="Cumple"/>
    <n v="1"/>
    <n v="150000"/>
    <n v="1"/>
    <s v="Cumple"/>
    <n v="150000"/>
    <n v="50000"/>
    <n v="1.1783684512729431"/>
    <s v="Cumple"/>
    <n v="50000"/>
    <n v="50000"/>
    <n v="1"/>
    <s v="Cumple"/>
    <n v="50000"/>
    <s v="SI"/>
    <n v="250000"/>
    <m/>
  </r>
  <r>
    <s v="REGIONAL BOGOTA"/>
    <s v="SOR_10"/>
    <s v="ALEJANDRO RODRIGUEZ"/>
    <x v="0"/>
    <x v="2"/>
    <n v="250000"/>
    <n v="1"/>
    <s v="Cumple"/>
    <n v="1"/>
    <s v="Cumple"/>
    <n v="1"/>
    <n v="150000"/>
    <n v="0.875"/>
    <s v="Cumple"/>
    <n v="150000"/>
    <n v="50000"/>
    <n v="1.0265768906055284"/>
    <s v="Cumple"/>
    <n v="50000"/>
    <n v="50000"/>
    <n v="1"/>
    <s v="Cumple"/>
    <n v="50000"/>
    <s v="SI"/>
    <n v="250000"/>
    <m/>
  </r>
  <r>
    <s v="REGIONAL BOGOTA"/>
    <s v="SOR_11"/>
    <s v="ALEJANDRO RODRIGUEZ"/>
    <x v="0"/>
    <x v="2"/>
    <n v="250000"/>
    <n v="1"/>
    <s v="Cumple"/>
    <n v="1"/>
    <s v="Cumple"/>
    <n v="1"/>
    <n v="150000"/>
    <n v="0.97916666666666663"/>
    <s v="Cumple"/>
    <n v="150000"/>
    <n v="50000"/>
    <n v="0.93665487234488465"/>
    <s v="Cumple"/>
    <n v="45000"/>
    <n v="50000"/>
    <n v="1"/>
    <s v="Cumple"/>
    <n v="50000"/>
    <s v="SI"/>
    <n v="245000"/>
    <m/>
  </r>
  <r>
    <s v="REGIONAL BOGOTA"/>
    <s v="SOR_12"/>
    <s v="PAULA RUBIO"/>
    <x v="0"/>
    <x v="2"/>
    <n v="250000"/>
    <n v="1"/>
    <s v="Cumple"/>
    <n v="1"/>
    <s v="Cumple"/>
    <n v="1"/>
    <n v="150000"/>
    <n v="1"/>
    <s v="Cumple"/>
    <n v="150000"/>
    <n v="50000"/>
    <n v="1.0490626894106316"/>
    <s v="Cumple"/>
    <n v="50000"/>
    <n v="50000"/>
    <n v="1"/>
    <s v="Cumple"/>
    <n v="50000"/>
    <s v="SI"/>
    <n v="250000"/>
    <m/>
  </r>
  <r>
    <s v="REGIONAL BOGOTA"/>
    <s v="SOR_13"/>
    <s v="ALEJANDRO RODRIGUEZ"/>
    <x v="0"/>
    <x v="2"/>
    <n v="250000"/>
    <n v="1"/>
    <s v="Cumple"/>
    <n v="1"/>
    <s v="Cumple"/>
    <n v="1"/>
    <n v="150000"/>
    <n v="0.97777777777777786"/>
    <s v="Cumple"/>
    <n v="150000"/>
    <n v="50000"/>
    <n v="1.113367350715752"/>
    <s v="Cumple"/>
    <n v="50000"/>
    <n v="50000"/>
    <n v="0.5"/>
    <s v="No Cumple"/>
    <n v="0"/>
    <s v="SI"/>
    <n v="200000"/>
    <m/>
  </r>
  <r>
    <s v="REGIONAL BOGOTA"/>
    <s v="SOR_14"/>
    <s v="ALEJANDRO RODRIGUEZ"/>
    <x v="0"/>
    <x v="2"/>
    <n v="250000"/>
    <n v="1"/>
    <s v="Cumple"/>
    <n v="1"/>
    <s v="Cumple"/>
    <n v="1"/>
    <n v="150000"/>
    <n v="1"/>
    <s v="Cumple"/>
    <n v="150000"/>
    <n v="50000"/>
    <n v="0.9"/>
    <s v="Cumple"/>
    <n v="40000"/>
    <n v="50000"/>
    <n v="0.5"/>
    <s v="No Cumple"/>
    <n v="0"/>
    <s v="SI"/>
    <n v="190000"/>
    <m/>
  </r>
  <r>
    <s v="REGIONAL BOGOTA"/>
    <s v="SOR_15"/>
    <s v="ALEJANDRO RODRIGUEZ"/>
    <x v="0"/>
    <x v="2"/>
    <n v="250000"/>
    <n v="0.94444444444444431"/>
    <s v="Cumple"/>
    <n v="1"/>
    <s v="Cumple"/>
    <n v="0.9722222222222221"/>
    <n v="150000"/>
    <n v="0.98148148148148151"/>
    <s v="Cumple"/>
    <n v="150000"/>
    <n v="50000"/>
    <n v="1.0407577141295217"/>
    <s v="Cumple"/>
    <n v="50000"/>
    <n v="50000"/>
    <n v="0.97222222222222221"/>
    <s v="No Cumple"/>
    <n v="0"/>
    <s v="SI"/>
    <n v="200000"/>
    <m/>
  </r>
  <r>
    <s v="REGIONAL BOGOTA"/>
    <s v="SOR_16"/>
    <s v="ALEJANDRO RODRIGUEZ"/>
    <x v="0"/>
    <x v="2"/>
    <n v="250000"/>
    <n v="1"/>
    <s v="Cumple"/>
    <n v="1"/>
    <s v="Cumple"/>
    <n v="1"/>
    <n v="150000"/>
    <n v="1"/>
    <s v="Cumple"/>
    <n v="150000"/>
    <n v="50000"/>
    <n v="0.98077536531127651"/>
    <s v="Cumple"/>
    <n v="49000"/>
    <n v="50000"/>
    <n v="1"/>
    <s v="Cumple"/>
    <n v="50000"/>
    <s v="SI"/>
    <n v="249000"/>
    <m/>
  </r>
  <r>
    <s v="REGIONAL BOGOTA"/>
    <s v="SOR_2"/>
    <s v="ALEJANDRO RODRIGUEZ"/>
    <x v="0"/>
    <x v="2"/>
    <n v="250000"/>
    <n v="1"/>
    <s v="Cumple"/>
    <n v="1"/>
    <s v="Cumple"/>
    <n v="1"/>
    <n v="150000"/>
    <n v="1"/>
    <s v="Cumple"/>
    <n v="150000"/>
    <n v="50000"/>
    <n v="0.63770592262535175"/>
    <s v="No Cumple"/>
    <n v="0"/>
    <n v="50000"/>
    <n v="0.5"/>
    <s v="No Cumple"/>
    <n v="0"/>
    <s v="SI"/>
    <n v="150000"/>
    <m/>
  </r>
  <r>
    <s v="REGIONAL BOGOTA"/>
    <s v="SOR_3"/>
    <s v="ALEJANDRO RODRIGUEZ"/>
    <x v="0"/>
    <x v="2"/>
    <n v="250000"/>
    <n v="1"/>
    <s v="Cumple"/>
    <n v="1"/>
    <s v="Cumple"/>
    <n v="1"/>
    <n v="150000"/>
    <n v="1"/>
    <s v="Cumple"/>
    <n v="150000"/>
    <n v="50000"/>
    <n v="0.92267606584674922"/>
    <s v="Cumple"/>
    <n v="45000"/>
    <n v="50000"/>
    <n v="1"/>
    <s v="Cumple"/>
    <n v="50000"/>
    <s v="SI"/>
    <n v="245000"/>
    <m/>
  </r>
  <r>
    <s v="REGIONAL BOGOTA"/>
    <s v="SOR_4"/>
    <s v="ALEJANDRO RODRIGUEZ"/>
    <x v="0"/>
    <x v="2"/>
    <n v="250000"/>
    <n v="1"/>
    <s v="Cumple"/>
    <n v="1"/>
    <s v="Cumple"/>
    <n v="1"/>
    <n v="150000"/>
    <n v="1"/>
    <s v="Cumple"/>
    <n v="150000"/>
    <n v="50000"/>
    <n v="1.0741337092686345"/>
    <s v="Cumple"/>
    <n v="50000"/>
    <n v="50000"/>
    <n v="1"/>
    <s v="Cumple"/>
    <n v="50000"/>
    <s v="SI"/>
    <n v="250000"/>
    <m/>
  </r>
  <r>
    <s v="REGIONAL BOGOTA"/>
    <s v="SOR_5"/>
    <s v="ALEJANDRO RODRIGUEZ"/>
    <x v="0"/>
    <x v="2"/>
    <n v="250000"/>
    <n v="1"/>
    <s v="Cumple"/>
    <n v="1"/>
    <s v="Cumple"/>
    <n v="1"/>
    <n v="150000"/>
    <n v="1"/>
    <s v="Cumple"/>
    <n v="150000"/>
    <n v="50000"/>
    <n v="1.1144580009126137"/>
    <s v="Cumple"/>
    <n v="50000"/>
    <n v="50000"/>
    <n v="1"/>
    <s v="Cumple"/>
    <n v="50000"/>
    <s v="SI"/>
    <n v="250000"/>
    <m/>
  </r>
  <r>
    <s v="REGIONAL BOGOTA"/>
    <s v="SOR_6"/>
    <s v="ALEJANDRO RODRIGUEZ"/>
    <x v="0"/>
    <x v="2"/>
    <n v="250000"/>
    <n v="1"/>
    <s v="Cumple"/>
    <n v="1"/>
    <s v="Cumple"/>
    <n v="1"/>
    <n v="150000"/>
    <n v="1"/>
    <s v="Cumple"/>
    <n v="150000"/>
    <n v="50000"/>
    <n v="0.97915641065613335"/>
    <s v="Cumple"/>
    <n v="48500"/>
    <n v="50000"/>
    <n v="1"/>
    <s v="Cumple"/>
    <n v="50000"/>
    <s v="SI"/>
    <n v="248500"/>
    <m/>
  </r>
  <r>
    <s v="REGIONAL BOGOTA"/>
    <s v="SOR_7"/>
    <s v="ALEJANDRO RODRIGUEZ"/>
    <x v="0"/>
    <x v="2"/>
    <n v="250000"/>
    <n v="1"/>
    <s v="Cumple"/>
    <n v="1"/>
    <s v="Cumple"/>
    <n v="1"/>
    <n v="150000"/>
    <n v="1"/>
    <s v="Cumple"/>
    <n v="150000"/>
    <n v="50000"/>
    <n v="1.0518476585015"/>
    <s v="Cumple"/>
    <n v="50000"/>
    <n v="50000"/>
    <n v="0.5"/>
    <s v="No Cumple"/>
    <n v="0"/>
    <s v="SI"/>
    <n v="200000"/>
    <m/>
  </r>
  <r>
    <s v="REGIONAL BOGOTA"/>
    <s v="SOR_8"/>
    <s v="ALEJANDRO RODRIGUEZ"/>
    <x v="0"/>
    <x v="2"/>
    <n v="250000"/>
    <n v="1"/>
    <s v="Cumple"/>
    <n v="1"/>
    <s v="Cumple"/>
    <n v="1"/>
    <n v="150000"/>
    <n v="1"/>
    <s v="Cumple"/>
    <n v="150000"/>
    <n v="50000"/>
    <n v="1.1790921475886422"/>
    <s v="Cumple"/>
    <n v="50000"/>
    <n v="50000"/>
    <n v="1"/>
    <s v="Cumple"/>
    <n v="50000"/>
    <s v="SI"/>
    <n v="250000"/>
    <m/>
  </r>
  <r>
    <s v="REGIONAL BOGOTA"/>
    <s v="SOR_9"/>
    <s v="ALEJANDRO RODRIGUEZ"/>
    <x v="0"/>
    <x v="2"/>
    <n v="250000"/>
    <n v="1"/>
    <s v="Cumple"/>
    <n v="1"/>
    <s v="Cumple"/>
    <n v="1"/>
    <n v="150000"/>
    <n v="1"/>
    <s v="Cumple"/>
    <n v="150000"/>
    <n v="50000"/>
    <n v="1.1548936014385496"/>
    <s v="Cumple"/>
    <n v="50000"/>
    <n v="50000"/>
    <n v="1"/>
    <s v="Cumple"/>
    <n v="50000"/>
    <s v="SI"/>
    <n v="250000"/>
    <m/>
  </r>
  <r>
    <s v="REGIONAL BOGOTA"/>
    <s v="NOC_1"/>
    <s v="PAULA RUBIO"/>
    <x v="0"/>
    <x v="3"/>
    <n v="250000"/>
    <n v="1"/>
    <s v="Cumple"/>
    <n v="1"/>
    <s v="Cumple"/>
    <n v="1"/>
    <n v="150000"/>
    <n v="1"/>
    <s v="Cumple"/>
    <n v="150000"/>
    <n v="50000"/>
    <n v="1.1734626413893818"/>
    <s v="Cumple"/>
    <n v="50000"/>
    <n v="50000"/>
    <n v="1"/>
    <s v="Cumple"/>
    <n v="50000"/>
    <s v="SI"/>
    <n v="250000"/>
    <m/>
  </r>
  <r>
    <s v="REGIONAL BOGOTA"/>
    <s v="NOC_10"/>
    <s v="PAULA RUBIO"/>
    <x v="0"/>
    <x v="3"/>
    <n v="250000"/>
    <n v="1"/>
    <s v="Cumple"/>
    <n v="1"/>
    <s v="Cumple"/>
    <n v="1"/>
    <n v="150000"/>
    <n v="1"/>
    <s v="Cumple"/>
    <n v="150000"/>
    <n v="50000"/>
    <n v="1.1859239879233825"/>
    <s v="Cumple"/>
    <n v="50000"/>
    <n v="50000"/>
    <n v="1"/>
    <s v="Cumple"/>
    <n v="50000"/>
    <s v="SI"/>
    <n v="250000"/>
    <m/>
  </r>
  <r>
    <s v="REGIONAL BOGOTA"/>
    <s v="NOC_11"/>
    <s v="PAULA RUBIO"/>
    <x v="0"/>
    <x v="3"/>
    <n v="250000"/>
    <n v="1"/>
    <s v="Cumple"/>
    <n v="1"/>
    <s v="Cumple"/>
    <n v="1"/>
    <n v="150000"/>
    <n v="0.97619047619047628"/>
    <s v="Cumple"/>
    <n v="150000"/>
    <n v="50000"/>
    <n v="1.0106447267902268"/>
    <s v="Cumple"/>
    <n v="50000"/>
    <n v="50000"/>
    <n v="1"/>
    <s v="Cumple"/>
    <n v="50000"/>
    <s v="SI"/>
    <n v="250000"/>
    <m/>
  </r>
  <r>
    <s v="REGIONAL BOGOTA"/>
    <s v="NOC_12"/>
    <s v="PAULA RUBIO"/>
    <x v="0"/>
    <x v="3"/>
    <n v="250000"/>
    <n v="1"/>
    <s v="Cumple"/>
    <n v="1"/>
    <s v="Cumple"/>
    <n v="1"/>
    <n v="150000"/>
    <n v="0.9"/>
    <s v="Cumple"/>
    <n v="150000"/>
    <n v="50000"/>
    <n v="0.88482229005102719"/>
    <s v="Cumple"/>
    <n v="40000"/>
    <n v="50000"/>
    <n v="1"/>
    <s v="Cumple"/>
    <n v="50000"/>
    <s v="SI"/>
    <n v="240000"/>
    <m/>
  </r>
  <r>
    <s v="REGIONAL BOGOTA"/>
    <s v="NOC_13"/>
    <s v="PAULA RUBIO"/>
    <x v="0"/>
    <x v="3"/>
    <n v="250000"/>
    <n v="1"/>
    <s v="Cumple"/>
    <n v="1"/>
    <s v="Cumple"/>
    <n v="1"/>
    <n v="150000"/>
    <n v="0.87878787878787878"/>
    <s v="Cumple"/>
    <n v="150000"/>
    <n v="50000"/>
    <n v="0.96249277888687701"/>
    <s v="Cumple"/>
    <n v="48000"/>
    <n v="50000"/>
    <n v="1"/>
    <s v="Cumple"/>
    <n v="50000"/>
    <s v="SI"/>
    <n v="248000"/>
    <m/>
  </r>
  <r>
    <s v="REGIONAL BOGOTA"/>
    <s v="NOC_14"/>
    <s v="PAULA RUBIO"/>
    <x v="0"/>
    <x v="3"/>
    <n v="250000"/>
    <n v="1"/>
    <s v="Cumple"/>
    <n v="1"/>
    <s v="Cumple"/>
    <n v="1"/>
    <n v="150000"/>
    <n v="1"/>
    <s v="Cumple"/>
    <n v="150000"/>
    <n v="50000"/>
    <n v="1.3033163664406653"/>
    <s v="Cumple"/>
    <n v="50000"/>
    <n v="50000"/>
    <n v="1"/>
    <s v="Cumple"/>
    <n v="50000"/>
    <s v="SI"/>
    <n v="250000"/>
    <m/>
  </r>
  <r>
    <s v="REGIONAL BOGOTA"/>
    <s v="NOC_15"/>
    <s v="ALEJANDRO RODRIGUEZ"/>
    <x v="0"/>
    <x v="3"/>
    <n v="250000"/>
    <n v="1"/>
    <s v="Cumple"/>
    <n v="1"/>
    <s v="Cumple"/>
    <n v="1"/>
    <n v="150000"/>
    <n v="0.83333333333333337"/>
    <s v="Cumple"/>
    <n v="150000"/>
    <n v="50000"/>
    <n v="0.91248681742671056"/>
    <s v="Cumple"/>
    <n v="45000"/>
    <n v="50000"/>
    <n v="1"/>
    <s v="Cumple"/>
    <n v="50000"/>
    <s v="SI"/>
    <n v="245000"/>
    <m/>
  </r>
  <r>
    <s v="REGIONAL BOGOTA"/>
    <s v="NOC_16"/>
    <s v="PAULA RUBIO"/>
    <x v="0"/>
    <x v="3"/>
    <n v="250000"/>
    <n v="1"/>
    <s v="Cumple"/>
    <n v="1"/>
    <s v="Cumple"/>
    <n v="1"/>
    <n v="150000"/>
    <n v="1"/>
    <s v="Cumple"/>
    <n v="150000"/>
    <n v="50000"/>
    <n v="0.87276123433748432"/>
    <s v="Cumple"/>
    <n v="40000"/>
    <n v="50000"/>
    <n v="1"/>
    <s v="Cumple"/>
    <n v="50000"/>
    <s v="SI"/>
    <n v="240000"/>
    <m/>
  </r>
  <r>
    <s v="REGIONAL BOGOTA"/>
    <s v="NOC_2"/>
    <s v="PAULA RUBIO"/>
    <x v="0"/>
    <x v="3"/>
    <n v="250000"/>
    <n v="1"/>
    <s v="Cumple"/>
    <n v="1"/>
    <s v="Cumple"/>
    <n v="1"/>
    <n v="150000"/>
    <n v="1"/>
    <s v="Cumple"/>
    <n v="150000"/>
    <n v="50000"/>
    <n v="1.0207812410080639"/>
    <s v="Cumple"/>
    <n v="50000"/>
    <n v="50000"/>
    <n v="1"/>
    <s v="Cumple"/>
    <n v="50000"/>
    <s v="SI"/>
    <n v="250000"/>
    <m/>
  </r>
  <r>
    <s v="REGIONAL BOGOTA"/>
    <s v="NOC_3"/>
    <s v="PAULA RUBIO"/>
    <x v="0"/>
    <x v="3"/>
    <n v="250000"/>
    <n v="0.79999999999999993"/>
    <s v="Cumple"/>
    <n v="1"/>
    <s v="Cumple"/>
    <n v="0.89999999999999991"/>
    <n v="150000"/>
    <n v="0.8"/>
    <s v="Cumple"/>
    <n v="150000"/>
    <n v="50000"/>
    <n v="0.98595944459669216"/>
    <s v="Cumple"/>
    <n v="49000"/>
    <n v="50000"/>
    <n v="1"/>
    <s v="Cumple"/>
    <n v="50000"/>
    <s v="SI"/>
    <n v="249000"/>
    <m/>
  </r>
  <r>
    <s v="REGIONAL BOGOTA"/>
    <s v="NOC_4"/>
    <s v="PAULA RUBIO"/>
    <x v="0"/>
    <x v="3"/>
    <n v="250000"/>
    <n v="1"/>
    <s v="Cumple"/>
    <n v="1"/>
    <s v="Cumple"/>
    <n v="1"/>
    <n v="150000"/>
    <n v="0.97777777777777786"/>
    <s v="Cumple"/>
    <n v="150000"/>
    <n v="50000"/>
    <n v="0.98320593751493024"/>
    <s v="Cumple"/>
    <n v="49000"/>
    <n v="50000"/>
    <n v="1"/>
    <s v="Cumple"/>
    <n v="50000"/>
    <s v="SI"/>
    <n v="249000"/>
    <m/>
  </r>
  <r>
    <s v="REGIONAL BOGOTA"/>
    <s v="NOC_5"/>
    <s v="PAULA RUBIO"/>
    <x v="0"/>
    <x v="3"/>
    <n v="250000"/>
    <n v="1"/>
    <s v="Cumple"/>
    <n v="1"/>
    <s v="Cumple"/>
    <n v="1"/>
    <n v="150000"/>
    <n v="1"/>
    <s v="Cumple"/>
    <n v="150000"/>
    <n v="50000"/>
    <n v="1.0418461991478942"/>
    <s v="Cumple"/>
    <n v="50000"/>
    <n v="50000"/>
    <n v="1"/>
    <s v="Cumple"/>
    <n v="50000"/>
    <s v="SI"/>
    <n v="250000"/>
    <m/>
  </r>
  <r>
    <s v="REGIONAL BOGOTA"/>
    <s v="NOC_6"/>
    <s v="PAULA RUBIO"/>
    <x v="0"/>
    <x v="3"/>
    <n v="250000"/>
    <n v="1"/>
    <s v="Cumple"/>
    <n v="1"/>
    <s v="Cumple"/>
    <n v="1"/>
    <n v="150000"/>
    <n v="1"/>
    <s v="Cumple"/>
    <n v="150000"/>
    <n v="50000"/>
    <n v="0.89061567651740026"/>
    <s v="Cumple"/>
    <n v="40000"/>
    <n v="50000"/>
    <n v="1"/>
    <s v="Cumple"/>
    <n v="50000"/>
    <s v="SI"/>
    <n v="240000"/>
    <m/>
  </r>
  <r>
    <s v="REGIONAL BOGOTA"/>
    <s v="NOC_7"/>
    <s v="PAULA RUBIO"/>
    <x v="0"/>
    <x v="3"/>
    <n v="250000"/>
    <n v="1"/>
    <s v="Cumple"/>
    <n v="1"/>
    <s v="Cumple"/>
    <n v="1"/>
    <n v="150000"/>
    <n v="0.96296296296296291"/>
    <s v="Cumple"/>
    <n v="150000"/>
    <n v="50000"/>
    <n v="1.0858985777949481"/>
    <s v="Cumple"/>
    <n v="50000"/>
    <n v="50000"/>
    <n v="1"/>
    <s v="Cumple"/>
    <n v="50000"/>
    <s v="SI"/>
    <n v="250000"/>
    <m/>
  </r>
  <r>
    <s v="REGIONAL BOGOTA"/>
    <s v="NOC_8"/>
    <s v="PAULA RUBIO"/>
    <x v="0"/>
    <x v="3"/>
    <n v="250000"/>
    <n v="1"/>
    <s v="Cumple"/>
    <n v="1"/>
    <s v="Cumple"/>
    <n v="1"/>
    <n v="150000"/>
    <n v="0.93939393939393945"/>
    <s v="Cumple"/>
    <n v="150000"/>
    <n v="50000"/>
    <n v="1.089377630610233"/>
    <s v="Cumple"/>
    <n v="50000"/>
    <n v="50000"/>
    <n v="1"/>
    <s v="Cumple"/>
    <n v="50000"/>
    <s v="SI"/>
    <n v="250000"/>
    <m/>
  </r>
  <r>
    <s v="REGIONAL BOGOTA"/>
    <s v="NOC_9"/>
    <s v="PAULA RUBIO"/>
    <x v="0"/>
    <x v="3"/>
    <n v="250000"/>
    <n v="1"/>
    <s v="Cumple"/>
    <n v="1"/>
    <s v="Cumple"/>
    <n v="1"/>
    <n v="150000"/>
    <n v="0.94871794871794879"/>
    <s v="Cumple"/>
    <n v="150000"/>
    <n v="50000"/>
    <n v="1.0448136830078516"/>
    <s v="Cumple"/>
    <n v="50000"/>
    <n v="50000"/>
    <n v="1"/>
    <s v="Cumple"/>
    <n v="50000"/>
    <s v="SI"/>
    <n v="250000"/>
    <m/>
  </r>
  <r>
    <s v="REGIONAL ANTIOQUIA"/>
    <s v="CALDAS_1"/>
    <s v="DEISY BERRIO"/>
    <x v="1"/>
    <x v="4"/>
    <n v="250000"/>
    <n v="1"/>
    <s v="Cumple"/>
    <n v="1"/>
    <s v="Cumple"/>
    <n v="1"/>
    <n v="150000"/>
    <n v="1"/>
    <s v="Cumple"/>
    <n v="150000"/>
    <n v="50000"/>
    <n v="1.4124246952616459"/>
    <s v="Cumple"/>
    <n v="50000"/>
    <n v="50000"/>
    <n v="1"/>
    <s v="Cumple"/>
    <n v="50000"/>
    <s v="SI"/>
    <n v="250000"/>
    <m/>
  </r>
  <r>
    <s v="REGIONAL ANTIOQUIA"/>
    <s v="ENVIGADO_1"/>
    <s v="DEISY BERRIO"/>
    <x v="1"/>
    <x v="4"/>
    <n v="250000"/>
    <n v="1"/>
    <s v="Cumple"/>
    <n v="1"/>
    <s v="Cumple"/>
    <n v="1"/>
    <n v="150000"/>
    <n v="0.91666666666666663"/>
    <s v="Cumple"/>
    <n v="150000"/>
    <n v="50000"/>
    <n v="1.2388962584107799"/>
    <s v="Cumple"/>
    <n v="50000"/>
    <n v="50000"/>
    <n v="1"/>
    <s v="Cumple"/>
    <n v="50000"/>
    <s v="SI"/>
    <n v="250000"/>
    <m/>
  </r>
  <r>
    <s v="REGIONAL ANTIOQUIA"/>
    <s v="ENVIGADO_2"/>
    <s v="DEISY BERRIO"/>
    <x v="1"/>
    <x v="4"/>
    <n v="250000"/>
    <n v="1"/>
    <s v="Cumple"/>
    <n v="1"/>
    <s v="Cumple"/>
    <n v="1"/>
    <n v="150000"/>
    <n v="0.83475783475783472"/>
    <s v="Cumple"/>
    <n v="150000"/>
    <n v="50000"/>
    <n v="0.97355096105720129"/>
    <s v="Cumple"/>
    <n v="48500"/>
    <n v="50000"/>
    <n v="0.5"/>
    <s v="No Cumple"/>
    <n v="0"/>
    <s v="SI"/>
    <n v="198500"/>
    <m/>
  </r>
  <r>
    <s v="REGIONAL ANTIOQUIA"/>
    <s v="ENVIGADO_3"/>
    <s v="DEISY BERRIO"/>
    <x v="1"/>
    <x v="4"/>
    <n v="250000"/>
    <n v="0.8571428571428571"/>
    <s v="Cumple"/>
    <n v="0.8571428571428571"/>
    <s v="Cumple"/>
    <n v="0.8571428571428571"/>
    <n v="150000"/>
    <n v="0.88095238095238093"/>
    <s v="Cumple"/>
    <n v="150000"/>
    <n v="50000"/>
    <n v="1.0622556910269989"/>
    <s v="Cumple"/>
    <n v="50000"/>
    <n v="50000"/>
    <n v="0.9285714285714286"/>
    <s v="No Cumple"/>
    <n v="0"/>
    <s v="SI"/>
    <n v="200000"/>
    <m/>
  </r>
  <r>
    <s v="REGIONAL ANTIOQUIA"/>
    <s v="ITAGUI_1"/>
    <s v="DEISY BERRIO"/>
    <x v="1"/>
    <x v="4"/>
    <n v="250000"/>
    <n v="1"/>
    <s v="Cumple"/>
    <n v="1"/>
    <s v="Cumple"/>
    <n v="1"/>
    <n v="150000"/>
    <n v="0.58080808080808077"/>
    <s v="No Cumple"/>
    <n v="0"/>
    <n v="50000"/>
    <n v="1.190901526940481"/>
    <s v="Cumple"/>
    <n v="50000"/>
    <n v="50000"/>
    <n v="1"/>
    <s v="Cumple"/>
    <n v="50000"/>
    <s v="SI"/>
    <n v="100000"/>
    <m/>
  </r>
  <r>
    <s v="REGIONAL ANTIOQUIA"/>
    <s v="MEDELLIN_1"/>
    <s v="DEISY BERRIO"/>
    <x v="1"/>
    <x v="4"/>
    <n v="250000"/>
    <n v="1"/>
    <s v="Cumple"/>
    <n v="1"/>
    <s v="Cumple"/>
    <n v="1"/>
    <n v="150000"/>
    <n v="0.77777777777777768"/>
    <s v="Cumple"/>
    <n v="90000"/>
    <n v="50000"/>
    <n v="1.0043916701909905"/>
    <s v="Cumple"/>
    <n v="50000"/>
    <n v="50000"/>
    <n v="1"/>
    <s v="Cumple"/>
    <n v="50000"/>
    <s v="SI"/>
    <n v="190000"/>
    <m/>
  </r>
  <r>
    <s v="REGIONAL ANTIOQUIA"/>
    <s v="MEDELLIN_13"/>
    <s v="DEISY BERRIO"/>
    <x v="1"/>
    <x v="4"/>
    <n v="250000"/>
    <n v="0.94871794871794879"/>
    <s v="Cumple"/>
    <n v="0.92307692307692313"/>
    <s v="Cumple"/>
    <n v="0.9358974358974359"/>
    <n v="150000"/>
    <n v="0.77207977207977196"/>
    <s v="Cumple"/>
    <n v="90000"/>
    <n v="50000"/>
    <n v="1.0166735449548558"/>
    <s v="Cumple"/>
    <n v="50000"/>
    <n v="50000"/>
    <n v="0.46153846153846156"/>
    <s v="No Cumple"/>
    <n v="0"/>
    <s v="SI"/>
    <n v="140000"/>
    <m/>
  </r>
  <r>
    <s v="REGIONAL ANTIOQUIA"/>
    <s v="MEDELLIN_14"/>
    <s v="DEISY BERRIO"/>
    <x v="1"/>
    <x v="4"/>
    <n v="250000"/>
    <n v="0.87878787878787878"/>
    <s v="Cumple"/>
    <n v="0.90909090909090906"/>
    <s v="Cumple"/>
    <n v="0.89393939393939392"/>
    <n v="150000"/>
    <n v="0.77005347593582885"/>
    <s v="Cumple"/>
    <n v="90000"/>
    <n v="50000"/>
    <n v="1.0386505407413631"/>
    <s v="Cumple"/>
    <n v="50000"/>
    <n v="50000"/>
    <n v="0.81818181818181823"/>
    <s v="No Cumple"/>
    <n v="0"/>
    <s v="SI"/>
    <n v="140000"/>
    <m/>
  </r>
  <r>
    <s v="REGIONAL ANTIOQUIA"/>
    <s v="MEDELLIN_3"/>
    <s v="DEISY BERRIO"/>
    <x v="1"/>
    <x v="4"/>
    <n v="250000"/>
    <n v="0.83333333333333337"/>
    <s v="Cumple"/>
    <n v="1"/>
    <s v="Cumple"/>
    <n v="0.91666666666666674"/>
    <n v="150000"/>
    <n v="1"/>
    <s v="Cumple"/>
    <n v="150000"/>
    <n v="50000"/>
    <n v="1.1155376930518199"/>
    <s v="Cumple"/>
    <n v="50000"/>
    <n v="50000"/>
    <n v="1"/>
    <s v="Cumple"/>
    <n v="50000"/>
    <s v="SI"/>
    <n v="250000"/>
    <m/>
  </r>
  <r>
    <s v="REGIONAL ANTIOQUIA"/>
    <s v="MEDELLIN_6"/>
    <s v="DANIEL OSPINA"/>
    <x v="1"/>
    <x v="4"/>
    <n v="150000"/>
    <n v="0.81818181818181823"/>
    <s v="Cumple"/>
    <n v="0.72727272727272729"/>
    <s v="Cumple"/>
    <n v="0.77272727272727271"/>
    <n v="90000"/>
    <n v="0.81144781144781142"/>
    <s v="Cumple"/>
    <n v="90000"/>
    <n v="50000"/>
    <n v="0.98666315020613415"/>
    <s v="Cumple"/>
    <n v="49000"/>
    <n v="30000"/>
    <n v="0.90909090909090917"/>
    <s v="No Cumple"/>
    <n v="0"/>
    <s v="SI"/>
    <n v="139000"/>
    <m/>
  </r>
  <r>
    <s v="REGIONAL ANTIOQUIA"/>
    <s v="MEDELLIN_7"/>
    <s v="DEISY BERRIO"/>
    <x v="1"/>
    <x v="4"/>
    <n v="250000"/>
    <n v="0.77777777777777779"/>
    <s v="Cumple"/>
    <n v="1"/>
    <s v="Cumple"/>
    <n v="0.88888888888888884"/>
    <n v="150000"/>
    <n v="1"/>
    <s v="Cumple"/>
    <n v="150000"/>
    <n v="50000"/>
    <n v="0.99284685997439515"/>
    <s v="Cumple"/>
    <n v="49000"/>
    <n v="50000"/>
    <n v="0.5"/>
    <s v="No Cumple"/>
    <n v="0"/>
    <s v="SI"/>
    <n v="199000"/>
    <m/>
  </r>
  <r>
    <s v="REGIONAL ANTIOQUIA"/>
    <s v="RIONEGRO_1"/>
    <s v="DEISY BERRIO"/>
    <x v="1"/>
    <x v="4"/>
    <n v="250000"/>
    <n v="0.875"/>
    <s v="Cumple"/>
    <n v="0.875"/>
    <s v="Cumple"/>
    <n v="0.875"/>
    <n v="150000"/>
    <n v="0.55147058823529405"/>
    <s v="No Cumple"/>
    <n v="0"/>
    <n v="50000"/>
    <n v="1.024128015353523"/>
    <s v="Cumple"/>
    <n v="50000"/>
    <n v="50000"/>
    <n v="0.9375"/>
    <s v="No Cumple"/>
    <n v="0"/>
    <s v="SI"/>
    <n v="50000"/>
    <m/>
  </r>
  <r>
    <s v="REGIONAL ANTIOQUIA"/>
    <s v="RIONEGRO_2"/>
    <s v="DEISY BERRIO"/>
    <x v="1"/>
    <x v="4"/>
    <n v="250000"/>
    <n v="1"/>
    <s v="Cumple"/>
    <n v="1"/>
    <s v="Cumple"/>
    <n v="1"/>
    <n v="150000"/>
    <n v="0.89285714285714279"/>
    <s v="Cumple"/>
    <n v="150000"/>
    <n v="50000"/>
    <n v="0.87781535463530214"/>
    <s v="Cumple"/>
    <n v="40000"/>
    <n v="50000"/>
    <n v="1"/>
    <s v="Cumple"/>
    <n v="50000"/>
    <s v="SI"/>
    <n v="240000"/>
    <m/>
  </r>
  <r>
    <s v="REGIONAL ANTIOQUIA"/>
    <s v="SABANETA_1"/>
    <s v="DEISY BERRIO"/>
    <x v="1"/>
    <x v="4"/>
    <n v="150000"/>
    <n v="0.77777777777777779"/>
    <s v="Cumple"/>
    <n v="0.77777777777777779"/>
    <s v="Cumple"/>
    <n v="0.77777777777777779"/>
    <n v="90000"/>
    <n v="0.85185185185185175"/>
    <s v="Cumple"/>
    <n v="90000"/>
    <n v="50000"/>
    <n v="0.9"/>
    <s v="Cumple"/>
    <n v="40000"/>
    <n v="30000"/>
    <n v="0.88888888888888884"/>
    <s v="No Cumple"/>
    <n v="0"/>
    <s v="SI"/>
    <n v="130000"/>
    <m/>
  </r>
  <r>
    <s v="REGIONAL ATLANTICO"/>
    <s v="BARRANQUILLA_1"/>
    <s v="KELLY DE LA TORRE"/>
    <x v="1"/>
    <x v="5"/>
    <n v="250000"/>
    <n v="1"/>
    <s v="Cumple"/>
    <n v="1"/>
    <s v="Cumple"/>
    <n v="1"/>
    <n v="150000"/>
    <n v="0.93589743589743579"/>
    <s v="Cumple"/>
    <n v="150000"/>
    <n v="50000"/>
    <n v="1.0046020779730855"/>
    <s v="Cumple"/>
    <n v="50000"/>
    <n v="50000"/>
    <n v="0.5"/>
    <s v="No Cumple"/>
    <n v="0"/>
    <s v="SI"/>
    <n v="200000"/>
    <m/>
  </r>
  <r>
    <s v="REGIONAL ATLANTICO"/>
    <s v="BARRANQUILLA_2"/>
    <s v="KELLY DE LA TORRE"/>
    <x v="1"/>
    <x v="5"/>
    <n v="250000"/>
    <n v="1"/>
    <s v="Cumple"/>
    <n v="1"/>
    <s v="Cumple"/>
    <n v="1"/>
    <n v="150000"/>
    <n v="0.69035087719298238"/>
    <s v="Cumple"/>
    <n v="90000"/>
    <n v="50000"/>
    <n v="0.99603977207807748"/>
    <s v="Cumple"/>
    <n v="49000"/>
    <n v="50000"/>
    <n v="0.5"/>
    <s v="No Cumple"/>
    <n v="0"/>
    <s v="SI"/>
    <n v="139000"/>
    <m/>
  </r>
  <r>
    <s v="REGIONAL ATLANTICO"/>
    <s v="BARRANQUILLA_3"/>
    <s v="KELLY DE LA TORRE"/>
    <x v="1"/>
    <x v="5"/>
    <n v="250000"/>
    <n v="0.94444444444444453"/>
    <s v="Cumple"/>
    <n v="0.91666666666666663"/>
    <s v="Cumple"/>
    <n v="0.93055555555555558"/>
    <n v="150000"/>
    <n v="0.9472222222222223"/>
    <s v="Cumple"/>
    <n v="150000"/>
    <n v="50000"/>
    <n v="1.1022421028500204"/>
    <s v="Cumple"/>
    <n v="50000"/>
    <n v="50000"/>
    <n v="0.47916666666666669"/>
    <s v="No Cumple"/>
    <n v="0"/>
    <s v="SI"/>
    <n v="200000"/>
    <m/>
  </r>
  <r>
    <s v="REGIONAL ATLANTICO"/>
    <s v="BARRANQUILLA_4"/>
    <s v="KELLY DE LA TORRE"/>
    <x v="1"/>
    <x v="5"/>
    <n v="250000"/>
    <n v="0.81944444444444453"/>
    <s v="Cumple"/>
    <n v="0.91666666666666663"/>
    <s v="Cumple"/>
    <n v="0.86805555555555558"/>
    <n v="150000"/>
    <n v="0.89011954992967668"/>
    <s v="Cumple"/>
    <n v="150000"/>
    <n v="50000"/>
    <n v="0.99107252591390482"/>
    <s v="Cumple"/>
    <n v="49000"/>
    <n v="50000"/>
    <n v="0.4375"/>
    <s v="No Cumple"/>
    <n v="0"/>
    <s v="SI"/>
    <n v="199000"/>
    <m/>
  </r>
  <r>
    <s v="REGIONAL ATLANTICO"/>
    <s v="BARRANQUILLA_5"/>
    <s v="KELLY DE LA TORRE"/>
    <x v="1"/>
    <x v="5"/>
    <n v="250000"/>
    <n v="1"/>
    <s v="Cumple"/>
    <n v="1"/>
    <s v="Cumple"/>
    <n v="1"/>
    <n v="150000"/>
    <n v="0.86954365079365081"/>
    <s v="Cumple"/>
    <n v="150000"/>
    <n v="50000"/>
    <n v="0.92235928395148559"/>
    <s v="Cumple"/>
    <n v="45000"/>
    <n v="50000"/>
    <n v="1"/>
    <s v="Cumple"/>
    <n v="50000"/>
    <s v="SI"/>
    <n v="245000"/>
    <m/>
  </r>
  <r>
    <s v="REGIONAL COSTA PERIFERIA"/>
    <s v="CARTAGENA_1"/>
    <s v="KELLY DE LA TORRE"/>
    <x v="1"/>
    <x v="5"/>
    <n v="150000"/>
    <n v="0.65333333333333332"/>
    <s v="Cumple"/>
    <n v="0.64"/>
    <s v="Cumple"/>
    <n v="0.64666666666666672"/>
    <n v="90000"/>
    <n v="0.54077519379844963"/>
    <s v="No Cumple"/>
    <n v="0"/>
    <n v="50000"/>
    <n v="0.89122277190911159"/>
    <s v="Cumple"/>
    <n v="40000"/>
    <n v="30000"/>
    <n v="0.32"/>
    <s v="No Cumple"/>
    <n v="0"/>
    <s v="SI"/>
    <n v="40000"/>
    <m/>
  </r>
  <r>
    <s v="REGIONAL COSTA PERIFERIA"/>
    <s v="CARTAGENA_2"/>
    <s v="KELLY DE LA TORRE"/>
    <x v="1"/>
    <x v="5"/>
    <n v="250000"/>
    <n v="1"/>
    <s v="Cumple"/>
    <n v="1"/>
    <s v="Cumple"/>
    <n v="1"/>
    <n v="150000"/>
    <n v="0.72463768115942029"/>
    <s v="Cumple"/>
    <n v="90000"/>
    <n v="50000"/>
    <n v="1.0347179607480004"/>
    <s v="Cumple"/>
    <n v="50000"/>
    <n v="50000"/>
    <n v="0.5"/>
    <s v="No Cumple"/>
    <n v="0"/>
    <s v="SI"/>
    <n v="140000"/>
    <m/>
  </r>
  <r>
    <s v="REGIONAL COSTA PERIFERIA"/>
    <s v="CARTAGENA_3"/>
    <s v="KELLY DE LA TORRE"/>
    <x v="1"/>
    <x v="5"/>
    <n v="250000"/>
    <n v="1"/>
    <s v="Cumple"/>
    <n v="0.90909090909090906"/>
    <s v="Cumple"/>
    <n v="0.95454545454545459"/>
    <n v="150000"/>
    <n v="0.72856221792392006"/>
    <s v="Cumple"/>
    <n v="90000"/>
    <n v="50000"/>
    <n v="0.85339122311103255"/>
    <s v="Cumple"/>
    <n v="40000"/>
    <n v="50000"/>
    <n v="0.5"/>
    <s v="No Cumple"/>
    <n v="0"/>
    <s v="SI"/>
    <n v="130000"/>
    <m/>
  </r>
  <r>
    <s v="REGIONAL COSTA PERIFERIA"/>
    <s v="SANTA MARTA_1"/>
    <s v="KELLY DE LA TORRE"/>
    <x v="1"/>
    <x v="5"/>
    <n v="250000"/>
    <n v="1"/>
    <s v="Cumple"/>
    <n v="1"/>
    <s v="Cumple"/>
    <n v="1"/>
    <n v="150000"/>
    <n v="1"/>
    <s v="Cumple"/>
    <n v="150000"/>
    <n v="50000"/>
    <n v="1.1574482015242074"/>
    <s v="Cumple"/>
    <n v="50000"/>
    <n v="50000"/>
    <n v="0.5"/>
    <s v="No Cumple"/>
    <n v="0"/>
    <s v="SI"/>
    <n v="200000"/>
    <m/>
  </r>
  <r>
    <s v="REGIONAL COSTA PERIFERIA"/>
    <s v="SANTA MARTA_2"/>
    <s v="KELLY DE LA TORRE"/>
    <x v="1"/>
    <x v="5"/>
    <n v="250000"/>
    <n v="0.98245614035087714"/>
    <s v="Cumple"/>
    <n v="1"/>
    <s v="Cumple"/>
    <n v="0.99122807017543857"/>
    <n v="150000"/>
    <n v="1"/>
    <s v="Cumple"/>
    <n v="150000"/>
    <n v="50000"/>
    <n v="0.76111264324364114"/>
    <s v="No Cumple"/>
    <n v="35000"/>
    <n v="50000"/>
    <n v="0.47368421052631576"/>
    <s v="No Cumple"/>
    <n v="0"/>
    <s v="SI"/>
    <n v="185000"/>
    <m/>
  </r>
  <r>
    <s v="REGIONAL ATLANTICO"/>
    <s v="SOLEDAD_1"/>
    <s v="KELLY DE LA TORRE"/>
    <x v="1"/>
    <x v="5"/>
    <n v="250000"/>
    <n v="1"/>
    <s v="Cumple"/>
    <n v="1"/>
    <s v="Cumple"/>
    <n v="1"/>
    <n v="150000"/>
    <n v="0.65045188729399261"/>
    <s v="Cumple"/>
    <n v="90000"/>
    <n v="50000"/>
    <n v="1.23150399075202"/>
    <s v="Cumple"/>
    <n v="50000"/>
    <n v="50000"/>
    <n v="0.5"/>
    <s v="No Cumple"/>
    <n v="0"/>
    <s v="SI"/>
    <n v="140000"/>
    <m/>
  </r>
  <r>
    <s v="REGIONAL PERIFERIA"/>
    <s v="VIJ_1"/>
    <s v="FANNY FERNANDEZ"/>
    <x v="0"/>
    <x v="6"/>
    <n v="250000"/>
    <n v="0.90476190476190477"/>
    <s v="Cumple"/>
    <n v="0.8571428571428571"/>
    <s v="Cumple"/>
    <n v="0.88095238095238093"/>
    <n v="150000"/>
    <n v="0.85878489326765184"/>
    <s v="Cumple"/>
    <n v="150000"/>
    <n v="50000"/>
    <n v="1.1405553845919592"/>
    <s v="Cumple"/>
    <n v="50000"/>
    <n v="50000"/>
    <n v="0.9642857142857143"/>
    <s v="No Cumple"/>
    <n v="0"/>
    <s v="SI"/>
    <n v="200000"/>
    <m/>
  </r>
  <r>
    <s v="REGIONAL PERIFERIA"/>
    <s v="VIJ_10"/>
    <s v="MIGUEL ARTURO ROMERO"/>
    <x v="0"/>
    <x v="6"/>
    <n v="250000"/>
    <n v="0.94444444444444431"/>
    <s v="Cumple"/>
    <n v="1"/>
    <s v="Cumple"/>
    <n v="0.9722222222222221"/>
    <n v="150000"/>
    <n v="0.64814814814814814"/>
    <s v="Cumple"/>
    <n v="90000"/>
    <n v="50000"/>
    <n v="1.4131856166811856"/>
    <s v="Cumple"/>
    <n v="50000"/>
    <n v="50000"/>
    <n v="0.47222222222222221"/>
    <s v="No Cumple"/>
    <n v="0"/>
    <s v="SI"/>
    <n v="140000"/>
    <m/>
  </r>
  <r>
    <s v="REGIONAL PERIFERIA"/>
    <s v="VIJ_11"/>
    <s v="MIGUEL ARTURO ROMERO"/>
    <x v="0"/>
    <x v="6"/>
    <n v="250000"/>
    <n v="1"/>
    <s v="Cumple"/>
    <n v="1"/>
    <s v="Cumple"/>
    <n v="1"/>
    <n v="150000"/>
    <n v="1"/>
    <s v="Cumple"/>
    <n v="150000"/>
    <n v="50000"/>
    <n v="1.0888504400841104"/>
    <s v="Cumple"/>
    <n v="50000"/>
    <n v="50000"/>
    <n v="1"/>
    <s v="Cumple"/>
    <n v="50000"/>
    <s v="SI"/>
    <n v="250000"/>
    <m/>
  </r>
  <r>
    <s v="REGIONAL PERIFERIA"/>
    <s v="VIJ_12"/>
    <s v="MIGUEL ARTURO ROMERO"/>
    <x v="0"/>
    <x v="6"/>
    <n v="250000"/>
    <n v="1"/>
    <s v="Cumple"/>
    <n v="1"/>
    <s v="Cumple"/>
    <n v="1"/>
    <n v="150000"/>
    <n v="0.73333333333333339"/>
    <s v="Cumple"/>
    <n v="90000"/>
    <n v="50000"/>
    <n v="0.78169200341435474"/>
    <s v="No Cumple"/>
    <n v="35000"/>
    <n v="50000"/>
    <n v="1"/>
    <s v="Cumple"/>
    <n v="50000"/>
    <s v="SI"/>
    <n v="175000"/>
    <m/>
  </r>
  <r>
    <s v="REGIONAL PERIFERIA"/>
    <s v="VIJ_13"/>
    <s v="MIGUEL ARTURO ROMERO"/>
    <x v="0"/>
    <x v="6"/>
    <n v="250000"/>
    <n v="1"/>
    <s v="Cumple"/>
    <n v="1"/>
    <s v="Cumple"/>
    <n v="1"/>
    <n v="150000"/>
    <n v="1"/>
    <s v="Cumple"/>
    <n v="150000"/>
    <n v="50000"/>
    <n v="1.0009205897014157"/>
    <s v="Cumple"/>
    <n v="50000"/>
    <n v="50000"/>
    <n v="1"/>
    <s v="Cumple"/>
    <n v="50000"/>
    <s v="SI"/>
    <n v="250000"/>
    <m/>
  </r>
  <r>
    <s v="REGIONAL PERIFERIA"/>
    <s v="VIJ_14"/>
    <s v="MIGUEL ARTURO ROMERO"/>
    <x v="0"/>
    <x v="6"/>
    <n v="250000"/>
    <n v="0.91666666666666663"/>
    <s v="Cumple"/>
    <n v="0.91666666666666663"/>
    <s v="Cumple"/>
    <n v="0.91666666666666663"/>
    <n v="150000"/>
    <n v="0.94444444444444431"/>
    <s v="Cumple"/>
    <n v="150000"/>
    <n v="50000"/>
    <n v="0.98760282526469967"/>
    <s v="Cumple"/>
    <n v="49000"/>
    <n v="50000"/>
    <n v="0.91666666666666663"/>
    <s v="No Cumple"/>
    <n v="0"/>
    <s v="SI"/>
    <n v="199000"/>
    <m/>
  </r>
  <r>
    <s v="REGIONAL PERIFERIA"/>
    <s v="VIJ_15"/>
    <s v="MIGUEL ARTURO ROMERO"/>
    <x v="0"/>
    <x v="6"/>
    <n v="250000"/>
    <n v="1"/>
    <s v="Cumple"/>
    <n v="1"/>
    <s v="Cumple"/>
    <n v="1"/>
    <n v="150000"/>
    <n v="1"/>
    <s v="Cumple"/>
    <n v="150000"/>
    <n v="50000"/>
    <n v="1.1743987221934002"/>
    <s v="Cumple"/>
    <n v="50000"/>
    <n v="50000"/>
    <n v="1"/>
    <s v="Cumple"/>
    <n v="50000"/>
    <s v="SI"/>
    <n v="250000"/>
    <m/>
  </r>
  <r>
    <s v="REGIONAL PERIFERIA"/>
    <s v="VIJ_16"/>
    <s v="MIGUEL ARTURO ROMERO"/>
    <x v="0"/>
    <x v="6"/>
    <n v="250000"/>
    <n v="0.93333333333333324"/>
    <s v="Cumple"/>
    <n v="0.93333333333333335"/>
    <s v="Cumple"/>
    <n v="0.93333333333333335"/>
    <n v="150000"/>
    <n v="0.93086419753086425"/>
    <s v="Cumple"/>
    <n v="150000"/>
    <n v="50000"/>
    <n v="1.4460714624419557"/>
    <s v="Cumple"/>
    <n v="50000"/>
    <n v="50000"/>
    <n v="0.46666666666666667"/>
    <s v="No Cumple"/>
    <n v="0"/>
    <s v="SI"/>
    <n v="200000"/>
    <m/>
  </r>
  <r>
    <s v="REGIONAL PERIFERIA"/>
    <s v="VIJ_17"/>
    <s v="NA"/>
    <x v="0"/>
    <x v="6"/>
    <n v="250000"/>
    <n v="0.87179487179487181"/>
    <s v="Cumple"/>
    <n v="0.84615384615384615"/>
    <s v="Cumple"/>
    <n v="0.85897435897435903"/>
    <n v="150000"/>
    <n v="0.78974358974358971"/>
    <s v="Cumple"/>
    <n v="90000"/>
    <n v="50000"/>
    <n v="1.0383875195161041"/>
    <s v="Cumple"/>
    <n v="50000"/>
    <n v="50000"/>
    <n v="0.42307692307692307"/>
    <s v="No Cumple"/>
    <n v="0"/>
    <s v="SI"/>
    <n v="140000"/>
    <m/>
  </r>
  <r>
    <s v="REGIONAL PERIFERIA"/>
    <s v="VIJ_2"/>
    <s v="FANNY FERNANDEZ"/>
    <x v="0"/>
    <x v="6"/>
    <n v="250000"/>
    <n v="1"/>
    <s v="Cumple"/>
    <n v="1"/>
    <s v="Cumple"/>
    <n v="1"/>
    <n v="150000"/>
    <n v="1"/>
    <s v="Cumple"/>
    <n v="150000"/>
    <n v="50000"/>
    <n v="0.9"/>
    <s v="Cumple"/>
    <n v="40000"/>
    <n v="50000"/>
    <n v="0.5"/>
    <s v="No Cumple"/>
    <n v="0"/>
    <s v="SI"/>
    <n v="190000"/>
    <m/>
  </r>
  <r>
    <s v="REGIONAL PERIFERIA"/>
    <s v="VIJ_3"/>
    <s v="FANNY FERNANDEZ"/>
    <x v="0"/>
    <x v="6"/>
    <n v="250000"/>
    <n v="1"/>
    <s v="Cumple"/>
    <n v="1"/>
    <s v="Cumple"/>
    <n v="1"/>
    <n v="150000"/>
    <n v="1"/>
    <s v="Cumple"/>
    <n v="150000"/>
    <n v="50000"/>
    <n v="1.0492259773148158"/>
    <s v="Cumple"/>
    <n v="50000"/>
    <n v="50000"/>
    <n v="1"/>
    <s v="Cumple"/>
    <n v="50000"/>
    <s v="SI"/>
    <n v="250000"/>
    <m/>
  </r>
  <r>
    <s v="REGIONAL PERIFERIA"/>
    <s v="VIJ_4"/>
    <s v="FANNY FERNANDEZ"/>
    <x v="0"/>
    <x v="6"/>
    <n v="250000"/>
    <n v="1"/>
    <s v="Cumple"/>
    <n v="1"/>
    <s v="Cumple"/>
    <n v="1"/>
    <n v="150000"/>
    <n v="0.92753623188405798"/>
    <s v="Cumple"/>
    <n v="150000"/>
    <n v="50000"/>
    <n v="1.3180209598865811"/>
    <s v="Cumple"/>
    <n v="50000"/>
    <n v="50000"/>
    <n v="1"/>
    <s v="Cumple"/>
    <n v="50000"/>
    <s v="SI"/>
    <n v="250000"/>
    <m/>
  </r>
  <r>
    <s v="REGIONAL PERIFERIA"/>
    <s v="VIJ_5"/>
    <s v="FANNY FERNANDEZ"/>
    <x v="0"/>
    <x v="6"/>
    <n v="250000"/>
    <n v="1"/>
    <s v="Cumple"/>
    <n v="0.92307692307692313"/>
    <s v="Cumple"/>
    <n v="0.96153846153846156"/>
    <n v="150000"/>
    <n v="0.87660256410256421"/>
    <s v="Cumple"/>
    <n v="150000"/>
    <n v="50000"/>
    <n v="0.91080220446546645"/>
    <s v="Cumple"/>
    <n v="45000"/>
    <n v="50000"/>
    <n v="0.5"/>
    <s v="No Cumple"/>
    <n v="0"/>
    <s v="SI"/>
    <n v="195000"/>
    <m/>
  </r>
  <r>
    <s v="REGIONAL PERIFERIA"/>
    <s v="VIJ_6"/>
    <s v="FANNY FERNANDEZ"/>
    <x v="0"/>
    <x v="6"/>
    <n v="250000"/>
    <n v="1"/>
    <s v="Cumple"/>
    <n v="1"/>
    <s v="Cumple"/>
    <n v="1"/>
    <n v="150000"/>
    <n v="1"/>
    <s v="Cumple"/>
    <n v="150000"/>
    <n v="50000"/>
    <n v="0.99862810975539085"/>
    <s v="Cumple"/>
    <n v="49000"/>
    <n v="50000"/>
    <n v="1"/>
    <s v="Cumple"/>
    <n v="50000"/>
    <s v="SI"/>
    <n v="249000"/>
    <m/>
  </r>
  <r>
    <s v="REGIONAL PERIFERIA"/>
    <s v="VIJ_7"/>
    <s v="FANNY FERNANDEZ"/>
    <x v="0"/>
    <x v="6"/>
    <n v="250000"/>
    <n v="1"/>
    <s v="Cumple"/>
    <n v="1"/>
    <s v="Cumple"/>
    <n v="1"/>
    <n v="150000"/>
    <n v="0.90028490028490038"/>
    <s v="Cumple"/>
    <n v="150000"/>
    <n v="50000"/>
    <n v="1.1778603756967887"/>
    <s v="Cumple"/>
    <n v="50000"/>
    <n v="50000"/>
    <n v="1"/>
    <s v="Cumple"/>
    <n v="50000"/>
    <s v="SI"/>
    <n v="250000"/>
    <m/>
  </r>
  <r>
    <s v="REGIONAL PERIFERIA"/>
    <s v="VIJ_8"/>
    <s v="FANNY FERNANDEZ"/>
    <x v="0"/>
    <x v="6"/>
    <n v="250000"/>
    <n v="1"/>
    <s v="Cumple"/>
    <n v="1"/>
    <s v="Cumple"/>
    <n v="1"/>
    <n v="150000"/>
    <n v="0.71111111111111114"/>
    <s v="Cumple"/>
    <n v="90000"/>
    <n v="50000"/>
    <n v="0.96749337831071536"/>
    <s v="Cumple"/>
    <n v="48000"/>
    <n v="50000"/>
    <n v="1"/>
    <s v="Cumple"/>
    <n v="50000"/>
    <s v="SI"/>
    <n v="188000"/>
    <m/>
  </r>
  <r>
    <s v="REGIONAL PERIFERIA"/>
    <s v="VIJ_9"/>
    <s v="FANNY FERNANDEZ"/>
    <x v="0"/>
    <x v="6"/>
    <n v="250000"/>
    <n v="1"/>
    <s v="Cumple"/>
    <n v="1"/>
    <s v="Cumple"/>
    <n v="1"/>
    <n v="150000"/>
    <n v="0.91666666666666663"/>
    <s v="Cumple"/>
    <n v="150000"/>
    <n v="50000"/>
    <n v="1.18072455586679"/>
    <s v="Cumple"/>
    <n v="50000"/>
    <n v="50000"/>
    <n v="1"/>
    <s v="Cumple"/>
    <n v="50000"/>
    <s v="SI"/>
    <n v="250000"/>
    <m/>
  </r>
  <r>
    <s v="REGIONAL EJE"/>
    <s v="ARMENIA_1"/>
    <s v="LEIDY GAVIRIA"/>
    <x v="2"/>
    <x v="7"/>
    <n v="250000"/>
    <n v="1"/>
    <s v="Cumple"/>
    <n v="1"/>
    <s v="Cumple"/>
    <n v="1"/>
    <n v="150000"/>
    <n v="0.94166666666666676"/>
    <s v="Cumple"/>
    <n v="150000"/>
    <n v="50000"/>
    <n v="1.0927890824869195"/>
    <s v="Cumple"/>
    <n v="50000"/>
    <n v="50000"/>
    <n v="0.5"/>
    <s v="No Cumple"/>
    <n v="0"/>
    <s v="SI"/>
    <n v="200000"/>
    <m/>
  </r>
  <r>
    <s v="REGIONAL EJE"/>
    <s v="ARMENIA_2"/>
    <s v="LEIDY GAVIRIA"/>
    <x v="2"/>
    <x v="7"/>
    <n v="250000"/>
    <n v="1"/>
    <s v="Cumple"/>
    <n v="1"/>
    <s v="Cumple"/>
    <n v="1"/>
    <n v="150000"/>
    <n v="0.92046783625730999"/>
    <s v="Cumple"/>
    <n v="150000"/>
    <n v="50000"/>
    <n v="0.86136963141883727"/>
    <s v="Cumple"/>
    <n v="40000"/>
    <n v="50000"/>
    <n v="0.5"/>
    <s v="No Cumple"/>
    <n v="0"/>
    <s v="SI"/>
    <n v="190000"/>
    <m/>
  </r>
  <r>
    <s v="REGIONAL EJE"/>
    <s v="CARTAGO_1"/>
    <s v="LEIDY GAVIRIA"/>
    <x v="2"/>
    <x v="7"/>
    <n v="250000"/>
    <n v="1"/>
    <s v="Cumple"/>
    <n v="1"/>
    <s v="Cumple"/>
    <n v="1"/>
    <n v="150000"/>
    <n v="0.90792838874680315"/>
    <s v="Cumple"/>
    <n v="150000"/>
    <n v="50000"/>
    <n v="1.1447375313337351"/>
    <s v="Cumple"/>
    <n v="50000"/>
    <n v="50000"/>
    <n v="0.5"/>
    <s v="No Cumple"/>
    <n v="0"/>
    <s v="SI"/>
    <n v="200000"/>
    <m/>
  </r>
  <r>
    <s v="REGIONAL EJE"/>
    <s v="DOSQUEBRADAS_1"/>
    <s v="LEIDY GAVIRIA"/>
    <x v="2"/>
    <x v="7"/>
    <n v="250000"/>
    <n v="1"/>
    <s v="Cumple"/>
    <n v="1"/>
    <s v="Cumple"/>
    <n v="1"/>
    <n v="150000"/>
    <n v="1"/>
    <s v="Cumple"/>
    <n v="150000"/>
    <n v="50000"/>
    <n v="1.1493266279893399"/>
    <s v="Cumple"/>
    <n v="50000"/>
    <n v="50000"/>
    <n v="1"/>
    <s v="Cumple"/>
    <n v="50000"/>
    <s v="SI"/>
    <n v="250000"/>
    <m/>
  </r>
  <r>
    <s v="REGIONAL EJE"/>
    <s v="DOSQUEBRADAS_2"/>
    <s v="LEIDY GAVIRIA"/>
    <x v="2"/>
    <x v="7"/>
    <n v="250000"/>
    <n v="0.85416666666666663"/>
    <s v="Cumple"/>
    <n v="0.875"/>
    <s v="Cumple"/>
    <n v="0.86458333333333326"/>
    <n v="150000"/>
    <n v="0.65489130434782605"/>
    <s v="Cumple"/>
    <n v="90000"/>
    <n v="50000"/>
    <n v="1.3067737668463437"/>
    <s v="Cumple"/>
    <n v="50000"/>
    <n v="50000"/>
    <n v="0.4375"/>
    <s v="No Cumple"/>
    <n v="0"/>
    <s v="SI"/>
    <n v="140000"/>
    <m/>
  </r>
  <r>
    <s v="REGIONAL EJE"/>
    <s v="MANIZALES_1"/>
    <s v="LEIDY GAVIRIA"/>
    <x v="2"/>
    <x v="7"/>
    <n v="250000"/>
    <n v="1"/>
    <s v="Cumple"/>
    <n v="1"/>
    <s v="Cumple"/>
    <n v="1"/>
    <n v="150000"/>
    <n v="0.98611111111111116"/>
    <s v="Cumple"/>
    <n v="150000"/>
    <n v="50000"/>
    <n v="0.94401310881686262"/>
    <s v="Cumple"/>
    <n v="45000"/>
    <n v="50000"/>
    <n v="0.5"/>
    <s v="No Cumple"/>
    <n v="0"/>
    <s v="SI"/>
    <n v="195000"/>
    <m/>
  </r>
  <r>
    <s v="REGIONAL EJE"/>
    <s v="MANIZALES_2"/>
    <s v="LEIDY GAVIRIA"/>
    <x v="2"/>
    <x v="7"/>
    <n v="250000"/>
    <n v="0.94117647058823517"/>
    <s v="Cumple"/>
    <n v="0.94117647058823528"/>
    <s v="Cumple"/>
    <n v="0.94117647058823528"/>
    <n v="150000"/>
    <n v="0.94887955182072836"/>
    <s v="Cumple"/>
    <n v="150000"/>
    <n v="50000"/>
    <n v="1.0083755259182861"/>
    <s v="Cumple"/>
    <n v="50000"/>
    <n v="50000"/>
    <n v="0.47058823529411764"/>
    <s v="No Cumple"/>
    <n v="0"/>
    <s v="SI"/>
    <n v="200000"/>
    <m/>
  </r>
  <r>
    <s v="REGIONAL EJE"/>
    <s v="MANIZALES_3"/>
    <s v="LEIDY GAVIRIA"/>
    <x v="2"/>
    <x v="7"/>
    <n v="250000"/>
    <n v="0.875"/>
    <s v="Cumple"/>
    <n v="0.875"/>
    <s v="Cumple"/>
    <n v="0.875"/>
    <n v="150000"/>
    <n v="0.75378787878787878"/>
    <s v="Cumple"/>
    <n v="90000"/>
    <n v="50000"/>
    <n v="1.0708685338085906"/>
    <s v="Cumple"/>
    <n v="50000"/>
    <n v="50000"/>
    <n v="0.875"/>
    <s v="No Cumple"/>
    <n v="0"/>
    <s v="SI"/>
    <n v="140000"/>
    <m/>
  </r>
  <r>
    <s v="REGIONAL EJE"/>
    <s v="PEREIRA_1"/>
    <s v="LEIDY GAVIRIA"/>
    <x v="2"/>
    <x v="7"/>
    <n v="250000"/>
    <n v="1"/>
    <s v="Cumple"/>
    <n v="1"/>
    <s v="Cumple"/>
    <n v="1"/>
    <n v="150000"/>
    <n v="0.86134691567628752"/>
    <s v="Cumple"/>
    <n v="150000"/>
    <n v="50000"/>
    <n v="1.1008927290991777"/>
    <s v="Cumple"/>
    <n v="50000"/>
    <n v="50000"/>
    <n v="0.5"/>
    <s v="No Cumple"/>
    <n v="0"/>
    <s v="SI"/>
    <n v="200000"/>
    <m/>
  </r>
  <r>
    <s v="REGIONAL EJE"/>
    <s v="PEREIRA_2"/>
    <s v="LEIDY GAVIRIA"/>
    <x v="2"/>
    <x v="7"/>
    <n v="250000"/>
    <n v="0.96969696969696972"/>
    <s v="Cumple"/>
    <n v="1"/>
    <s v="Cumple"/>
    <n v="0.98484848484848486"/>
    <n v="150000"/>
    <n v="0.91161616161616166"/>
    <s v="Cumple"/>
    <n v="150000"/>
    <n v="50000"/>
    <n v="1.1204991879236526"/>
    <s v="Cumple"/>
    <n v="50000"/>
    <n v="50000"/>
    <n v="0.95454545454545459"/>
    <s v="No Cumple"/>
    <n v="0"/>
    <s v="SI"/>
    <n v="200000"/>
    <m/>
  </r>
  <r>
    <s v="REGIONAL PACIFICO"/>
    <s v="BUGA_1"/>
    <s v="VACANTE"/>
    <x v="2"/>
    <x v="8"/>
    <n v="250000"/>
    <n v="0.92307692307692302"/>
    <s v="Cumple"/>
    <n v="0.92307692307692313"/>
    <s v="Cumple"/>
    <n v="0.92307692307692313"/>
    <n v="150000"/>
    <n v="0.65538461538461545"/>
    <s v="Cumple"/>
    <n v="90000"/>
    <n v="50000"/>
    <n v="1.1763410763039355"/>
    <s v="Cumple"/>
    <n v="50000"/>
    <n v="50000"/>
    <n v="0.92307692307692313"/>
    <s v="No Cumple"/>
    <n v="0"/>
    <s v="SI"/>
    <n v="140000"/>
    <m/>
  </r>
  <r>
    <s v="REGIONAL PACIFICO"/>
    <s v="CALI_1"/>
    <s v="VACANTE"/>
    <x v="2"/>
    <x v="8"/>
    <n v="250000"/>
    <n v="1"/>
    <s v="Cumple"/>
    <n v="1"/>
    <s v="Cumple"/>
    <n v="1"/>
    <n v="150000"/>
    <n v="1"/>
    <s v="Cumple"/>
    <n v="150000"/>
    <n v="50000"/>
    <n v="1.1824442925514564"/>
    <s v="Cumple"/>
    <n v="50000"/>
    <n v="50000"/>
    <n v="1"/>
    <s v="Cumple"/>
    <n v="50000"/>
    <s v="SI"/>
    <n v="250000"/>
    <m/>
  </r>
  <r>
    <s v="REGIONAL PACIFICO"/>
    <s v="CALI_14"/>
    <s v="VACANTE"/>
    <x v="2"/>
    <x v="8"/>
    <n v="250000"/>
    <n v="0.97222222222222221"/>
    <s v="Cumple"/>
    <n v="1"/>
    <s v="Cumple"/>
    <n v="0.98611111111111116"/>
    <n v="150000"/>
    <n v="0.75793650793650791"/>
    <s v="Cumple"/>
    <n v="90000"/>
    <n v="50000"/>
    <n v="1.0891887767904904"/>
    <s v="Cumple"/>
    <n v="50000"/>
    <n v="50000"/>
    <n v="0.45833333333333331"/>
    <s v="No Cumple"/>
    <n v="0"/>
    <s v="SI"/>
    <n v="140000"/>
    <m/>
  </r>
  <r>
    <s v="REGIONAL PACIFICO"/>
    <s v="CALI_3"/>
    <s v="VACANTE"/>
    <x v="2"/>
    <x v="8"/>
    <n v="250000"/>
    <n v="0.83333333333333337"/>
    <s v="Cumple"/>
    <n v="0.83333333333333337"/>
    <s v="Cumple"/>
    <n v="0.83333333333333337"/>
    <n v="150000"/>
    <n v="0.59941520467836262"/>
    <s v="No Cumple"/>
    <n v="0"/>
    <n v="50000"/>
    <n v="0.87401666017216106"/>
    <s v="Cumple"/>
    <n v="40000"/>
    <n v="50000"/>
    <n v="0.83333333333333337"/>
    <s v="No Cumple"/>
    <n v="0"/>
    <s v="SI"/>
    <n v="40000"/>
    <m/>
  </r>
  <r>
    <s v="REGIONAL PACIFICO"/>
    <s v="CALI_5"/>
    <s v="NATALIA IBARRA"/>
    <x v="2"/>
    <x v="8"/>
    <n v="250000"/>
    <n v="1"/>
    <s v="Cumple"/>
    <n v="1"/>
    <s v="Cumple"/>
    <n v="1"/>
    <n v="150000"/>
    <n v="0.7142857142857143"/>
    <s v="Cumple"/>
    <n v="90000"/>
    <n v="50000"/>
    <n v="0.95"/>
    <s v="Cumple"/>
    <n v="45000"/>
    <n v="50000"/>
    <n v="1"/>
    <s v="Cumple"/>
    <n v="50000"/>
    <s v="SI"/>
    <n v="185000"/>
    <m/>
  </r>
  <r>
    <s v="REGIONAL PACIFICO"/>
    <s v="CALI_6"/>
    <s v="VACANTE"/>
    <x v="2"/>
    <x v="8"/>
    <n v="250000"/>
    <n v="1"/>
    <s v="Cumple"/>
    <n v="1"/>
    <s v="Cumple"/>
    <n v="1"/>
    <n v="150000"/>
    <n v="0.79"/>
    <s v="Cumple"/>
    <n v="90000"/>
    <n v="50000"/>
    <n v="0.79624000083991209"/>
    <s v="No Cumple"/>
    <n v="35000"/>
    <n v="50000"/>
    <n v="0.5"/>
    <s v="No Cumple"/>
    <n v="0"/>
    <s v="SI"/>
    <n v="125000"/>
    <m/>
  </r>
  <r>
    <s v="REGIONAL PACIFICO"/>
    <s v="CALI_7"/>
    <s v="VACANTE"/>
    <x v="2"/>
    <x v="8"/>
    <n v="250000"/>
    <n v="1"/>
    <s v="Cumple"/>
    <n v="1"/>
    <s v="Cumple"/>
    <n v="1"/>
    <n v="150000"/>
    <n v="0.78315412186379929"/>
    <s v="Cumple"/>
    <n v="90000"/>
    <n v="50000"/>
    <n v="1.3897614823678393"/>
    <s v="Cumple"/>
    <n v="50000"/>
    <n v="50000"/>
    <n v="1"/>
    <s v="Cumple"/>
    <n v="50000"/>
    <s v="SI"/>
    <n v="190000"/>
    <m/>
  </r>
  <r>
    <s v="REGIONAL PACIFICO"/>
    <s v="CALI_9"/>
    <s v="VACANTE"/>
    <x v="2"/>
    <x v="8"/>
    <n v="250000"/>
    <n v="1"/>
    <s v="Cumple"/>
    <n v="1"/>
    <s v="Cumple"/>
    <n v="1"/>
    <n v="150000"/>
    <n v="0.93333333333333324"/>
    <s v="Cumple"/>
    <n v="150000"/>
    <n v="50000"/>
    <n v="1.4431576605462948"/>
    <s v="Cumple"/>
    <n v="50000"/>
    <n v="50000"/>
    <n v="1"/>
    <s v="Cumple"/>
    <n v="50000"/>
    <s v="SI"/>
    <n v="250000"/>
    <m/>
  </r>
  <r>
    <s v="REGIONAL PACIFICO"/>
    <s v="PALMIRA_1"/>
    <s v="VACANTE"/>
    <x v="2"/>
    <x v="8"/>
    <n v="250000"/>
    <n v="1"/>
    <s v="Cumple"/>
    <n v="1"/>
    <s v="Cumple"/>
    <n v="1"/>
    <n v="150000"/>
    <n v="0.33333333333333331"/>
    <s v="No Cumple"/>
    <n v="0"/>
    <n v="50000"/>
    <n v="1.1169145560930267"/>
    <s v="Cumple"/>
    <n v="50000"/>
    <n v="50000"/>
    <n v="1"/>
    <s v="Cumple"/>
    <n v="50000"/>
    <s v="SI"/>
    <n v="100000"/>
    <m/>
  </r>
  <r>
    <s v="REGIONAL PACIFICO"/>
    <s v="PALMIRA_2"/>
    <s v="VACANTE"/>
    <x v="2"/>
    <x v="8"/>
    <n v="250000"/>
    <n v="1"/>
    <s v="Cumple"/>
    <n v="1"/>
    <s v="Cumple"/>
    <n v="1"/>
    <n v="150000"/>
    <n v="0.80645161290322587"/>
    <s v="Cumple"/>
    <n v="150000"/>
    <n v="50000"/>
    <n v="1.0510409952502668"/>
    <s v="Cumple"/>
    <n v="50000"/>
    <n v="50000"/>
    <n v="1"/>
    <s v="Cumple"/>
    <n v="50000"/>
    <s v="SI"/>
    <n v="250000"/>
    <m/>
  </r>
  <r>
    <s v="REGIONAL PACIFICO"/>
    <s v="PASTO_1"/>
    <s v="VACANTE"/>
    <x v="2"/>
    <x v="8"/>
    <n v="150000"/>
    <n v="0.72222222222222221"/>
    <s v="Cumple"/>
    <n v="0.72222222222222221"/>
    <s v="Cumple"/>
    <n v="0.72222222222222221"/>
    <n v="90000"/>
    <n v="0.5634920634920636"/>
    <s v="No Cumple"/>
    <n v="0"/>
    <n v="50000"/>
    <n v="1.034293934846366"/>
    <s v="Cumple"/>
    <n v="50000"/>
    <n v="30000"/>
    <n v="0.3611111111111111"/>
    <s v="No Cumple"/>
    <n v="0"/>
    <s v="SI"/>
    <n v="50000"/>
    <m/>
  </r>
  <r>
    <s v="REGIONAL PACIFICO"/>
    <s v="TULUA_1"/>
    <s v="VACANTE"/>
    <x v="2"/>
    <x v="8"/>
    <n v="250000"/>
    <n v="0.88888888888888884"/>
    <s v="Cumple"/>
    <n v="0.83333333333333337"/>
    <s v="Cumple"/>
    <n v="0.86111111111111116"/>
    <n v="150000"/>
    <n v="0.8"/>
    <s v="Cumple"/>
    <n v="150000"/>
    <n v="50000"/>
    <n v="1.4395204244963393"/>
    <s v="Cumple"/>
    <n v="50000"/>
    <n v="50000"/>
    <n v="0"/>
    <s v="No Cumple"/>
    <n v="0"/>
    <s v="SI"/>
    <n v="200000"/>
    <m/>
  </r>
  <r>
    <s v="REGIONAL PACIFICO"/>
    <s v="YUMBO_1"/>
    <s v="VACANTE"/>
    <x v="2"/>
    <x v="8"/>
    <n v="250000"/>
    <n v="1"/>
    <s v="Cumple"/>
    <n v="1"/>
    <s v="Cumple"/>
    <n v="1"/>
    <n v="150000"/>
    <n v="0.66666666666666663"/>
    <s v="Cumple"/>
    <n v="90000"/>
    <n v="50000"/>
    <n v="1.1109339735251027"/>
    <s v="Cumple"/>
    <n v="50000"/>
    <n v="50000"/>
    <n v="1"/>
    <s v="Cumple"/>
    <n v="50000"/>
    <s v="SI"/>
    <n v="190000"/>
    <m/>
  </r>
  <r>
    <s v="REGIONAL BOGOTA"/>
    <s v="SOC_1"/>
    <s v="CAMILO RINCON"/>
    <x v="0"/>
    <x v="9"/>
    <n v="250000"/>
    <n v="1"/>
    <s v="Cumple"/>
    <n v="1"/>
    <s v="Cumple"/>
    <n v="1"/>
    <n v="150000"/>
    <n v="0.92592592592592593"/>
    <s v="Cumple"/>
    <n v="150000"/>
    <n v="50000"/>
    <n v="1.107484829258496"/>
    <s v="Cumple"/>
    <n v="50000"/>
    <n v="50000"/>
    <n v="1"/>
    <s v="Cumple"/>
    <n v="50000"/>
    <s v="SI"/>
    <n v="250000"/>
    <m/>
  </r>
  <r>
    <s v="REGIONAL BOGOTA"/>
    <s v="SOC_10"/>
    <s v="CAMILO RINCON"/>
    <x v="0"/>
    <x v="9"/>
    <n v="250000"/>
    <n v="1"/>
    <s v="Cumple"/>
    <n v="1"/>
    <s v="Cumple"/>
    <n v="1"/>
    <n v="150000"/>
    <n v="1"/>
    <s v="Cumple"/>
    <n v="150000"/>
    <n v="50000"/>
    <n v="1.155425221120038"/>
    <s v="Cumple"/>
    <n v="50000"/>
    <n v="50000"/>
    <n v="0.5"/>
    <s v="No Cumple"/>
    <n v="0"/>
    <s v="SI"/>
    <n v="200000"/>
    <m/>
  </r>
  <r>
    <s v="REGIONAL BOGOTA"/>
    <s v="SOC_11"/>
    <s v="CAMILO RINCON"/>
    <x v="0"/>
    <x v="9"/>
    <n v="250000"/>
    <n v="1"/>
    <s v="Cumple"/>
    <n v="1"/>
    <s v="Cumple"/>
    <n v="1"/>
    <n v="150000"/>
    <n v="1"/>
    <s v="Cumple"/>
    <n v="150000"/>
    <n v="50000"/>
    <n v="1.0321854163662751"/>
    <s v="Cumple"/>
    <n v="50000"/>
    <n v="50000"/>
    <n v="1"/>
    <s v="Cumple"/>
    <n v="50000"/>
    <s v="SI"/>
    <n v="250000"/>
    <m/>
  </r>
  <r>
    <s v="REGIONAL BOGOTA"/>
    <s v="SOC_12"/>
    <s v="CAMILO RINCON"/>
    <x v="0"/>
    <x v="3"/>
    <n v="250000"/>
    <n v="0.66666666666666663"/>
    <s v="Cumple"/>
    <n v="1"/>
    <s v="Cumple"/>
    <n v="0.83333333333333326"/>
    <n v="150000"/>
    <n v="0.66666666666666663"/>
    <s v="Cumple"/>
    <n v="90000"/>
    <n v="50000"/>
    <n v="0.91249999999999998"/>
    <s v="Cumple"/>
    <n v="45000"/>
    <n v="50000"/>
    <n v="1"/>
    <s v="Cumple"/>
    <n v="50000"/>
    <s v="SI"/>
    <n v="185000"/>
    <m/>
  </r>
  <r>
    <s v="REGIONAL BOGOTA"/>
    <s v="SOC_13"/>
    <s v="CAMILO RINCON"/>
    <x v="0"/>
    <x v="9"/>
    <n v="250000"/>
    <n v="1"/>
    <s v="Cumple"/>
    <n v="1"/>
    <s v="Cumple"/>
    <n v="1"/>
    <n v="150000"/>
    <n v="1"/>
    <s v="Cumple"/>
    <n v="150000"/>
    <n v="50000"/>
    <n v="0.84050479864072258"/>
    <s v="Cumple"/>
    <n v="40000"/>
    <n v="50000"/>
    <n v="1"/>
    <s v="Cumple"/>
    <n v="50000"/>
    <s v="SI"/>
    <n v="240000"/>
    <m/>
  </r>
  <r>
    <s v="REGIONAL BOGOTA"/>
    <s v="SOC_14"/>
    <s v="CAMILO RINCON"/>
    <x v="0"/>
    <x v="9"/>
    <n v="250000"/>
    <n v="1"/>
    <s v="Cumple"/>
    <n v="1"/>
    <s v="Cumple"/>
    <n v="1"/>
    <n v="150000"/>
    <n v="0.95138888888888884"/>
    <s v="Cumple"/>
    <n v="150000"/>
    <n v="50000"/>
    <n v="0.91164539539946576"/>
    <s v="Cumple"/>
    <n v="45000"/>
    <n v="50000"/>
    <n v="0.5"/>
    <s v="No Cumple"/>
    <n v="0"/>
    <s v="SI"/>
    <n v="195000"/>
    <m/>
  </r>
  <r>
    <s v="REGIONAL BOGOTA"/>
    <s v="SOC_15"/>
    <s v="CAMILO RINCON"/>
    <x v="0"/>
    <x v="9"/>
    <n v="250000"/>
    <n v="1"/>
    <s v="Cumple"/>
    <n v="1"/>
    <s v="Cumple"/>
    <n v="1"/>
    <n v="150000"/>
    <n v="0.94871794871794879"/>
    <s v="Cumple"/>
    <n v="150000"/>
    <n v="50000"/>
    <n v="0.9"/>
    <s v="Cumple"/>
    <n v="40000"/>
    <n v="50000"/>
    <n v="1"/>
    <s v="Cumple"/>
    <n v="50000"/>
    <s v="SI"/>
    <n v="240000"/>
    <m/>
  </r>
  <r>
    <s v="REGIONAL BOGOTA"/>
    <s v="SOC_16"/>
    <s v="CAMILO RINCON"/>
    <x v="0"/>
    <x v="9"/>
    <n v="250000"/>
    <n v="1"/>
    <s v="Cumple"/>
    <n v="1"/>
    <s v="Cumple"/>
    <n v="1"/>
    <n v="150000"/>
    <n v="1"/>
    <s v="Cumple"/>
    <n v="150000"/>
    <n v="50000"/>
    <n v="0.86907068519083575"/>
    <s v="Cumple"/>
    <n v="40000"/>
    <n v="50000"/>
    <n v="1"/>
    <s v="Cumple"/>
    <n v="50000"/>
    <s v="SI"/>
    <n v="240000"/>
    <m/>
  </r>
  <r>
    <s v="REGIONAL BOGOTA"/>
    <s v="SOC_17"/>
    <s v="CAMILO RINCON"/>
    <x v="0"/>
    <x v="9"/>
    <n v="250000"/>
    <n v="1"/>
    <s v="Cumple"/>
    <n v="1"/>
    <s v="Cumple"/>
    <n v="1"/>
    <n v="150000"/>
    <n v="0.96969696969696972"/>
    <s v="Cumple"/>
    <n v="150000"/>
    <n v="50000"/>
    <n v="1.1709952060900224"/>
    <s v="Cumple"/>
    <n v="50000"/>
    <n v="50000"/>
    <n v="1"/>
    <s v="Cumple"/>
    <n v="50000"/>
    <s v="SI"/>
    <n v="250000"/>
    <m/>
  </r>
  <r>
    <s v="REGIONAL BOGOTA"/>
    <s v="SOC_18"/>
    <s v="CAMILO RINCON"/>
    <x v="0"/>
    <x v="9"/>
    <n v="250000"/>
    <n v="1"/>
    <s v="Cumple"/>
    <n v="1"/>
    <s v="Cumple"/>
    <n v="1"/>
    <n v="150000"/>
    <n v="0.98611111111111116"/>
    <s v="Cumple"/>
    <n v="150000"/>
    <n v="50000"/>
    <n v="1.0399837664439522"/>
    <s v="Cumple"/>
    <n v="50000"/>
    <n v="50000"/>
    <n v="1"/>
    <s v="Cumple"/>
    <n v="50000"/>
    <s v="SI"/>
    <n v="250000"/>
    <m/>
  </r>
  <r>
    <s v="REGIONAL BOGOTA"/>
    <s v="SOC_2"/>
    <s v="CAMILO RINCON"/>
    <x v="0"/>
    <x v="9"/>
    <n v="250000"/>
    <n v="1"/>
    <s v="Cumple"/>
    <n v="1"/>
    <s v="Cumple"/>
    <n v="1"/>
    <n v="150000"/>
    <n v="1"/>
    <s v="Cumple"/>
    <n v="150000"/>
    <n v="50000"/>
    <n v="0.92064876646167726"/>
    <s v="Cumple"/>
    <n v="45000"/>
    <n v="50000"/>
    <n v="0.5"/>
    <s v="No Cumple"/>
    <n v="0"/>
    <s v="SI"/>
    <n v="195000"/>
    <m/>
  </r>
  <r>
    <s v="REGIONAL BOGOTA"/>
    <s v="SOC_3"/>
    <s v="CAMILO RINCON"/>
    <x v="0"/>
    <x v="9"/>
    <n v="250000"/>
    <n v="1"/>
    <s v="Cumple"/>
    <n v="1"/>
    <s v="Cumple"/>
    <n v="1"/>
    <n v="150000"/>
    <n v="0.95833333333333337"/>
    <s v="Cumple"/>
    <n v="150000"/>
    <n v="50000"/>
    <n v="1.0394563581635836"/>
    <s v="Cumple"/>
    <n v="50000"/>
    <n v="50000"/>
    <n v="1"/>
    <s v="Cumple"/>
    <n v="50000"/>
    <s v="SI"/>
    <n v="250000"/>
    <m/>
  </r>
  <r>
    <s v="REGIONAL BOGOTA"/>
    <s v="SOC_4"/>
    <s v="CAMILO RINCON"/>
    <x v="0"/>
    <x v="9"/>
    <n v="250000"/>
    <n v="1"/>
    <s v="Cumple"/>
    <n v="1"/>
    <s v="Cumple"/>
    <n v="1"/>
    <n v="150000"/>
    <n v="0.97619047619047628"/>
    <s v="Cumple"/>
    <n v="150000"/>
    <n v="50000"/>
    <n v="1.2520587138640025"/>
    <s v="Cumple"/>
    <n v="50000"/>
    <n v="50000"/>
    <n v="1"/>
    <s v="Cumple"/>
    <n v="50000"/>
    <s v="SI"/>
    <n v="250000"/>
    <m/>
  </r>
  <r>
    <s v="REGIONAL BOGOTA"/>
    <s v="SOC_5"/>
    <s v="CAMILO RINCON"/>
    <x v="0"/>
    <x v="9"/>
    <n v="250000"/>
    <n v="1"/>
    <s v="Cumple"/>
    <n v="1"/>
    <s v="Cumple"/>
    <n v="1"/>
    <n v="150000"/>
    <n v="1"/>
    <s v="Cumple"/>
    <n v="150000"/>
    <n v="50000"/>
    <n v="1.0112697311902084"/>
    <s v="Cumple"/>
    <n v="50000"/>
    <n v="50000"/>
    <n v="1"/>
    <s v="Cumple"/>
    <n v="50000"/>
    <s v="SI"/>
    <n v="250000"/>
    <m/>
  </r>
  <r>
    <s v="REGIONAL BOGOTA"/>
    <s v="SOC_6"/>
    <s v="CAMILO RINCON"/>
    <x v="0"/>
    <x v="9"/>
    <n v="250000"/>
    <n v="1"/>
    <s v="Cumple"/>
    <n v="1"/>
    <s v="Cumple"/>
    <n v="1"/>
    <n v="150000"/>
    <n v="0.88888888888888884"/>
    <s v="Cumple"/>
    <n v="150000"/>
    <n v="50000"/>
    <n v="1.0301859149618855"/>
    <s v="Cumple"/>
    <n v="50000"/>
    <n v="50000"/>
    <n v="1"/>
    <s v="Cumple"/>
    <n v="50000"/>
    <s v="SI"/>
    <n v="250000"/>
    <m/>
  </r>
  <r>
    <s v="REGIONAL BOGOTA"/>
    <s v="SOC_7"/>
    <s v="CAMILO RINCON"/>
    <x v="0"/>
    <x v="9"/>
    <n v="250000"/>
    <n v="1"/>
    <s v="Cumple"/>
    <n v="1"/>
    <s v="Cumple"/>
    <n v="1"/>
    <n v="150000"/>
    <n v="1"/>
    <s v="Cumple"/>
    <n v="150000"/>
    <n v="50000"/>
    <n v="1.0544136251055842"/>
    <s v="Cumple"/>
    <n v="50000"/>
    <n v="50000"/>
    <n v="1"/>
    <s v="Cumple"/>
    <n v="50000"/>
    <s v="SI"/>
    <n v="250000"/>
    <m/>
  </r>
  <r>
    <s v="REGIONAL BOGOTA"/>
    <s v="SOC_8"/>
    <s v="CAMILO RINCON"/>
    <x v="0"/>
    <x v="9"/>
    <n v="250000"/>
    <n v="1"/>
    <s v="Cumple"/>
    <n v="1"/>
    <s v="Cumple"/>
    <n v="1"/>
    <n v="150000"/>
    <n v="1"/>
    <s v="Cumple"/>
    <n v="150000"/>
    <n v="50000"/>
    <n v="1.2316437290617255"/>
    <s v="Cumple"/>
    <n v="50000"/>
    <n v="50000"/>
    <n v="0.5"/>
    <s v="No Cumple"/>
    <n v="0"/>
    <s v="SI"/>
    <n v="200000"/>
    <m/>
  </r>
  <r>
    <s v="REGIONAL BOGOTA"/>
    <s v="SOC_9"/>
    <s v="CAMILO RINCON"/>
    <x v="0"/>
    <x v="9"/>
    <n v="250000"/>
    <n v="1"/>
    <s v="Cumple"/>
    <n v="1"/>
    <s v="Cumple"/>
    <n v="1"/>
    <n v="150000"/>
    <n v="1"/>
    <s v="Cumple"/>
    <n v="150000"/>
    <n v="50000"/>
    <n v="1.3021513679069516"/>
    <s v="Cumple"/>
    <n v="50000"/>
    <n v="50000"/>
    <n v="0.5"/>
    <s v="No Cumple"/>
    <n v="0"/>
    <s v="SI"/>
    <n v="200000"/>
    <m/>
  </r>
  <r>
    <s v="REGIONAL ESTE"/>
    <s v="BARRANCABERMEJA_1"/>
    <s v="HEIDY SANCHEZ"/>
    <x v="1"/>
    <x v="10"/>
    <n v="250000"/>
    <n v="1"/>
    <s v="Cumple"/>
    <n v="0.8"/>
    <s v="Cumple"/>
    <n v="0.9"/>
    <n v="150000"/>
    <n v="0.87272727272727268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BARRANCABERMEJA_2"/>
    <s v="HEIDY SANCHEZ"/>
    <x v="1"/>
    <x v="10"/>
    <n v="250000"/>
    <n v="1"/>
    <s v="Cumple"/>
    <n v="1"/>
    <s v="Cumple"/>
    <n v="1"/>
    <n v="150000"/>
    <n v="1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BUCARAMANGA_1"/>
    <s v="HEIDY SANCHEZ"/>
    <x v="1"/>
    <x v="10"/>
    <n v="250000"/>
    <n v="0.83333333333333337"/>
    <s v="Cumple"/>
    <n v="1"/>
    <s v="Cumple"/>
    <n v="0.91666666666666674"/>
    <n v="150000"/>
    <n v="0.83333333333333337"/>
    <s v="Cumple"/>
    <n v="150000"/>
    <n v="50000"/>
    <n v="0.97070000000000001"/>
    <s v="Cumple"/>
    <n v="48535"/>
    <n v="50000"/>
    <n v="0.875"/>
    <s v="No Cumple"/>
    <n v="0"/>
    <s v="SI"/>
    <n v="198535"/>
    <m/>
  </r>
  <r>
    <s v="REGIONAL ESTE"/>
    <s v="BUCARAMANGA_2"/>
    <s v="HEIDY SANCHEZ"/>
    <x v="1"/>
    <x v="10"/>
    <n v="250000"/>
    <n v="1"/>
    <s v="Cumple"/>
    <n v="1"/>
    <s v="Cumple"/>
    <n v="1"/>
    <n v="150000"/>
    <n v="0.80769230769230782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BUCARAMANGA_3"/>
    <s v="HEIDY SANCHEZ"/>
    <x v="1"/>
    <x v="10"/>
    <n v="250000"/>
    <n v="1"/>
    <s v="Cumple"/>
    <n v="1"/>
    <s v="Cumple"/>
    <n v="1"/>
    <n v="150000"/>
    <n v="1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BUCARAMANGA_4"/>
    <s v="HEIDY SANCHEZ"/>
    <x v="1"/>
    <x v="10"/>
    <n v="250000"/>
    <n v="0.85185185185185175"/>
    <s v="Cumple"/>
    <n v="1"/>
    <s v="Cumple"/>
    <n v="0.92592592592592582"/>
    <n v="150000"/>
    <n v="0.7240740740740742"/>
    <s v="Cumple"/>
    <n v="90000"/>
    <n v="50000"/>
    <n v="0.97070000000000001"/>
    <s v="Cumple"/>
    <n v="48535"/>
    <n v="50000"/>
    <n v="0.77777777777777779"/>
    <s v="No Cumple"/>
    <n v="0"/>
    <s v="SI"/>
    <n v="138535"/>
    <m/>
  </r>
  <r>
    <s v="REGIONAL ESTE"/>
    <s v="BUCARAMANGA_5"/>
    <s v="HEIDY SANCHEZ"/>
    <x v="1"/>
    <x v="10"/>
    <n v="250000"/>
    <n v="0.89743589743589747"/>
    <s v="Cumple"/>
    <n v="1"/>
    <s v="Cumple"/>
    <n v="0.94871794871794868"/>
    <n v="150000"/>
    <n v="0.94871794871794879"/>
    <s v="Cumple"/>
    <n v="150000"/>
    <n v="50000"/>
    <n v="0.87333085500152596"/>
    <s v="Cumple"/>
    <n v="40000"/>
    <n v="50000"/>
    <n v="0.92307692307692313"/>
    <s v="No Cumple"/>
    <n v="0"/>
    <s v="SI"/>
    <n v="190000"/>
    <m/>
  </r>
  <r>
    <s v="REGIONAL ESTE"/>
    <s v="BUCARAMANGA_6"/>
    <s v="HEIDY SANCHEZ"/>
    <x v="1"/>
    <x v="10"/>
    <n v="250000"/>
    <n v="0.87179487179487181"/>
    <s v="Cumple"/>
    <n v="1"/>
    <s v="Cumple"/>
    <n v="0.9358974358974359"/>
    <n v="150000"/>
    <n v="0.94871794871794879"/>
    <s v="Cumple"/>
    <n v="150000"/>
    <n v="50000"/>
    <n v="0.97070000000000001"/>
    <s v="Cumple"/>
    <n v="48535"/>
    <n v="50000"/>
    <n v="0.88461538461538458"/>
    <s v="No Cumple"/>
    <n v="0"/>
    <s v="SI"/>
    <n v="198535"/>
    <m/>
  </r>
  <r>
    <s v="REGIONAL ESTE"/>
    <s v="BUCARAMANGA_7"/>
    <s v="HEIDY SANCHEZ"/>
    <x v="1"/>
    <x v="10"/>
    <n v="250000"/>
    <n v="1"/>
    <s v="Cumple"/>
    <n v="1"/>
    <s v="Cumple"/>
    <n v="1"/>
    <n v="150000"/>
    <n v="0.87439613526570048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BUCARAMANGA_8"/>
    <s v="HEIDY SANCHEZ"/>
    <x v="1"/>
    <x v="10"/>
    <n v="250000"/>
    <n v="1"/>
    <s v="Cumple"/>
    <n v="1"/>
    <s v="Cumple"/>
    <n v="1"/>
    <n v="150000"/>
    <n v="1"/>
    <s v="Cumple"/>
    <n v="150000"/>
    <n v="50000"/>
    <n v="0.82558188918693898"/>
    <s v="Cumple"/>
    <n v="40000"/>
    <n v="50000"/>
    <n v="1"/>
    <s v="Cumple"/>
    <n v="50000"/>
    <s v="SI"/>
    <n v="240000"/>
    <m/>
  </r>
  <r>
    <s v="REGIONAL ESTE"/>
    <s v="BUCARAMANGA_9"/>
    <s v="HEIDY SANCHEZ"/>
    <x v="1"/>
    <x v="10"/>
    <n v="250000"/>
    <n v="0.93333333333333324"/>
    <s v="Cumple"/>
    <n v="1"/>
    <s v="Cumple"/>
    <n v="0.96666666666666656"/>
    <n v="150000"/>
    <n v="0.94912280701754381"/>
    <s v="Cumple"/>
    <n v="150000"/>
    <n v="50000"/>
    <n v="0.97070000000000001"/>
    <s v="Cumple"/>
    <n v="48535"/>
    <n v="50000"/>
    <n v="0.95"/>
    <s v="No Cumple"/>
    <n v="0"/>
    <s v="SI"/>
    <n v="198535"/>
    <m/>
  </r>
  <r>
    <s v="REGIONAL ESTE"/>
    <s v="CUCUTA_1"/>
    <s v="HEIDY SANCHEZ"/>
    <x v="1"/>
    <x v="10"/>
    <n v="250000"/>
    <n v="1"/>
    <s v="Cumple"/>
    <n v="1"/>
    <s v="Cumple"/>
    <n v="1"/>
    <n v="150000"/>
    <n v="1"/>
    <s v="Cumple"/>
    <n v="150000"/>
    <n v="50000"/>
    <n v="1.0409142540651517"/>
    <s v="Cumple"/>
    <n v="50000"/>
    <n v="50000"/>
    <n v="1"/>
    <s v="Cumple"/>
    <n v="50000"/>
    <s v="SI"/>
    <n v="250000"/>
    <m/>
  </r>
  <r>
    <s v="REGIONAL ESTE"/>
    <s v="CUCUTA_2"/>
    <s v="HEIDY SANCHEZ"/>
    <x v="1"/>
    <x v="10"/>
    <n v="250000"/>
    <n v="1"/>
    <s v="Cumple"/>
    <n v="1"/>
    <s v="Cumple"/>
    <n v="1"/>
    <n v="150000"/>
    <n v="1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CUCUTA_3"/>
    <s v="HEIDY SANCHEZ"/>
    <x v="1"/>
    <x v="10"/>
    <n v="250000"/>
    <n v="1"/>
    <s v="Cumple"/>
    <n v="1"/>
    <s v="Cumple"/>
    <n v="1"/>
    <n v="150000"/>
    <n v="1"/>
    <s v="Cumple"/>
    <n v="150000"/>
    <n v="50000"/>
    <n v="0.95"/>
    <s v="Cumple"/>
    <n v="45000"/>
    <n v="50000"/>
    <n v="1"/>
    <s v="Cumple"/>
    <n v="50000"/>
    <s v="SI"/>
    <n v="245000"/>
    <m/>
  </r>
  <r>
    <s v="REGIONAL ESTE"/>
    <s v="CUCUTA_4"/>
    <s v="HEIDY SANCHEZ"/>
    <x v="1"/>
    <x v="10"/>
    <n v="250000"/>
    <n v="1"/>
    <s v="Cumple"/>
    <n v="1"/>
    <s v="Cumple"/>
    <n v="1"/>
    <n v="150000"/>
    <n v="0.96666666666666667"/>
    <s v="Cumple"/>
    <n v="150000"/>
    <n v="50000"/>
    <n v="1.0236981651446115"/>
    <s v="Cumple"/>
    <n v="50000"/>
    <n v="50000"/>
    <n v="1"/>
    <s v="Cumple"/>
    <n v="50000"/>
    <s v="SI"/>
    <n v="250000"/>
    <m/>
  </r>
  <r>
    <s v="REGIONAL ESTE"/>
    <s v="GIRÓN_1"/>
    <s v="HEIDY SANCHEZ"/>
    <x v="1"/>
    <x v="10"/>
    <n v="250000"/>
    <n v="1"/>
    <s v="Cumple"/>
    <n v="1"/>
    <s v="Cumple"/>
    <n v="1"/>
    <n v="150000"/>
    <n v="0.97333333333333327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ESTE"/>
    <s v="GIRÓN_2"/>
    <s v="HEIDY SANCHEZ"/>
    <x v="1"/>
    <x v="10"/>
    <n v="250000"/>
    <n v="1"/>
    <s v="Cumple"/>
    <n v="1"/>
    <s v="Cumple"/>
    <n v="1"/>
    <n v="150000"/>
    <n v="0.97222222222222221"/>
    <s v="Cumple"/>
    <n v="150000"/>
    <n v="50000"/>
    <n v="0.97070000000000001"/>
    <s v="Cumple"/>
    <n v="48535"/>
    <n v="50000"/>
    <n v="1"/>
    <s v="Cumple"/>
    <n v="50000"/>
    <s v="SI"/>
    <n v="248535"/>
    <m/>
  </r>
  <r>
    <s v="REGIONAL PACIFICO"/>
    <s v="CALI_10"/>
    <s v="NATALIA IBARRA"/>
    <x v="2"/>
    <x v="11"/>
    <n v="250000"/>
    <n v="0.8571428571428571"/>
    <s v="Cumple"/>
    <n v="0.8571428571428571"/>
    <s v="Cumple"/>
    <n v="0.8571428571428571"/>
    <n v="150000"/>
    <n v="0.75091575091575091"/>
    <s v="Cumple"/>
    <n v="90000"/>
    <n v="50000"/>
    <n v="0.50399389459611477"/>
    <s v="No Cumple"/>
    <n v="0"/>
    <n v="50000"/>
    <n v="0.42857142857142855"/>
    <s v="No Cumple"/>
    <n v="0"/>
    <s v="SI"/>
    <n v="90000"/>
    <m/>
  </r>
  <r>
    <s v="REGIONAL PACIFICO"/>
    <s v="CALI_11"/>
    <s v="NATALIA IBARRA"/>
    <x v="2"/>
    <x v="11"/>
    <n v="250000"/>
    <n v="1"/>
    <s v="Cumple"/>
    <n v="1"/>
    <s v="Cumple"/>
    <n v="1"/>
    <n v="150000"/>
    <n v="0.72981366459627328"/>
    <s v="Cumple"/>
    <n v="90000"/>
    <n v="50000"/>
    <n v="0.82308366756239282"/>
    <s v="Cumple"/>
    <n v="40000"/>
    <n v="50000"/>
    <n v="0.5"/>
    <s v="No Cumple"/>
    <n v="0"/>
    <s v="SI"/>
    <n v="130000"/>
    <m/>
  </r>
  <r>
    <s v="REGIONAL PACIFICO"/>
    <s v="CALI_12"/>
    <s v="NATALIA IBARRA"/>
    <x v="2"/>
    <x v="11"/>
    <n v="250000"/>
    <n v="0.87878787878787878"/>
    <s v="Cumple"/>
    <n v="0.90909090909090906"/>
    <s v="Cumple"/>
    <n v="0.89393939393939392"/>
    <n v="150000"/>
    <n v="0.71055381400208983"/>
    <s v="Cumple"/>
    <n v="90000"/>
    <n v="50000"/>
    <n v="1.0820557115661762"/>
    <s v="Cumple"/>
    <n v="50000"/>
    <n v="50000"/>
    <n v="0.81818181818181823"/>
    <s v="No Cumple"/>
    <n v="0"/>
    <s v="SI"/>
    <n v="140000"/>
    <m/>
  </r>
  <r>
    <s v="REGIONAL PACIFICO"/>
    <s v="CALI_13"/>
    <s v="NATALIA IBARRA"/>
    <x v="2"/>
    <x v="11"/>
    <n v="250000"/>
    <n v="1"/>
    <s v="Cumple"/>
    <n v="1"/>
    <s v="Cumple"/>
    <n v="1"/>
    <n v="150000"/>
    <n v="0.66666666666666663"/>
    <s v="Cumple"/>
    <n v="90000"/>
    <n v="50000"/>
    <n v="0.86802055560423497"/>
    <s v="Cumple"/>
    <n v="40000"/>
    <n v="50000"/>
    <n v="1"/>
    <s v="Cumple"/>
    <n v="50000"/>
    <s v="SI"/>
    <n v="180000"/>
    <m/>
  </r>
  <r>
    <s v="REGIONAL PACIFICO"/>
    <s v="CALI_15"/>
    <s v="NATALIA IBARRA"/>
    <x v="2"/>
    <x v="11"/>
    <n v="250000"/>
    <n v="0.93333333333333324"/>
    <s v="Cumple"/>
    <n v="1"/>
    <s v="Cumple"/>
    <n v="0.96666666666666656"/>
    <n v="150000"/>
    <n v="0.75"/>
    <s v="Cumple"/>
    <n v="90000"/>
    <n v="50000"/>
    <n v="1.06010263677516"/>
    <s v="Cumple"/>
    <n v="50000"/>
    <n v="50000"/>
    <n v="0.9"/>
    <s v="No Cumple"/>
    <n v="0"/>
    <s v="SI"/>
    <n v="140000"/>
    <m/>
  </r>
  <r>
    <s v="REGIONAL PACIFICO"/>
    <s v="CALI_16"/>
    <s v="NATALIA IBARRA"/>
    <x v="2"/>
    <x v="11"/>
    <n v="250000"/>
    <n v="0.88888888888888884"/>
    <s v="Cumple"/>
    <n v="0.88888888888888884"/>
    <s v="Cumple"/>
    <n v="0.88888888888888884"/>
    <n v="150000"/>
    <n v="0.6507936507936507"/>
    <s v="Cumple"/>
    <n v="90000"/>
    <n v="50000"/>
    <n v="1.1540772081966257"/>
    <s v="Cumple"/>
    <n v="50000"/>
    <n v="50000"/>
    <n v="0.88888888888888884"/>
    <s v="No Cumple"/>
    <n v="0"/>
    <s v="SI"/>
    <n v="140000"/>
    <m/>
  </r>
  <r>
    <s v="REGIONAL PACIFICO"/>
    <s v="CALI_17"/>
    <s v="NATALIA IBARRA"/>
    <x v="2"/>
    <x v="11"/>
    <n v="250000"/>
    <n v="0.81818181818181823"/>
    <s v="Cumple"/>
    <n v="0.81818181818181823"/>
    <s v="Cumple"/>
    <n v="0.81818181818181823"/>
    <n v="150000"/>
    <n v="0.36044657097288679"/>
    <s v="No Cumple"/>
    <n v="0"/>
    <n v="50000"/>
    <n v="0.60295666626652511"/>
    <s v="No Cumple"/>
    <n v="0"/>
    <n v="50000"/>
    <n v="0.81818181818181823"/>
    <s v="No Cumple"/>
    <n v="0"/>
    <s v="SI"/>
    <n v="0"/>
    <m/>
  </r>
  <r>
    <s v="REGIONAL PACIFICO"/>
    <s v="CALI_18"/>
    <s v="NATALIA IBARRA"/>
    <x v="2"/>
    <x v="11"/>
    <n v="250000"/>
    <n v="1"/>
    <s v="Cumple"/>
    <n v="1"/>
    <s v="Cumple"/>
    <n v="1"/>
    <n v="150000"/>
    <n v="0.3923611111111111"/>
    <s v="No Cumple"/>
    <n v="0"/>
    <n v="50000"/>
    <n v="2.0070681264414856"/>
    <s v="Cumple"/>
    <n v="50000"/>
    <n v="50000"/>
    <n v="1"/>
    <s v="Cumple"/>
    <n v="50000"/>
    <s v="SI"/>
    <n v="100000"/>
    <m/>
  </r>
  <r>
    <s v="REGIONAL PACIFICO"/>
    <s v="CALI_19"/>
    <s v="NATALIA IBARRA"/>
    <x v="2"/>
    <x v="11"/>
    <n v="250000"/>
    <n v="0.91666666666666663"/>
    <s v="Cumple"/>
    <n v="0.91666666666666663"/>
    <s v="Cumple"/>
    <n v="0.91666666666666663"/>
    <n v="150000"/>
    <n v="0.8799283154121863"/>
    <s v="Cumple"/>
    <n v="150000"/>
    <n v="50000"/>
    <n v="0.92570134895493805"/>
    <s v="Cumple"/>
    <n v="45000"/>
    <n v="50000"/>
    <n v="0.45833333333333331"/>
    <s v="No Cumple"/>
    <n v="0"/>
    <s v="SI"/>
    <n v="195000"/>
    <m/>
  </r>
  <r>
    <s v="REGIONAL PACIFICO"/>
    <s v="CALI_2"/>
    <s v="NATALIA IBARRA"/>
    <x v="2"/>
    <x v="11"/>
    <n v="250000"/>
    <n v="1"/>
    <s v="Cumple"/>
    <n v="1"/>
    <s v="Cumple"/>
    <n v="1"/>
    <n v="150000"/>
    <n v="1"/>
    <s v="Cumple"/>
    <n v="150000"/>
    <n v="50000"/>
    <n v="1.161051542393333"/>
    <s v="Cumple"/>
    <n v="50000"/>
    <n v="50000"/>
    <n v="1"/>
    <s v="Cumple"/>
    <n v="50000"/>
    <s v="SI"/>
    <n v="250000"/>
    <m/>
  </r>
  <r>
    <s v="REGIONAL PACIFICO"/>
    <s v="CALI_4"/>
    <s v="NATALIA IBARRA"/>
    <x v="2"/>
    <x v="11"/>
    <n v="250000"/>
    <n v="0.92857142857142849"/>
    <s v="Cumple"/>
    <n v="0.9285714285714286"/>
    <s v="Cumple"/>
    <n v="0.9285714285714286"/>
    <n v="150000"/>
    <n v="0.81164021164021172"/>
    <s v="Cumple"/>
    <n v="150000"/>
    <n v="50000"/>
    <n v="1.1773537579672064"/>
    <s v="Cumple"/>
    <n v="50000"/>
    <n v="50000"/>
    <n v="0.4642857142857143"/>
    <s v="No Cumple"/>
    <n v="0"/>
    <s v="SI"/>
    <n v="200000"/>
    <m/>
  </r>
  <r>
    <s v="REGIONAL PACIFICO"/>
    <s v="CALI_8"/>
    <s v="NATALIA IBARRA"/>
    <x v="2"/>
    <x v="11"/>
    <n v="250000"/>
    <n v="1"/>
    <s v="Cumple"/>
    <n v="1"/>
    <s v="Cumple"/>
    <n v="1"/>
    <n v="150000"/>
    <n v="0.77777777777777779"/>
    <s v="Cumple"/>
    <n v="90000"/>
    <n v="50000"/>
    <n v="1.015793227618403"/>
    <s v="Cumple"/>
    <n v="50000"/>
    <n v="50000"/>
    <n v="1"/>
    <s v="Cumple"/>
    <n v="50000"/>
    <s v="SI"/>
    <n v="190000"/>
    <m/>
  </r>
  <r>
    <s v="REGIONAL PACIFICO"/>
    <s v="POPAYAN_1"/>
    <s v="NATALIA IBARRA"/>
    <x v="2"/>
    <x v="11"/>
    <n v="250000"/>
    <n v="1"/>
    <s v="Cumple"/>
    <n v="1"/>
    <s v="Cumple"/>
    <n v="1"/>
    <n v="150000"/>
    <n v="0.87179487179487181"/>
    <s v="Cumple"/>
    <n v="150000"/>
    <n v="50000"/>
    <n v="1.0777235852229183"/>
    <s v="Cumple"/>
    <n v="50000"/>
    <n v="50000"/>
    <n v="0.5"/>
    <s v="No Cumple"/>
    <n v="0"/>
    <s v="SI"/>
    <n v="200000"/>
    <m/>
  </r>
  <r>
    <s v="REGIONAL ANTIOQUIA"/>
    <s v="BELLO_1"/>
    <s v="DANIEL OSPINA"/>
    <x v="1"/>
    <x v="12"/>
    <n v="250000"/>
    <n v="1"/>
    <s v="Cumple"/>
    <n v="1"/>
    <s v="Cumple"/>
    <n v="1"/>
    <n v="150000"/>
    <n v="0.95833333333333337"/>
    <s v="Cumple"/>
    <n v="150000"/>
    <n v="50000"/>
    <n v="1.0584516962613026"/>
    <s v="Cumple"/>
    <n v="50000"/>
    <n v="50000"/>
    <n v="1"/>
    <s v="Cumple"/>
    <n v="50000"/>
    <s v="SI"/>
    <n v="250000"/>
    <m/>
  </r>
  <r>
    <s v="REGIONAL ANTIOQUIA"/>
    <s v="BELLO_2"/>
    <s v="DANIEL OSPINA"/>
    <x v="1"/>
    <x v="12"/>
    <n v="250000"/>
    <n v="1"/>
    <s v="Cumple"/>
    <n v="1"/>
    <s v="Cumple"/>
    <n v="1"/>
    <n v="150000"/>
    <n v="1"/>
    <s v="Cumple"/>
    <n v="150000"/>
    <n v="50000"/>
    <n v="0.96476293797046586"/>
    <s v="Cumple"/>
    <n v="48000"/>
    <n v="50000"/>
    <n v="1"/>
    <s v="Cumple"/>
    <n v="50000"/>
    <s v="SI"/>
    <n v="248000"/>
    <m/>
  </r>
  <r>
    <s v="REGIONAL ANTIOQUIA"/>
    <s v="GIRARDOTA_1"/>
    <s v="DANIEL OSPINA"/>
    <x v="1"/>
    <x v="12"/>
    <n v="250000"/>
    <n v="1"/>
    <s v="Cumple"/>
    <n v="1"/>
    <s v="Cumple"/>
    <n v="1"/>
    <n v="150000"/>
    <n v="1"/>
    <s v="Cumple"/>
    <n v="150000"/>
    <n v="50000"/>
    <n v="0.92248946034194301"/>
    <s v="Cumple"/>
    <n v="45000"/>
    <n v="50000"/>
    <n v="1"/>
    <s v="Cumple"/>
    <n v="50000"/>
    <s v="SI"/>
    <n v="245000"/>
    <m/>
  </r>
  <r>
    <s v="REGIONAL ANTIOQUIA"/>
    <s v="MEDELLIN_10"/>
    <s v="DANIEL OSPINA"/>
    <x v="1"/>
    <x v="12"/>
    <n v="250000"/>
    <n v="1"/>
    <s v="Cumple"/>
    <n v="1"/>
    <s v="Cumple"/>
    <n v="1"/>
    <n v="150000"/>
    <n v="0.88888888888888884"/>
    <s v="Cumple"/>
    <n v="150000"/>
    <n v="50000"/>
    <n v="1.0020662998285523"/>
    <s v="Cumple"/>
    <n v="50000"/>
    <n v="50000"/>
    <n v="1"/>
    <s v="Cumple"/>
    <n v="50000"/>
    <s v="SI"/>
    <n v="250000"/>
    <m/>
  </r>
  <r>
    <s v="REGIONAL ANTIOQUIA"/>
    <s v="MEDELLIN_11"/>
    <s v="DANIEL OSPINA"/>
    <x v="1"/>
    <x v="12"/>
    <n v="250000"/>
    <n v="1"/>
    <s v="Cumple"/>
    <n v="1"/>
    <s v="Cumple"/>
    <n v="1"/>
    <n v="150000"/>
    <n v="1"/>
    <s v="Cumple"/>
    <n v="150000"/>
    <n v="50000"/>
    <n v="1.0459483412955795"/>
    <s v="Cumple"/>
    <n v="50000"/>
    <n v="50000"/>
    <n v="1"/>
    <s v="Cumple"/>
    <n v="50000"/>
    <s v="SI"/>
    <n v="250000"/>
    <m/>
  </r>
  <r>
    <s v="REGIONAL ANTIOQUIA"/>
    <s v="MEDELLIN_12"/>
    <s v="DANIEL OSPINA"/>
    <x v="1"/>
    <x v="12"/>
    <n v="250000"/>
    <n v="0.80555555555555569"/>
    <s v="Cumple"/>
    <n v="0.83333333333333337"/>
    <s v="Cumple"/>
    <n v="0.81944444444444453"/>
    <n v="150000"/>
    <n v="0.67222222222222217"/>
    <s v="Cumple"/>
    <n v="90000"/>
    <n v="50000"/>
    <n v="1.0267242297038799"/>
    <s v="Cumple"/>
    <n v="50000"/>
    <n v="50000"/>
    <n v="0.375"/>
    <s v="No Cumple"/>
    <n v="0"/>
    <s v="SI"/>
    <n v="140000"/>
    <m/>
  </r>
  <r>
    <s v="REGIONAL ANTIOQUIA"/>
    <s v="MEDELLIN_2"/>
    <s v="DANIEL OSPINA"/>
    <x v="1"/>
    <x v="12"/>
    <n v="250000"/>
    <n v="1"/>
    <s v="Cumple"/>
    <n v="1"/>
    <s v="Cumple"/>
    <n v="1"/>
    <n v="150000"/>
    <n v="0.88888888888888884"/>
    <s v="Cumple"/>
    <n v="150000"/>
    <n v="50000"/>
    <n v="0.88682271291264536"/>
    <s v="Cumple"/>
    <n v="40000"/>
    <n v="50000"/>
    <n v="1"/>
    <s v="Cumple"/>
    <n v="50000"/>
    <s v="SI"/>
    <n v="240000"/>
    <m/>
  </r>
  <r>
    <s v="REGIONAL ANTIOQUIA"/>
    <s v="MEDELLIN_4"/>
    <s v="DANIEL OSPINA"/>
    <x v="1"/>
    <x v="12"/>
    <n v="250000"/>
    <n v="1"/>
    <s v="Cumple"/>
    <n v="1"/>
    <s v="Cumple"/>
    <n v="1"/>
    <n v="150000"/>
    <n v="0.95238095238095244"/>
    <s v="Cumple"/>
    <n v="150000"/>
    <n v="50000"/>
    <n v="1.0556348489095022"/>
    <s v="Cumple"/>
    <n v="50000"/>
    <n v="50000"/>
    <n v="1"/>
    <s v="Cumple"/>
    <n v="50000"/>
    <s v="SI"/>
    <n v="250000"/>
    <m/>
  </r>
  <r>
    <s v="REGIONAL ANTIOQUIA"/>
    <s v="MEDELLIN_5"/>
    <s v="DEISY BERRIO"/>
    <x v="1"/>
    <x v="12"/>
    <n v="250000"/>
    <n v="1"/>
    <s v="Cumple"/>
    <n v="1"/>
    <s v="Cumple"/>
    <n v="1"/>
    <n v="150000"/>
    <n v="0.80952380952380965"/>
    <s v="Cumple"/>
    <n v="150000"/>
    <n v="50000"/>
    <n v="1.1768073832564594"/>
    <s v="Cumple"/>
    <n v="50000"/>
    <n v="50000"/>
    <n v="0.5"/>
    <s v="No Cumple"/>
    <n v="0"/>
    <s v="SI"/>
    <n v="200000"/>
    <m/>
  </r>
  <r>
    <s v="REGIONAL ANTIOQUIA"/>
    <s v="MEDELLIN_8"/>
    <s v="DANIEL OSPINA"/>
    <x v="1"/>
    <x v="12"/>
    <n v="250000"/>
    <n v="0.91666666666666663"/>
    <s v="Cumple"/>
    <n v="0.91666666666666663"/>
    <s v="Cumple"/>
    <n v="0.91666666666666663"/>
    <n v="150000"/>
    <n v="0.91414141414141403"/>
    <s v="Cumple"/>
    <n v="150000"/>
    <n v="50000"/>
    <n v="1.1832045415394625"/>
    <s v="Cumple"/>
    <n v="50000"/>
    <n v="50000"/>
    <n v="0.45833333333333331"/>
    <s v="No Cumple"/>
    <n v="0"/>
    <s v="SI"/>
    <n v="200000"/>
    <m/>
  </r>
  <r>
    <s v="REGIONAL ANTIOQUIA"/>
    <s v="MEDELLIN_9"/>
    <s v="DANIEL OSPINA"/>
    <x v="1"/>
    <x v="12"/>
    <n v="250000"/>
    <n v="0.94117647058823517"/>
    <s v="Cumple"/>
    <n v="0.94117647058823528"/>
    <s v="Cumple"/>
    <n v="0.94117647058823528"/>
    <n v="150000"/>
    <n v="0.96078431372549022"/>
    <s v="Cumple"/>
    <n v="150000"/>
    <n v="50000"/>
    <n v="0.87842172738269109"/>
    <s v="Cumple"/>
    <n v="40000"/>
    <n v="50000"/>
    <n v="0.97058823529411764"/>
    <s v="No Cumple"/>
    <n v="0"/>
    <s v="SI"/>
    <n v="190000"/>
    <m/>
  </r>
  <r>
    <s v="REGIONAL BOGOTA"/>
    <s v="NTE_1"/>
    <s v="FANNY FERNANDEZ"/>
    <x v="0"/>
    <x v="1"/>
    <n v="250000"/>
    <n v="1"/>
    <s v="Cumple"/>
    <n v="1"/>
    <s v="Cumple"/>
    <n v="1"/>
    <n v="150000"/>
    <n v="1"/>
    <s v="Cumple"/>
    <n v="150000"/>
    <n v="50000"/>
    <n v="0.76333244787445043"/>
    <s v="No Cumple"/>
    <n v="35000"/>
    <n v="50000"/>
    <n v="1"/>
    <s v="Cumple"/>
    <n v="50000"/>
    <s v="SI"/>
    <n v="235000"/>
    <m/>
  </r>
  <r>
    <s v="REGIONAL BOGOTA"/>
    <s v="NTE_10"/>
    <s v="FANNY FERNANDEZ"/>
    <x v="0"/>
    <x v="1"/>
    <n v="250000"/>
    <n v="1"/>
    <s v="Cumple"/>
    <n v="1"/>
    <s v="Cumple"/>
    <n v="1"/>
    <n v="150000"/>
    <n v="0.75"/>
    <s v="Cumple"/>
    <n v="90000"/>
    <n v="50000"/>
    <n v="1.0596420897316248"/>
    <s v="Cumple"/>
    <n v="50000"/>
    <n v="50000"/>
    <n v="0.5"/>
    <s v="No Cumple"/>
    <n v="0"/>
    <s v="SI"/>
    <n v="140000"/>
    <m/>
  </r>
  <r>
    <s v="REGIONAL BOGOTA"/>
    <s v="NTE_11"/>
    <s v="FANNY FERNANDEZ"/>
    <x v="0"/>
    <x v="1"/>
    <n v="250000"/>
    <n v="1"/>
    <s v="Cumple"/>
    <n v="0.875"/>
    <s v="Cumple"/>
    <n v="0.9375"/>
    <n v="150000"/>
    <n v="0.95833333333333337"/>
    <s v="Cumple"/>
    <n v="150000"/>
    <n v="50000"/>
    <n v="1.1032208645897543"/>
    <s v="Cumple"/>
    <n v="50000"/>
    <n v="50000"/>
    <n v="1"/>
    <s v="Cumple"/>
    <n v="50000"/>
    <s v="SI"/>
    <n v="250000"/>
    <m/>
  </r>
  <r>
    <s v="REGIONAL BOGOTA"/>
    <s v="NTE_12"/>
    <s v="FANNY FERNANDEZ"/>
    <x v="0"/>
    <x v="1"/>
    <n v="250000"/>
    <n v="1"/>
    <s v="Cumple"/>
    <n v="1"/>
    <s v="Cumple"/>
    <n v="1"/>
    <n v="150000"/>
    <n v="1"/>
    <s v="Cumple"/>
    <n v="150000"/>
    <n v="50000"/>
    <n v="1.0333303442946065"/>
    <s v="Cumple"/>
    <n v="50000"/>
    <n v="50000"/>
    <n v="0.5"/>
    <s v="No Cumple"/>
    <n v="0"/>
    <s v="SI"/>
    <n v="200000"/>
    <m/>
  </r>
  <r>
    <s v="REGIONAL BOGOTA"/>
    <s v="NTE_13"/>
    <s v="FANNY FERNANDEZ"/>
    <x v="0"/>
    <x v="1"/>
    <n v="250000"/>
    <n v="0.85"/>
    <s v="Cumple"/>
    <n v="0.85"/>
    <s v="Cumple"/>
    <n v="0.85"/>
    <n v="150000"/>
    <n v="0.9"/>
    <s v="Cumple"/>
    <n v="150000"/>
    <n v="50000"/>
    <n v="1.1717459932113414"/>
    <s v="Cumple"/>
    <n v="50000"/>
    <n v="50000"/>
    <n v="0.92500000000000004"/>
    <s v="No Cumple"/>
    <n v="0"/>
    <s v="SI"/>
    <n v="200000"/>
    <m/>
  </r>
  <r>
    <s v="REGIONAL BOGOTA"/>
    <s v="NTE_14"/>
    <s v="FANNY FERNANDEZ"/>
    <x v="0"/>
    <x v="1"/>
    <n v="250000"/>
    <n v="1"/>
    <s v="Cumple"/>
    <n v="1"/>
    <s v="Cumple"/>
    <n v="1"/>
    <n v="150000"/>
    <n v="1"/>
    <s v="Cumple"/>
    <n v="150000"/>
    <n v="50000"/>
    <n v="1.5073077307971954"/>
    <s v="Cumple"/>
    <n v="50000"/>
    <n v="50000"/>
    <n v="1"/>
    <s v="Cumple"/>
    <n v="50000"/>
    <s v="SI"/>
    <n v="250000"/>
    <m/>
  </r>
  <r>
    <s v="REGIONAL BOGOTA"/>
    <s v="NTE_15"/>
    <s v="FANNY FERNANDEZ"/>
    <x v="0"/>
    <x v="1"/>
    <n v="250000"/>
    <n v="1"/>
    <s v="Cumple"/>
    <n v="1"/>
    <s v="Cumple"/>
    <n v="1"/>
    <n v="150000"/>
    <n v="0.97222222222222221"/>
    <s v="Cumple"/>
    <n v="150000"/>
    <n v="50000"/>
    <n v="1.2025124086276995"/>
    <s v="Cumple"/>
    <n v="50000"/>
    <n v="50000"/>
    <n v="1"/>
    <s v="Cumple"/>
    <n v="50000"/>
    <s v="SI"/>
    <n v="250000"/>
    <m/>
  </r>
  <r>
    <s v="REGIONAL BOGOTA"/>
    <s v="NTE_16"/>
    <s v="FANNY FERNANDEZ"/>
    <x v="0"/>
    <x v="1"/>
    <n v="250000"/>
    <n v="1"/>
    <s v="Cumple"/>
    <n v="1"/>
    <s v="Cumple"/>
    <n v="1"/>
    <n v="150000"/>
    <n v="1"/>
    <s v="Cumple"/>
    <n v="150000"/>
    <n v="50000"/>
    <n v="0.99588100500698618"/>
    <s v="Cumple"/>
    <n v="49000"/>
    <n v="50000"/>
    <n v="1"/>
    <s v="Cumple"/>
    <n v="50000"/>
    <s v="SI"/>
    <n v="249000"/>
    <m/>
  </r>
  <r>
    <s v="REGIONAL BOGOTA"/>
    <s v="NTE_2"/>
    <s v="FANNY FERNANDEZ"/>
    <x v="0"/>
    <x v="1"/>
    <n v="250000"/>
    <n v="1"/>
    <s v="Cumple"/>
    <n v="1"/>
    <s v="Cumple"/>
    <n v="1"/>
    <n v="150000"/>
    <n v="1"/>
    <s v="Cumple"/>
    <n v="150000"/>
    <n v="50000"/>
    <n v="1.0462123956698366"/>
    <s v="Cumple"/>
    <n v="50000"/>
    <n v="50000"/>
    <n v="1"/>
    <s v="Cumple"/>
    <n v="50000"/>
    <s v="SI"/>
    <n v="250000"/>
    <m/>
  </r>
  <r>
    <s v="REGIONAL BOGOTA"/>
    <s v="NTE_3"/>
    <s v="PAULA RUBIO"/>
    <x v="0"/>
    <x v="3"/>
    <n v="250000"/>
    <n v="1"/>
    <s v="Cumple"/>
    <n v="1"/>
    <s v="Cumple"/>
    <n v="1"/>
    <n v="150000"/>
    <n v="0.66666666666666663"/>
    <s v="Cumple"/>
    <n v="90000"/>
    <n v="50000"/>
    <n v="1.1219718905779672"/>
    <s v="Cumple"/>
    <n v="50000"/>
    <n v="50000"/>
    <n v="1"/>
    <s v="Cumple"/>
    <n v="50000"/>
    <s v="SI"/>
    <n v="190000"/>
    <m/>
  </r>
  <r>
    <s v="REGIONAL BOGOTA"/>
    <s v="NTE_4"/>
    <s v="FANNY FERNANDEZ"/>
    <x v="0"/>
    <x v="1"/>
    <n v="250000"/>
    <n v="1"/>
    <s v="Cumple"/>
    <n v="1"/>
    <s v="Cumple"/>
    <n v="1"/>
    <n v="150000"/>
    <n v="0.97777777777777786"/>
    <s v="Cumple"/>
    <n v="150000"/>
    <n v="50000"/>
    <n v="1.0145524564071531"/>
    <s v="Cumple"/>
    <n v="50000"/>
    <n v="50000"/>
    <n v="0.5"/>
    <s v="No Cumple"/>
    <n v="0"/>
    <s v="SI"/>
    <n v="200000"/>
    <m/>
  </r>
  <r>
    <s v="REGIONAL BOGOTA"/>
    <s v="NTE_5"/>
    <s v="FANNY FERNANDEZ"/>
    <x v="0"/>
    <x v="1"/>
    <n v="250000"/>
    <n v="1"/>
    <s v="Cumple"/>
    <n v="1"/>
    <s v="Cumple"/>
    <n v="1"/>
    <n v="150000"/>
    <n v="0.83333333333333337"/>
    <s v="Cumple"/>
    <n v="150000"/>
    <n v="50000"/>
    <n v="0.97536667765342522"/>
    <s v="Cumple"/>
    <n v="48500"/>
    <n v="50000"/>
    <n v="1"/>
    <s v="Cumple"/>
    <n v="50000"/>
    <s v="SI"/>
    <n v="248500"/>
    <m/>
  </r>
  <r>
    <s v="REGIONAL BOGOTA"/>
    <s v="NTE_6"/>
    <s v="PAULA RUBIO"/>
    <x v="0"/>
    <x v="3"/>
    <n v="250000"/>
    <n v="1"/>
    <s v="Cumple"/>
    <n v="1"/>
    <s v="Cumple"/>
    <n v="1"/>
    <n v="150000"/>
    <n v="1"/>
    <s v="Cumple"/>
    <n v="150000"/>
    <n v="50000"/>
    <n v="0.8248990922953755"/>
    <s v="Cumple"/>
    <n v="40000"/>
    <n v="50000"/>
    <n v="1"/>
    <s v="Cumple"/>
    <n v="50000"/>
    <s v="SI"/>
    <n v="240000"/>
    <m/>
  </r>
  <r>
    <s v="REGIONAL BOGOTA"/>
    <s v="NTE_7"/>
    <s v="FANNY FERNANDEZ"/>
    <x v="0"/>
    <x v="1"/>
    <n v="250000"/>
    <n v="1"/>
    <s v="Cumple"/>
    <n v="1"/>
    <s v="Cumple"/>
    <n v="1"/>
    <n v="150000"/>
    <n v="0.83333333333333337"/>
    <s v="Cumple"/>
    <n v="150000"/>
    <n v="50000"/>
    <n v="1.002692606501346"/>
    <s v="Cumple"/>
    <n v="50000"/>
    <n v="50000"/>
    <n v="1"/>
    <s v="Cumple"/>
    <n v="50000"/>
    <s v="SI"/>
    <n v="250000"/>
    <m/>
  </r>
  <r>
    <s v="REGIONAL BOGOTA"/>
    <s v="NTE_8"/>
    <s v="FANNY FERNANDEZ"/>
    <x v="0"/>
    <x v="1"/>
    <n v="250000"/>
    <n v="1"/>
    <s v="Cumple"/>
    <n v="1"/>
    <s v="Cumple"/>
    <n v="1"/>
    <n v="150000"/>
    <n v="0.96296296296296291"/>
    <s v="Cumple"/>
    <n v="150000"/>
    <n v="50000"/>
    <n v="0.93530017765279616"/>
    <s v="Cumple"/>
    <n v="45000"/>
    <n v="50000"/>
    <n v="0.5"/>
    <s v="No Cumple"/>
    <n v="0"/>
    <s v="SI"/>
    <n v="195000"/>
    <m/>
  </r>
  <r>
    <s v="REGIONAL BOGOTA"/>
    <s v="NTE_9"/>
    <s v="FANNY FERNANDEZ"/>
    <x v="0"/>
    <x v="1"/>
    <n v="250000"/>
    <n v="1"/>
    <s v="Cumple"/>
    <n v="1"/>
    <s v="Cumple"/>
    <n v="1"/>
    <n v="150000"/>
    <n v="1"/>
    <s v="Cumple"/>
    <n v="150000"/>
    <n v="50000"/>
    <n v="1.026918827529038"/>
    <s v="Cumple"/>
    <n v="50000"/>
    <n v="50000"/>
    <n v="1"/>
    <s v="Cumple"/>
    <n v="50000"/>
    <s v="SI"/>
    <n v="25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E3206-7AB6-4DA3-B25C-A774CC63ECEC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44:D48" firstHeaderRow="0" firstDataRow="1" firstDataCol="1"/>
  <pivotFields count="26">
    <pivotField showAll="0"/>
    <pivotField showAll="0"/>
    <pivotField showAll="0"/>
    <pivotField axis="axisRow" showAll="0">
      <items count="7">
        <item x="0"/>
        <item m="1" x="4"/>
        <item m="1" x="5"/>
        <item x="1"/>
        <item x="2"/>
        <item m="1" x="3"/>
        <item t="default"/>
      </items>
    </pivotField>
    <pivotField showAll="0">
      <items count="19">
        <item x="1"/>
        <item x="3"/>
        <item x="0"/>
        <item x="2"/>
        <item x="9"/>
        <item x="4"/>
        <item x="5"/>
        <item x="6"/>
        <item x="7"/>
        <item m="1" x="16"/>
        <item x="10"/>
        <item m="1" x="17"/>
        <item x="12"/>
        <item m="1" x="14"/>
        <item m="1" x="15"/>
        <item x="8"/>
        <item m="1" x="13"/>
        <item x="11"/>
        <item t="default"/>
      </items>
    </pivotField>
    <pivotField numFmtId="164" showAll="0"/>
    <pivotField dataField="1" numFmtId="9" showAll="0"/>
    <pivotField showAll="0"/>
    <pivotField dataField="1" numFmtId="9" showAll="0"/>
    <pivotField showAll="0"/>
    <pivotField numFmtId="9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showAll="0"/>
    <pivotField numFmtId="44"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% Cumpl. Captura" fld="6" subtotal="average" baseField="3" baseItem="0" numFmtId="9"/>
    <dataField name="Promedio de % Cumplimiento Cobertura" fld="8" subtotal="average" baseField="3" baseItem="0" numFmtId="9"/>
  </dataFields>
  <formats count="8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/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/>
    </format>
    <format dxfId="6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383BF-2662-4A6D-8C37-D4C117576220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27:D41" firstHeaderRow="0" firstDataRow="1" firstDataCol="1"/>
  <pivotFields count="26">
    <pivotField showAll="0"/>
    <pivotField showAll="0"/>
    <pivotField showAll="0"/>
    <pivotField showAll="0"/>
    <pivotField axis="axisRow" showAll="0">
      <items count="19">
        <item x="1"/>
        <item x="3"/>
        <item x="0"/>
        <item x="2"/>
        <item x="9"/>
        <item x="4"/>
        <item x="5"/>
        <item x="6"/>
        <item x="7"/>
        <item m="1" x="16"/>
        <item x="10"/>
        <item m="1" x="17"/>
        <item x="12"/>
        <item m="1" x="14"/>
        <item m="1" x="15"/>
        <item x="8"/>
        <item m="1" x="13"/>
        <item x="11"/>
        <item t="default"/>
      </items>
    </pivotField>
    <pivotField numFmtId="164" showAll="0"/>
    <pivotField dataField="1" numFmtId="9" showAll="0"/>
    <pivotField showAll="0"/>
    <pivotField dataField="1" numFmtId="9" showAll="0"/>
    <pivotField showAll="0"/>
    <pivotField numFmtId="9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numFmtId="44" showAll="0"/>
    <pivotField numFmtId="9" showAll="0"/>
    <pivotField showAll="0"/>
    <pivotField numFmtId="44" showAll="0"/>
    <pivotField showAll="0"/>
    <pivotField numFmtId="44"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% Cumpl. Captura" fld="6" subtotal="average" baseField="3" baseItem="0" numFmtId="9"/>
    <dataField name="Promedio de % Cumplimiento Cobertura" fld="8" subtotal="average" baseField="3" baseItem="0" numFmtId="9"/>
  </dataFields>
  <formats count="10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816D1-E333-4CF8-B21D-2892ED73AF8E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20:E24" firstHeaderRow="0" firstDataRow="1" firstDataCol="1"/>
  <pivotFields count="26">
    <pivotField showAll="0"/>
    <pivotField showAll="0"/>
    <pivotField showAll="0"/>
    <pivotField axis="axisRow" showAll="0">
      <items count="7">
        <item x="0"/>
        <item m="1" x="4"/>
        <item m="1" x="5"/>
        <item x="1"/>
        <item x="2"/>
        <item m="1" x="3"/>
        <item t="default"/>
      </items>
    </pivotField>
    <pivotField showAll="0">
      <items count="19">
        <item x="1"/>
        <item x="3"/>
        <item x="0"/>
        <item x="2"/>
        <item x="9"/>
        <item x="4"/>
        <item x="5"/>
        <item x="6"/>
        <item x="7"/>
        <item m="1" x="16"/>
        <item x="10"/>
        <item m="1" x="17"/>
        <item x="12"/>
        <item m="1" x="14"/>
        <item m="1" x="15"/>
        <item x="8"/>
        <item m="1" x="13"/>
        <item x="11"/>
        <item t="default"/>
      </items>
    </pivotField>
    <pivotField numFmtId="164" showAll="0"/>
    <pivotField numFmtId="9" showAll="0"/>
    <pivotField showAll="0"/>
    <pivotField numFmtId="9" showAll="0"/>
    <pivotField showAll="0"/>
    <pivotField numFmtId="9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showAll="0"/>
    <pivotField numFmtId="44"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% Cumplimiento TP" fld="12" subtotal="average" baseField="3" baseItem="3" numFmtId="9"/>
    <dataField name="Promedio de % Cumplimiento Ventas" fld="16" subtotal="average" baseField="3" baseItem="3" numFmtId="9"/>
    <dataField name="Promedio de % Cumplimiento FC &amp; DV" fld="20" subtotal="average" baseField="3" baseItem="3" numFmtId="9"/>
  </dataFields>
  <formats count="8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4" type="button" dataOnly="0" labelOnly="1" outline="0"/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4" type="button" dataOnly="0" labelOnly="1" outline="0"/>
    </format>
    <format dxfId="24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38805-4325-4BEC-95CE-769A4DA357FE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ORDINADOR">
  <location ref="B3:E17" firstHeaderRow="0" firstDataRow="1" firstDataCol="1"/>
  <pivotFields count="26">
    <pivotField showAll="0"/>
    <pivotField showAll="0"/>
    <pivotField showAll="0"/>
    <pivotField showAll="0"/>
    <pivotField axis="axisRow" showAll="0">
      <items count="19">
        <item x="1"/>
        <item x="3"/>
        <item x="0"/>
        <item x="2"/>
        <item x="9"/>
        <item x="4"/>
        <item x="5"/>
        <item x="6"/>
        <item x="7"/>
        <item m="1" x="16"/>
        <item x="10"/>
        <item m="1" x="17"/>
        <item x="12"/>
        <item m="1" x="14"/>
        <item m="1" x="15"/>
        <item x="8"/>
        <item m="1" x="13"/>
        <item x="11"/>
        <item t="default"/>
      </items>
    </pivotField>
    <pivotField numFmtId="164" showAll="0"/>
    <pivotField numFmtId="9" showAll="0"/>
    <pivotField showAll="0"/>
    <pivotField numFmtId="9" showAll="0"/>
    <pivotField showAll="0"/>
    <pivotField numFmtId="9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numFmtId="44" showAll="0"/>
    <pivotField dataField="1" numFmtId="9" showAll="0"/>
    <pivotField showAll="0"/>
    <pivotField numFmtId="44" showAll="0"/>
    <pivotField showAll="0"/>
    <pivotField numFmtId="44"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% Cumplimiento TP" fld="12" subtotal="average" baseField="3" baseItem="3" numFmtId="9"/>
    <dataField name=" % Cumplimiento Ventas" fld="16" subtotal="average" baseField="3" baseItem="3" numFmtId="9"/>
    <dataField name=" % Cumplimiento FC &amp; DV" fld="20" subtotal="average" baseField="3" baseItem="3" numFmtId="9"/>
  </dataFields>
  <formats count="10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AF02-6C79-47DD-9743-8A316C2913B5}">
  <dimension ref="B2:T36"/>
  <sheetViews>
    <sheetView showGridLines="0" zoomScale="70" zoomScaleNormal="70" workbookViewId="0">
      <selection activeCell="H39" sqref="H39"/>
    </sheetView>
  </sheetViews>
  <sheetFormatPr baseColWidth="10" defaultRowHeight="15" x14ac:dyDescent="0.25"/>
  <cols>
    <col min="1" max="1" width="0.7109375" customWidth="1"/>
    <col min="2" max="2" width="38.85546875" style="6" bestFit="1" customWidth="1"/>
    <col min="3" max="3" width="9.85546875" style="6" customWidth="1"/>
    <col min="4" max="5" width="13.42578125" style="6" customWidth="1"/>
    <col min="6" max="6" width="16.42578125" style="6" bestFit="1" customWidth="1"/>
    <col min="7" max="7" width="16.5703125" style="6" customWidth="1"/>
    <col min="8" max="8" width="16.28515625" style="6" customWidth="1"/>
    <col min="9" max="9" width="19.42578125" style="6" customWidth="1"/>
    <col min="10" max="10" width="10.85546875" style="6" customWidth="1"/>
    <col min="11" max="11" width="13.140625" style="6" customWidth="1"/>
    <col min="12" max="12" width="17.42578125" style="6" customWidth="1"/>
    <col min="13" max="13" width="12.7109375" style="6" customWidth="1"/>
    <col min="14" max="14" width="26.5703125" style="6" customWidth="1"/>
    <col min="15" max="15" width="15" style="6" bestFit="1" customWidth="1"/>
    <col min="16" max="16" width="14.7109375" style="6" customWidth="1"/>
    <col min="17" max="17" width="44.7109375" style="6" customWidth="1"/>
    <col min="18" max="18" width="10.85546875" style="43"/>
    <col min="20" max="20" width="12.85546875" bestFit="1" customWidth="1"/>
  </cols>
  <sheetData>
    <row r="2" spans="2:18" s="39" customFormat="1" x14ac:dyDescent="0.25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63"/>
    </row>
    <row r="3" spans="2:18" ht="18.75" x14ac:dyDescent="0.25">
      <c r="B3" s="38" t="s">
        <v>324</v>
      </c>
      <c r="C3" s="38"/>
      <c r="D3" s="38"/>
      <c r="E3" s="38"/>
      <c r="Q3" s="37"/>
    </row>
    <row r="4" spans="2:18" ht="6.95" customHeight="1" x14ac:dyDescent="0.25">
      <c r="Q4" s="37"/>
      <c r="R4" s="43">
        <f>+COUNTIF(R7:R9,"si")</f>
        <v>3</v>
      </c>
    </row>
    <row r="5" spans="2:18" x14ac:dyDescent="0.25">
      <c r="F5" s="109" t="s">
        <v>303</v>
      </c>
      <c r="G5" s="109"/>
      <c r="H5" s="109"/>
      <c r="I5" s="110" t="s">
        <v>329</v>
      </c>
      <c r="J5" s="110"/>
      <c r="K5" s="110"/>
      <c r="L5" s="111" t="s">
        <v>269</v>
      </c>
      <c r="M5" s="111"/>
      <c r="N5" s="111"/>
      <c r="P5" s="13">
        <f>+SUBTOTAL(9,P7:P9)</f>
        <v>1120000</v>
      </c>
    </row>
    <row r="6" spans="2:18" ht="30" x14ac:dyDescent="0.25">
      <c r="B6" s="34" t="s">
        <v>200</v>
      </c>
      <c r="C6" s="34" t="s">
        <v>264</v>
      </c>
      <c r="D6" s="34" t="s">
        <v>265</v>
      </c>
      <c r="E6" s="34" t="s">
        <v>302</v>
      </c>
      <c r="F6" s="60" t="s">
        <v>258</v>
      </c>
      <c r="G6" s="60" t="s">
        <v>259</v>
      </c>
      <c r="H6" s="60" t="s">
        <v>9</v>
      </c>
      <c r="I6" s="98" t="s">
        <v>262</v>
      </c>
      <c r="J6" s="98" t="s">
        <v>263</v>
      </c>
      <c r="K6" s="98" t="s">
        <v>9</v>
      </c>
      <c r="L6" s="99" t="s">
        <v>260</v>
      </c>
      <c r="M6" s="99" t="s">
        <v>261</v>
      </c>
      <c r="N6" s="99" t="s">
        <v>9</v>
      </c>
      <c r="O6" s="12" t="s">
        <v>6</v>
      </c>
      <c r="P6" s="12" t="s">
        <v>7</v>
      </c>
      <c r="Q6" s="12" t="s">
        <v>214</v>
      </c>
      <c r="R6" s="64" t="s">
        <v>266</v>
      </c>
    </row>
    <row r="7" spans="2:18" x14ac:dyDescent="0.25">
      <c r="B7" s="6" t="s">
        <v>223</v>
      </c>
      <c r="C7" s="62">
        <f>+VLOOKUP(B7,'TD Supervisores Y Lideres Prom'!$B$44:$D$48,2,FALSE)</f>
        <v>0.9755768922435587</v>
      </c>
      <c r="D7" s="62">
        <f>+VLOOKUP(B7,'TD Supervisores Y Lideres Prom'!$B$44:$D$48,3,FALSE)</f>
        <v>0.98738761238761219</v>
      </c>
      <c r="E7" s="62">
        <f>+AVERAGE(C7:D7)</f>
        <v>0.9814822523155855</v>
      </c>
      <c r="F7" s="106">
        <f>+O7*60%</f>
        <v>240000</v>
      </c>
      <c r="G7" s="7">
        <f>+VLOOKUP(B7,'TD Supervisores Y Lideres Prom'!$B$20:$C$24,2,FALSE)</f>
        <v>0.93861048424681981</v>
      </c>
      <c r="H7" s="61">
        <f>IF(G7&gt;80%,F7*100%,IF(AND(G7&gt;=60%,G7&lt;=79%),F7*60%,0))</f>
        <v>240000</v>
      </c>
      <c r="I7" s="106">
        <f>+O7*20%</f>
        <v>80000</v>
      </c>
      <c r="J7" s="7">
        <f>+VLOOKUP(B7,'TD Supervisores Y Lideres Prom'!$B$20:$D$24,3,FALSE)</f>
        <v>1.0805536834609246</v>
      </c>
      <c r="K7" s="61">
        <f>IF(J7=70%,I7*70%,IF(AND(J7&gt;=80%,J7&lt;=90%),I7*80%,IF(AND(J7&gt;=91%,J7&lt;=95%),I7*90%,IF(J7=96%,I7*96%,IF(J7=97%,I7*97%,IF(J7=98%,I7*98%,IF(J7=99%,I7*99%,IF(J7&gt;=100%,I7,0))))))))</f>
        <v>80000</v>
      </c>
      <c r="L7" s="106">
        <f>+O7*20%</f>
        <v>80000</v>
      </c>
      <c r="M7" s="7">
        <f>+VLOOKUP(B7,'TD Supervisores Y Lideres Prom'!$B$20:$E$24,4,FALSE)</f>
        <v>0.89409232742566069</v>
      </c>
      <c r="N7" s="106">
        <f>+IF(M7=100%,L7,0)</f>
        <v>0</v>
      </c>
      <c r="O7" s="8">
        <v>400000</v>
      </c>
      <c r="P7" s="8">
        <f>IF(R7="SI",SUM(H7,K7,N7),0)</f>
        <v>320000</v>
      </c>
      <c r="R7" s="43" t="str">
        <f>IF(E7&gt;=60%,"SI","NO")</f>
        <v>SI</v>
      </c>
    </row>
    <row r="8" spans="2:18" x14ac:dyDescent="0.25">
      <c r="B8" s="6" t="s">
        <v>320</v>
      </c>
      <c r="C8" s="62">
        <f>+VLOOKUP(B8,'TD Supervisores Y Lideres Prom'!$B$44:$D$48,2,FALSE)</f>
        <v>0.94750086292174018</v>
      </c>
      <c r="D8" s="62">
        <f>+VLOOKUP(B8,'TD Supervisores Y Lideres Prom'!$B$44:$D$48,3,FALSE)</f>
        <v>0.96118796051648436</v>
      </c>
      <c r="E8" s="62">
        <f>+AVERAGE(C8:D8)</f>
        <v>0.95434441171911222</v>
      </c>
      <c r="F8" s="106">
        <f>+O8*60%</f>
        <v>240000</v>
      </c>
      <c r="G8" s="7">
        <f>+VLOOKUP(B8,'TD Supervisores Y Lideres Prom'!$B$20:$C$24,2,FALSE)</f>
        <v>0.87800852778218008</v>
      </c>
      <c r="H8" s="61">
        <f>IF(G8&gt;80%,F8*100%,IF(AND(G8&gt;=60%,G8&lt;=79%),F8*60%,0))</f>
        <v>240000</v>
      </c>
      <c r="I8" s="106">
        <f>+O8*20%</f>
        <v>80000</v>
      </c>
      <c r="J8" s="7">
        <f>+VLOOKUP(B8,'TD Supervisores Y Lideres Prom'!$B$20:$D$24,3,FALSE)</f>
        <v>1.0064850539369961</v>
      </c>
      <c r="K8" s="61">
        <f>+I8*70%</f>
        <v>56000</v>
      </c>
      <c r="L8" s="106">
        <f>+O8*20%</f>
        <v>80000</v>
      </c>
      <c r="M8" s="7">
        <f>+VLOOKUP(B8,'TD Supervisores Y Lideres Prom'!$B$20:$E$24,4,FALSE)</f>
        <v>0.81827384976532136</v>
      </c>
      <c r="N8" s="106">
        <f>+IF(M8=100%,L8,0)</f>
        <v>0</v>
      </c>
      <c r="O8" s="8">
        <v>400000</v>
      </c>
      <c r="P8" s="8">
        <f>+O8</f>
        <v>400000</v>
      </c>
      <c r="Q8" s="6" t="s">
        <v>325</v>
      </c>
      <c r="R8" s="43" t="str">
        <f>IF(AND(C8&gt;=70%,D8&gt;=70%),"SI","NO")</f>
        <v>SI</v>
      </c>
    </row>
    <row r="9" spans="2:18" x14ac:dyDescent="0.25">
      <c r="B9" s="6" t="s">
        <v>322</v>
      </c>
      <c r="C9" s="62">
        <f>+VLOOKUP(B9,'TD Supervisores Y Lideres Prom'!$B$44:$D$48,2,FALSE)</f>
        <v>0.95003768245189812</v>
      </c>
      <c r="D9" s="62">
        <f>+VLOOKUP(B9,'TD Supervisores Y Lideres Prom'!$B$44:$D$48,3,FALSE)</f>
        <v>0.95338013475268391</v>
      </c>
      <c r="E9" s="62">
        <f>+AVERAGE(C9:D9)</f>
        <v>0.95170890860229096</v>
      </c>
      <c r="F9" s="106">
        <f>+O9*60%</f>
        <v>240000</v>
      </c>
      <c r="G9" s="7">
        <f>+VLOOKUP(B9,'TD Supervisores Y Lideres Prom'!$B$20:$C$24,2,FALSE)</f>
        <v>0.76785670540533002</v>
      </c>
      <c r="H9" s="61">
        <f>IF(G9&gt;80%,F9*100%,IF(AND(G9&gt;=60%,G9&lt;=79%),F9*60%,0))</f>
        <v>144000</v>
      </c>
      <c r="I9" s="106">
        <f>+O9*20%</f>
        <v>80000</v>
      </c>
      <c r="J9" s="7">
        <f>+VLOOKUP(B9,'TD Supervisores Y Lideres Prom'!$B$20:$D$24,3,FALSE)</f>
        <v>1.080902263571957</v>
      </c>
      <c r="K9" s="61">
        <f>IF(J9=70%,I9*70%,IF(AND(J9&gt;=80%,J9&lt;=90%),I9*80%,IF(AND(J9&gt;=91%,J9&lt;=95%),I9*90%,IF(J9=96%,I9*96%,IF(J9=97%,I9*97%,IF(J9=98%,I9*98%,IF(J9=99%,I9*99%,IF(J9&gt;=100%,I9,0))))))))</f>
        <v>80000</v>
      </c>
      <c r="L9" s="106">
        <f>+O9*20%</f>
        <v>80000</v>
      </c>
      <c r="M9" s="7">
        <f>+VLOOKUP(B9,'TD Supervisores Y Lideres Prom'!$B$20:$E$24,4,FALSE)</f>
        <v>0.72472031644825752</v>
      </c>
      <c r="N9" s="106">
        <f>+IF(M9=100%,L9,0)</f>
        <v>0</v>
      </c>
      <c r="O9" s="8">
        <v>400000</v>
      </c>
      <c r="P9" s="8">
        <f>+O9</f>
        <v>400000</v>
      </c>
      <c r="Q9" s="6" t="s">
        <v>325</v>
      </c>
      <c r="R9" s="43" t="str">
        <f>IF(E9&gt;=60%,"SI","NO")</f>
        <v>SI</v>
      </c>
    </row>
    <row r="10" spans="2:18" x14ac:dyDescent="0.25">
      <c r="B10" s="36" t="s">
        <v>4</v>
      </c>
      <c r="C10" s="36"/>
      <c r="D10" s="36"/>
      <c r="E10" s="36"/>
      <c r="F10" s="100">
        <f>+SUM(F7:F9)</f>
        <v>720000</v>
      </c>
      <c r="G10" s="101"/>
      <c r="H10" s="100">
        <f>+SUM(H7:H9)</f>
        <v>624000</v>
      </c>
      <c r="I10" s="102">
        <f>+SUM(I7:I9)</f>
        <v>240000</v>
      </c>
      <c r="J10" s="103"/>
      <c r="K10" s="102">
        <f>+SUM(K7:K9)</f>
        <v>216000</v>
      </c>
      <c r="L10" s="104">
        <f>+SUM(L7:L9)</f>
        <v>240000</v>
      </c>
      <c r="M10" s="105"/>
      <c r="N10" s="104">
        <f>+SUM(N7:N9)</f>
        <v>0</v>
      </c>
      <c r="O10" s="9">
        <f>+SUM(O7:O9)</f>
        <v>1200000</v>
      </c>
      <c r="P10" s="9">
        <f>+SUM(P7:P9)</f>
        <v>1120000</v>
      </c>
      <c r="Q10" s="12"/>
    </row>
    <row r="11" spans="2:18" ht="9.9499999999999993" customHeight="1" x14ac:dyDescent="0.25"/>
    <row r="12" spans="2:18" ht="9.9499999999999993" customHeight="1" x14ac:dyDescent="0.25">
      <c r="Q12" s="37" t="s">
        <v>267</v>
      </c>
      <c r="R12" s="43">
        <f>+COUNTIF(R16:R28,"si")</f>
        <v>13</v>
      </c>
    </row>
    <row r="14" spans="2:18" x14ac:dyDescent="0.25">
      <c r="F14" s="109" t="s">
        <v>303</v>
      </c>
      <c r="G14" s="109"/>
      <c r="H14" s="109"/>
      <c r="I14" s="110" t="s">
        <v>329</v>
      </c>
      <c r="J14" s="110"/>
      <c r="K14" s="110"/>
      <c r="L14" s="111" t="s">
        <v>269</v>
      </c>
      <c r="M14" s="111"/>
      <c r="N14" s="111"/>
      <c r="P14" s="13">
        <f>+SUBTOTAL(9,P16:P28)</f>
        <v>3033747.9711649348</v>
      </c>
    </row>
    <row r="15" spans="2:18" ht="30" x14ac:dyDescent="0.25">
      <c r="B15" s="17" t="s">
        <v>213</v>
      </c>
      <c r="C15" s="17" t="s">
        <v>264</v>
      </c>
      <c r="D15" s="17" t="s">
        <v>265</v>
      </c>
      <c r="E15" s="17" t="s">
        <v>302</v>
      </c>
      <c r="F15" s="20" t="s">
        <v>258</v>
      </c>
      <c r="G15" s="20" t="s">
        <v>259</v>
      </c>
      <c r="H15" s="60" t="s">
        <v>9</v>
      </c>
      <c r="I15" s="14" t="s">
        <v>262</v>
      </c>
      <c r="J15" s="14" t="s">
        <v>263</v>
      </c>
      <c r="K15" s="14" t="s">
        <v>9</v>
      </c>
      <c r="L15" s="17" t="s">
        <v>260</v>
      </c>
      <c r="M15" s="17" t="s">
        <v>261</v>
      </c>
      <c r="N15" s="17" t="s">
        <v>9</v>
      </c>
      <c r="O15" s="12" t="s">
        <v>6</v>
      </c>
      <c r="P15" s="12" t="s">
        <v>7</v>
      </c>
      <c r="Q15" s="12" t="s">
        <v>214</v>
      </c>
      <c r="R15" s="64" t="s">
        <v>266</v>
      </c>
    </row>
    <row r="16" spans="2:18" x14ac:dyDescent="0.25">
      <c r="B16" s="6" t="s">
        <v>273</v>
      </c>
      <c r="C16" s="62">
        <f>+VLOOKUP(B16,'TD Supervisores Y Lideres Prom'!$B$27:$D$41,2,FALSE)</f>
        <v>0.94895833333333335</v>
      </c>
      <c r="D16" s="62">
        <f>+VLOOKUP(B16,'TD Supervisores Y Lideres Prom'!$B$27:$D$41,3,FALSE)</f>
        <v>0.98281249999999998</v>
      </c>
      <c r="E16" s="62">
        <f t="shared" ref="E16" si="0">+AVERAGE(C16:D16)</f>
        <v>0.96588541666666661</v>
      </c>
      <c r="F16" s="13">
        <f t="shared" ref="F16:F28" si="1">+O16*60%</f>
        <v>180000</v>
      </c>
      <c r="G16" s="7">
        <f>+VLOOKUP(B16,'TD Supervisores Y Lideres Prom'!$B$3:$C$17,2,FALSE)</f>
        <v>0.92841435185185195</v>
      </c>
      <c r="H16" s="61">
        <f t="shared" ref="H16:H28" si="2">IF(G16&gt;80%,F16*100%,IF(AND(G16&gt;=60%,G16&lt;=79%),F16*60%,0))</f>
        <v>180000</v>
      </c>
      <c r="I16" s="13">
        <f t="shared" ref="I16:I28" si="3">+O16*20%</f>
        <v>60000</v>
      </c>
      <c r="J16" s="7">
        <f>+VLOOKUP(B16,'TD Supervisores Y Lideres Prom'!$B$3:$D$17,3,FALSE)</f>
        <v>1.0764020408979922</v>
      </c>
      <c r="K16" s="61">
        <f t="shared" ref="K16:K28" si="4">IF(J16=70%,I16*70%,IF(AND(J16&gt;=80%,J16&lt;=90%),I16*80%,IF(AND(J16&gt;=91%,J16&lt;=95%),I16*90%,IF(J16=96%,I16*96%,IF(J16=97%,I16*97%,IF(J16=98%,I16*98%,IF(J16=99%,I16*99%,IF(J16&gt;=100%,I16,0))))))))</f>
        <v>60000</v>
      </c>
      <c r="L16" s="13">
        <f t="shared" ref="L16:L28" si="5">+O16*20%</f>
        <v>60000</v>
      </c>
      <c r="M16" s="7">
        <f>+VLOOKUP(B16,'TD Supervisores Y Lideres Prom'!$B$3:$E$17,4,FALSE)</f>
        <v>0.87031250000000004</v>
      </c>
      <c r="N16" s="13">
        <f t="shared" ref="N16:N28" si="6">+IF(M16=100%,L16,0)</f>
        <v>0</v>
      </c>
      <c r="O16" s="8">
        <v>300000</v>
      </c>
      <c r="P16" s="8">
        <f>IF(R16="SI",SUM(H16,K16,N16),0)</f>
        <v>240000</v>
      </c>
      <c r="R16" s="43" t="str">
        <f t="shared" ref="R16:R28" si="7">IF(E16&gt;=60%,"SI","NO")</f>
        <v>SI</v>
      </c>
    </row>
    <row r="17" spans="2:20" x14ac:dyDescent="0.25">
      <c r="B17" s="6" t="s">
        <v>274</v>
      </c>
      <c r="C17" s="62">
        <f>+VLOOKUP(B17,'TD Supervisores Y Lideres Prom'!$B$27:$D$41,2,FALSE)</f>
        <v>0.97192982456140364</v>
      </c>
      <c r="D17" s="62">
        <f>+VLOOKUP(B17,'TD Supervisores Y Lideres Prom'!$B$27:$D$41,3,FALSE)</f>
        <v>1</v>
      </c>
      <c r="E17" s="62">
        <f t="shared" ref="E17:E28" si="8">+AVERAGE(C17:D17)</f>
        <v>0.98596491228070182</v>
      </c>
      <c r="F17" s="13">
        <f t="shared" si="1"/>
        <v>180000</v>
      </c>
      <c r="G17" s="7">
        <f>+VLOOKUP(B17,'TD Supervisores Y Lideres Prom'!$B$3:$C$17,2,FALSE)</f>
        <v>0.92371040265777105</v>
      </c>
      <c r="H17" s="61">
        <f t="shared" si="2"/>
        <v>180000</v>
      </c>
      <c r="I17" s="13">
        <f t="shared" si="3"/>
        <v>60000</v>
      </c>
      <c r="J17" s="7">
        <f>+VLOOKUP(B17,'TD Supervisores Y Lideres Prom'!$B$3:$D$17,3,FALSE)</f>
        <v>1.0161989587535323</v>
      </c>
      <c r="K17" s="61">
        <f t="shared" si="4"/>
        <v>60000</v>
      </c>
      <c r="L17" s="13">
        <f t="shared" si="5"/>
        <v>60000</v>
      </c>
      <c r="M17" s="7">
        <f>+VLOOKUP(B17,'TD Supervisores Y Lideres Prom'!$B$3:$E$17,4,FALSE)</f>
        <v>1</v>
      </c>
      <c r="N17" s="13">
        <f t="shared" si="6"/>
        <v>60000</v>
      </c>
      <c r="O17" s="8">
        <v>300000</v>
      </c>
      <c r="P17" s="8">
        <f t="shared" ref="P17:P25" si="9">IF(R17="SI",SUM(H17,K17,N17),0)</f>
        <v>300000</v>
      </c>
      <c r="R17" s="43" t="str">
        <f t="shared" si="7"/>
        <v>SI</v>
      </c>
    </row>
    <row r="18" spans="2:20" x14ac:dyDescent="0.25">
      <c r="B18" s="6" t="s">
        <v>291</v>
      </c>
      <c r="C18" s="62">
        <f>+VLOOKUP(B18,'TD Supervisores Y Lideres Prom'!$B$27:$D$41,2,FALSE)</f>
        <v>0.95833333333333326</v>
      </c>
      <c r="D18" s="62">
        <f>+VLOOKUP(B18,'TD Supervisores Y Lideres Prom'!$B$27:$D$41,3,FALSE)</f>
        <v>0.96785714285714286</v>
      </c>
      <c r="E18" s="62">
        <f t="shared" si="8"/>
        <v>0.963095238095238</v>
      </c>
      <c r="F18" s="13">
        <f t="shared" si="1"/>
        <v>180000</v>
      </c>
      <c r="G18" s="7">
        <f>+VLOOKUP(B18,'TD Supervisores Y Lideres Prom'!$B$3:$C$17,2,FALSE)</f>
        <v>0.91865079365079372</v>
      </c>
      <c r="H18" s="61">
        <f t="shared" si="2"/>
        <v>180000</v>
      </c>
      <c r="I18" s="13">
        <f t="shared" si="3"/>
        <v>60000</v>
      </c>
      <c r="J18" s="7">
        <f>+VLOOKUP(B18,'TD Supervisores Y Lideres Prom'!$B$3:$D$17,3,FALSE)</f>
        <v>1.2615379493504721</v>
      </c>
      <c r="K18" s="61">
        <f t="shared" si="4"/>
        <v>60000</v>
      </c>
      <c r="L18" s="13">
        <f t="shared" si="5"/>
        <v>60000</v>
      </c>
      <c r="M18" s="7">
        <f>+VLOOKUP(B18,'TD Supervisores Y Lideres Prom'!$B$3:$E$17,4,FALSE)</f>
        <v>0.91964285714285698</v>
      </c>
      <c r="N18" s="13">
        <f t="shared" si="6"/>
        <v>0</v>
      </c>
      <c r="O18" s="8">
        <v>300000</v>
      </c>
      <c r="P18" s="8">
        <f t="shared" si="9"/>
        <v>240000</v>
      </c>
      <c r="R18" s="43" t="str">
        <f t="shared" si="7"/>
        <v>SI</v>
      </c>
    </row>
    <row r="19" spans="2:20" x14ac:dyDescent="0.25">
      <c r="B19" s="6" t="s">
        <v>292</v>
      </c>
      <c r="C19" s="62">
        <f>+VLOOKUP(B19,'TD Supervisores Y Lideres Prom'!$B$27:$D$41,2,FALSE)</f>
        <v>0.99652777777777779</v>
      </c>
      <c r="D19" s="62">
        <f>+VLOOKUP(B19,'TD Supervisores Y Lideres Prom'!$B$27:$D$41,3,FALSE)</f>
        <v>1</v>
      </c>
      <c r="E19" s="62">
        <f t="shared" si="8"/>
        <v>0.99826388888888884</v>
      </c>
      <c r="F19" s="13">
        <f t="shared" si="1"/>
        <v>180000</v>
      </c>
      <c r="G19" s="7">
        <f>+VLOOKUP(B19,'TD Supervisores Y Lideres Prom'!$B$3:$C$17,2,FALSE)</f>
        <v>0.98833912037037042</v>
      </c>
      <c r="H19" s="61">
        <f t="shared" si="2"/>
        <v>180000</v>
      </c>
      <c r="I19" s="13">
        <f t="shared" si="3"/>
        <v>60000</v>
      </c>
      <c r="J19" s="7">
        <f>+VLOOKUP(B19,'TD Supervisores Y Lideres Prom'!$B$3:$D$17,3,FALSE)</f>
        <v>1.0212204281642945</v>
      </c>
      <c r="K19" s="61">
        <f t="shared" si="4"/>
        <v>60000</v>
      </c>
      <c r="L19" s="13">
        <f t="shared" si="5"/>
        <v>60000</v>
      </c>
      <c r="M19" s="7">
        <v>0.97</v>
      </c>
      <c r="N19" s="13">
        <f t="shared" si="6"/>
        <v>0</v>
      </c>
      <c r="O19" s="8">
        <v>300000</v>
      </c>
      <c r="P19" s="8">
        <f t="shared" si="9"/>
        <v>240000</v>
      </c>
      <c r="R19" s="43" t="str">
        <f t="shared" si="7"/>
        <v>SI</v>
      </c>
    </row>
    <row r="20" spans="2:20" x14ac:dyDescent="0.25">
      <c r="B20" s="6" t="s">
        <v>293</v>
      </c>
      <c r="C20" s="62">
        <f>+VLOOKUP(B20,'TD Supervisores Y Lideres Prom'!$B$27:$D$41,2,FALSE)</f>
        <v>1</v>
      </c>
      <c r="D20" s="62">
        <f>+VLOOKUP(B20,'TD Supervisores Y Lideres Prom'!$B$27:$D$41,3,FALSE)</f>
        <v>1</v>
      </c>
      <c r="E20" s="62">
        <f t="shared" si="8"/>
        <v>1</v>
      </c>
      <c r="F20" s="13">
        <f t="shared" si="1"/>
        <v>180000</v>
      </c>
      <c r="G20" s="7">
        <f>+VLOOKUP(B20,'TD Supervisores Y Lideres Prom'!$B$3:$C$17,2,FALSE)</f>
        <v>0.97677962016197317</v>
      </c>
      <c r="H20" s="61">
        <f t="shared" si="2"/>
        <v>180000</v>
      </c>
      <c r="I20" s="13">
        <f t="shared" si="3"/>
        <v>60000</v>
      </c>
      <c r="J20" s="7">
        <f>+VLOOKUP(B20,'TD Supervisores Y Lideres Prom'!$B$3:$D$17,3,FALSE)</f>
        <v>1.0511249132485545</v>
      </c>
      <c r="K20" s="61">
        <f t="shared" si="4"/>
        <v>60000</v>
      </c>
      <c r="L20" s="13">
        <f t="shared" si="5"/>
        <v>60000</v>
      </c>
      <c r="M20" s="7">
        <f>+VLOOKUP(B20,'TD Supervisores Y Lideres Prom'!$B$3:$E$17,4,FALSE)</f>
        <v>0.8529411764705882</v>
      </c>
      <c r="N20" s="13">
        <f t="shared" si="6"/>
        <v>0</v>
      </c>
      <c r="O20" s="8">
        <v>300000</v>
      </c>
      <c r="P20" s="8">
        <f t="shared" si="9"/>
        <v>240000</v>
      </c>
      <c r="R20" s="43" t="str">
        <f t="shared" si="7"/>
        <v>SI</v>
      </c>
    </row>
    <row r="21" spans="2:20" x14ac:dyDescent="0.25">
      <c r="B21" s="6" t="s">
        <v>294</v>
      </c>
      <c r="C21" s="62">
        <f>+VLOOKUP(B21,'TD Supervisores Y Lideres Prom'!$B$27:$D$41,2,FALSE)</f>
        <v>0.91190852797995681</v>
      </c>
      <c r="D21" s="62">
        <f>+VLOOKUP(B21,'TD Supervisores Y Lideres Prom'!$B$27:$D$41,3,FALSE)</f>
        <v>0.93352579959722826</v>
      </c>
      <c r="E21" s="62">
        <f t="shared" si="8"/>
        <v>0.92271716378859248</v>
      </c>
      <c r="F21" s="13">
        <f t="shared" si="1"/>
        <v>180000</v>
      </c>
      <c r="G21" s="7">
        <f>+VLOOKUP(B21,'TD Supervisores Y Lideres Prom'!$B$3:$C$17,2,FALSE)</f>
        <v>0.83148024166931722</v>
      </c>
      <c r="H21" s="61">
        <f t="shared" si="2"/>
        <v>180000</v>
      </c>
      <c r="I21" s="13">
        <f t="shared" si="3"/>
        <v>60000</v>
      </c>
      <c r="J21" s="7">
        <f>+VLOOKUP(B21,'TD Supervisores Y Lideres Prom'!$B$3:$D$17,3,FALSE)</f>
        <v>1.0596239972718207</v>
      </c>
      <c r="K21" s="61">
        <f t="shared" si="4"/>
        <v>60000</v>
      </c>
      <c r="L21" s="13">
        <f t="shared" si="5"/>
        <v>60000</v>
      </c>
      <c r="M21" s="7">
        <f>+VLOOKUP(B21,'TD Supervisores Y Lideres Prom'!$B$3:$E$17,4,FALSE)</f>
        <v>0.85312653616225043</v>
      </c>
      <c r="N21" s="13">
        <f t="shared" si="6"/>
        <v>0</v>
      </c>
      <c r="O21" s="8">
        <v>300000</v>
      </c>
      <c r="P21" s="8">
        <f t="shared" si="9"/>
        <v>240000</v>
      </c>
      <c r="R21" s="43" t="str">
        <f t="shared" si="7"/>
        <v>SI</v>
      </c>
    </row>
    <row r="22" spans="2:20" x14ac:dyDescent="0.25">
      <c r="B22" s="6" t="s">
        <v>295</v>
      </c>
      <c r="C22" s="62">
        <f>+VLOOKUP(B22,'TD Supervisores Y Lideres Prom'!$B$27:$D$41,2,FALSE)</f>
        <v>0.9454253056884635</v>
      </c>
      <c r="D22" s="62">
        <f>+VLOOKUP(B22,'TD Supervisores Y Lideres Prom'!$B$27:$D$41,3,FALSE)</f>
        <v>0.94385674931129482</v>
      </c>
      <c r="E22" s="62">
        <f t="shared" si="8"/>
        <v>0.9446410274998791</v>
      </c>
      <c r="F22" s="13">
        <f t="shared" si="1"/>
        <v>180000</v>
      </c>
      <c r="G22" s="7">
        <f>+VLOOKUP(B22,'TD Supervisores Y Lideres Prom'!$B$3:$C$17,2,FALSE)</f>
        <v>0.81614188329197745</v>
      </c>
      <c r="H22" s="61">
        <f t="shared" si="2"/>
        <v>180000</v>
      </c>
      <c r="I22" s="13">
        <f t="shared" si="3"/>
        <v>60000</v>
      </c>
      <c r="J22" s="7">
        <v>1</v>
      </c>
      <c r="K22" s="61">
        <f t="shared" si="4"/>
        <v>60000</v>
      </c>
      <c r="L22" s="13">
        <f t="shared" si="5"/>
        <v>60000</v>
      </c>
      <c r="M22" s="7">
        <f>+VLOOKUP(B22,'TD Supervisores Y Lideres Prom'!$B$3:$E$17,4,FALSE)</f>
        <v>0.51912280701754387</v>
      </c>
      <c r="N22" s="13">
        <f t="shared" si="6"/>
        <v>0</v>
      </c>
      <c r="O22" s="8">
        <v>300000</v>
      </c>
      <c r="P22" s="8">
        <f t="shared" si="9"/>
        <v>240000</v>
      </c>
      <c r="R22" s="43" t="str">
        <f t="shared" si="7"/>
        <v>SI</v>
      </c>
    </row>
    <row r="23" spans="2:20" x14ac:dyDescent="0.25">
      <c r="B23" s="6" t="s">
        <v>296</v>
      </c>
      <c r="C23" s="62">
        <f>+VLOOKUP(B23,'TD Supervisores Y Lideres Prom'!$B$27:$D$41,2,FALSE)</f>
        <v>0.97476477770595427</v>
      </c>
      <c r="D23" s="62">
        <f>+VLOOKUP(B23,'TD Supervisores Y Lideres Prom'!$B$27:$D$41,3,FALSE)</f>
        <v>0.96919844861021343</v>
      </c>
      <c r="E23" s="62">
        <f t="shared" si="8"/>
        <v>0.97198161315808385</v>
      </c>
      <c r="F23" s="13">
        <f t="shared" si="1"/>
        <v>180000</v>
      </c>
      <c r="G23" s="7">
        <f>+VLOOKUP(B23,'TD Supervisores Y Lideres Prom'!$B$3:$C$17,2,FALSE)</f>
        <v>0.89632471061866659</v>
      </c>
      <c r="H23" s="61">
        <f t="shared" si="2"/>
        <v>180000</v>
      </c>
      <c r="I23" s="13">
        <f t="shared" si="3"/>
        <v>60000</v>
      </c>
      <c r="J23" s="7">
        <f>+VLOOKUP(B23,'TD Supervisores Y Lideres Prom'!$B$3:$D$17,3,FALSE)</f>
        <v>1.0926129485403371</v>
      </c>
      <c r="K23" s="61">
        <f t="shared" si="4"/>
        <v>60000</v>
      </c>
      <c r="L23" s="13">
        <f t="shared" si="5"/>
        <v>60000</v>
      </c>
      <c r="M23" s="7">
        <v>0.98</v>
      </c>
      <c r="N23" s="13">
        <f t="shared" si="6"/>
        <v>0</v>
      </c>
      <c r="O23" s="8">
        <v>300000</v>
      </c>
      <c r="P23" s="8">
        <f t="shared" si="9"/>
        <v>240000</v>
      </c>
      <c r="R23" s="43" t="str">
        <f t="shared" si="7"/>
        <v>SI</v>
      </c>
    </row>
    <row r="24" spans="2:20" x14ac:dyDescent="0.25">
      <c r="B24" s="6" t="s">
        <v>297</v>
      </c>
      <c r="C24" s="62">
        <f>+VLOOKUP(B24,'TD Supervisores Y Lideres Prom'!$B$27:$D$41,2,FALSE)</f>
        <v>0.96400401069518726</v>
      </c>
      <c r="D24" s="62">
        <f>+VLOOKUP(B24,'TD Supervisores Y Lideres Prom'!$B$27:$D$41,3,FALSE)</f>
        <v>0.96911764705882353</v>
      </c>
      <c r="E24" s="62">
        <f t="shared" si="8"/>
        <v>0.96656082887700534</v>
      </c>
      <c r="F24" s="13">
        <f t="shared" si="1"/>
        <v>180000</v>
      </c>
      <c r="G24" s="7">
        <f>+VLOOKUP(B24,'TD Supervisores Y Lideres Prom'!$B$3:$C$17,2,FALSE)</f>
        <v>0.88866958150307751</v>
      </c>
      <c r="H24" s="61">
        <f t="shared" si="2"/>
        <v>180000</v>
      </c>
      <c r="I24" s="13">
        <f t="shared" si="3"/>
        <v>60000</v>
      </c>
      <c r="J24" s="7">
        <f>+VLOOKUP(B24,'TD Supervisores Y Lideres Prom'!$B$3:$D$17,3,FALSE)</f>
        <v>1.0799645725641744</v>
      </c>
      <c r="K24" s="61">
        <f t="shared" si="4"/>
        <v>60000</v>
      </c>
      <c r="L24" s="13">
        <f t="shared" si="5"/>
        <v>60000</v>
      </c>
      <c r="M24" s="7">
        <f>+VLOOKUP(B24,'TD Supervisores Y Lideres Prom'!$B$3:$E$17,4,FALSE)</f>
        <v>0.62376336898395723</v>
      </c>
      <c r="N24" s="13">
        <f t="shared" si="6"/>
        <v>0</v>
      </c>
      <c r="O24" s="8">
        <v>300000</v>
      </c>
      <c r="P24" s="8">
        <f t="shared" si="9"/>
        <v>240000</v>
      </c>
      <c r="R24" s="43" t="str">
        <f t="shared" si="7"/>
        <v>SI</v>
      </c>
    </row>
    <row r="25" spans="2:20" x14ac:dyDescent="0.25">
      <c r="B25" s="6" t="s">
        <v>298</v>
      </c>
      <c r="C25" s="62">
        <f>+VLOOKUP(B25,'TD Supervisores Y Lideres Prom'!$B$27:$D$41,2,FALSE)</f>
        <v>0.96398525222054632</v>
      </c>
      <c r="D25" s="62">
        <f>+VLOOKUP(B25,'TD Supervisores Y Lideres Prom'!$B$27:$D$41,3,FALSE)</f>
        <v>0.9882352941176471</v>
      </c>
      <c r="E25" s="62">
        <f t="shared" si="8"/>
        <v>0.97611027316909671</v>
      </c>
      <c r="F25" s="13">
        <f t="shared" si="1"/>
        <v>180000</v>
      </c>
      <c r="G25" s="7">
        <f>+VLOOKUP(B25,'TD Supervisores Y Lideres Prom'!$B$3:$C$17,2,FALSE)</f>
        <v>0.93358847351578533</v>
      </c>
      <c r="H25" s="61">
        <f t="shared" si="2"/>
        <v>180000</v>
      </c>
      <c r="I25" s="13">
        <f t="shared" si="3"/>
        <v>60000</v>
      </c>
      <c r="J25" s="7">
        <f>+VLOOKUP(B25,'TD Supervisores Y Lideres Prom'!$B$3:$D$17,3,FALSE)</f>
        <v>0.96246618608224876</v>
      </c>
      <c r="K25" s="61">
        <f>+I25*J25</f>
        <v>57747.971164934926</v>
      </c>
      <c r="L25" s="13">
        <f t="shared" si="5"/>
        <v>60000</v>
      </c>
      <c r="M25" s="7">
        <v>0.81</v>
      </c>
      <c r="N25" s="13">
        <f t="shared" si="6"/>
        <v>0</v>
      </c>
      <c r="O25" s="8">
        <v>300000</v>
      </c>
      <c r="P25" s="8">
        <f t="shared" si="9"/>
        <v>237747.97116493492</v>
      </c>
      <c r="R25" s="43" t="str">
        <f t="shared" si="7"/>
        <v>SI</v>
      </c>
    </row>
    <row r="26" spans="2:20" x14ac:dyDescent="0.25">
      <c r="B26" s="6" t="s">
        <v>299</v>
      </c>
      <c r="C26" s="62">
        <f>+VLOOKUP(B26,'TD Supervisores Y Lideres Prom'!$B$27:$D$41,2,FALSE)</f>
        <v>0.96939988116458697</v>
      </c>
      <c r="D26" s="62">
        <f>+VLOOKUP(B26,'TD Supervisores Y Lideres Prom'!$B$27:$D$41,3,FALSE)</f>
        <v>0.97192513368983946</v>
      </c>
      <c r="E26" s="62">
        <f t="shared" si="8"/>
        <v>0.97066250742721327</v>
      </c>
      <c r="F26" s="13">
        <f t="shared" si="1"/>
        <v>180000</v>
      </c>
      <c r="G26" s="7">
        <f>+VLOOKUP(B26,'TD Supervisores Y Lideres Prom'!$B$3:$C$17,2,FALSE)</f>
        <v>0.91319671119136359</v>
      </c>
      <c r="H26" s="61">
        <f t="shared" si="2"/>
        <v>180000</v>
      </c>
      <c r="I26" s="13">
        <f t="shared" si="3"/>
        <v>60000</v>
      </c>
      <c r="J26" s="7">
        <f>+VLOOKUP(B26,'TD Supervisores Y Lideres Prom'!$B$3:$D$17,3,FALSE)</f>
        <v>1.0183031072184077</v>
      </c>
      <c r="K26" s="61">
        <f t="shared" si="4"/>
        <v>60000</v>
      </c>
      <c r="L26" s="13">
        <f t="shared" si="5"/>
        <v>60000</v>
      </c>
      <c r="M26" s="7">
        <f>+VLOOKUP(B26,'TD Supervisores Y Lideres Prom'!$B$3:$E$17,4,FALSE)</f>
        <v>0.84581105169340465</v>
      </c>
      <c r="N26" s="13">
        <f t="shared" si="6"/>
        <v>0</v>
      </c>
      <c r="O26" s="8">
        <v>300000</v>
      </c>
      <c r="P26" s="8">
        <f t="shared" ref="P26:P28" si="10">IF(R26="SI",SUM(H26,K26,N26),0)</f>
        <v>240000</v>
      </c>
      <c r="R26" s="43" t="str">
        <f t="shared" si="7"/>
        <v>SI</v>
      </c>
    </row>
    <row r="27" spans="2:20" x14ac:dyDescent="0.25">
      <c r="B27" s="6" t="s">
        <v>323</v>
      </c>
      <c r="C27" s="62">
        <f>+VLOOKUP(B27,'TD Supervisores Y Lideres Prom'!$B$27:$D$41,2,FALSE)</f>
        <v>0.94921104536489154</v>
      </c>
      <c r="D27" s="62">
        <f>+VLOOKUP(B27,'TD Supervisores Y Lideres Prom'!$B$27:$D$41,3,FALSE)</f>
        <v>0.94707429322813941</v>
      </c>
      <c r="E27" s="62">
        <f t="shared" si="8"/>
        <v>0.94814266929651547</v>
      </c>
      <c r="F27" s="13">
        <f t="shared" si="1"/>
        <v>180000</v>
      </c>
      <c r="G27" s="7">
        <f>+VLOOKUP(B27,'TD Supervisores Y Lideres Prom'!$B$3:$C$17,2,FALSE)</f>
        <v>0.72334255183674023</v>
      </c>
      <c r="H27" s="61">
        <f t="shared" si="2"/>
        <v>108000</v>
      </c>
      <c r="I27" s="13">
        <f t="shared" si="3"/>
        <v>60000</v>
      </c>
      <c r="J27" s="7">
        <f>+VLOOKUP(B27,'TD Supervisores Y Lideres Prom'!$B$3:$D$17,3,FALSE)</f>
        <v>1.1272195256756301</v>
      </c>
      <c r="K27" s="61">
        <f t="shared" si="4"/>
        <v>60000</v>
      </c>
      <c r="L27" s="13">
        <f t="shared" si="5"/>
        <v>60000</v>
      </c>
      <c r="M27" s="7">
        <f>+VLOOKUP(B27,'TD Supervisores Y Lideres Prom'!$B$3:$E$17,4,FALSE)</f>
        <v>0.77506574621959234</v>
      </c>
      <c r="N27" s="13">
        <f t="shared" si="6"/>
        <v>0</v>
      </c>
      <c r="O27" s="8">
        <v>300000</v>
      </c>
      <c r="P27" s="8">
        <f t="shared" si="10"/>
        <v>168000</v>
      </c>
      <c r="R27" s="43" t="str">
        <f t="shared" si="7"/>
        <v>SI</v>
      </c>
    </row>
    <row r="28" spans="2:20" x14ac:dyDescent="0.25">
      <c r="B28" s="6" t="s">
        <v>321</v>
      </c>
      <c r="C28" s="62">
        <f>+VLOOKUP(B28,'TD Supervisores Y Lideres Prom'!$B$27:$D$41,2,FALSE)</f>
        <v>0.94012099012099004</v>
      </c>
      <c r="D28" s="62">
        <f>+VLOOKUP(B28,'TD Supervisores Y Lideres Prom'!$B$27:$D$41,3,FALSE)</f>
        <v>0.94758019758019763</v>
      </c>
      <c r="E28" s="62">
        <f t="shared" si="8"/>
        <v>0.94385059385059389</v>
      </c>
      <c r="F28" s="13">
        <f t="shared" si="1"/>
        <v>180000</v>
      </c>
      <c r="G28" s="7">
        <f>+VLOOKUP(B28,'TD Supervisores Y Lideres Prom'!$B$3:$C$17,2,FALSE)</f>
        <v>0.71943787736026743</v>
      </c>
      <c r="H28" s="61">
        <f t="shared" si="2"/>
        <v>108000</v>
      </c>
      <c r="I28" s="13">
        <f t="shared" si="3"/>
        <v>60000</v>
      </c>
      <c r="J28" s="7">
        <f>+VLOOKUP(B28,'TD Supervisores Y Lideres Prom'!$B$3:$D$17,3,FALSE)</f>
        <v>1.035306302243501</v>
      </c>
      <c r="K28" s="61">
        <f t="shared" si="4"/>
        <v>60000</v>
      </c>
      <c r="L28" s="13">
        <f t="shared" si="5"/>
        <v>60000</v>
      </c>
      <c r="M28" s="7">
        <f>+VLOOKUP(B28,'TD Supervisores Y Lideres Prom'!$B$3:$E$17,4,FALSE)</f>
        <v>0.75203407703407699</v>
      </c>
      <c r="N28" s="13">
        <f t="shared" si="6"/>
        <v>0</v>
      </c>
      <c r="O28" s="8">
        <v>300000</v>
      </c>
      <c r="P28" s="8">
        <f t="shared" si="10"/>
        <v>168000</v>
      </c>
      <c r="R28" s="43" t="str">
        <f t="shared" si="7"/>
        <v>SI</v>
      </c>
    </row>
    <row r="29" spans="2:20" x14ac:dyDescent="0.25">
      <c r="B29" s="35" t="s">
        <v>4</v>
      </c>
      <c r="C29" s="35"/>
      <c r="D29" s="35"/>
      <c r="E29" s="35"/>
      <c r="F29" s="21">
        <f>+SUM(F16:F28)</f>
        <v>2340000</v>
      </c>
      <c r="G29" s="22"/>
      <c r="H29" s="21">
        <f>+SUM(H16:H28)</f>
        <v>2196000</v>
      </c>
      <c r="I29" s="33">
        <f>+SUM(I16:I28)</f>
        <v>780000</v>
      </c>
      <c r="J29" s="16"/>
      <c r="K29" s="15">
        <f>+SUM(K16:K28)</f>
        <v>777747.97116493492</v>
      </c>
      <c r="L29" s="18">
        <f>+SUM(L16:L28)</f>
        <v>780000</v>
      </c>
      <c r="M29" s="19"/>
      <c r="N29" s="18">
        <f>+SUM(N16:N28)</f>
        <v>60000</v>
      </c>
      <c r="O29" s="9">
        <f>+SUM(O16:O28)</f>
        <v>3900000</v>
      </c>
      <c r="P29" s="9">
        <f>+SUM(P16:P28)</f>
        <v>3033747.9711649348</v>
      </c>
      <c r="Q29" s="12"/>
    </row>
    <row r="30" spans="2:20" ht="4.5" customHeight="1" x14ac:dyDescent="0.25"/>
    <row r="31" spans="2:20" ht="4.5" customHeight="1" x14ac:dyDescent="0.25">
      <c r="T31" s="73"/>
    </row>
    <row r="33" spans="2:18" x14ac:dyDescent="0.25">
      <c r="F33" s="109" t="s">
        <v>270</v>
      </c>
      <c r="G33" s="109"/>
      <c r="H33" s="109"/>
      <c r="I33" s="110" t="s">
        <v>268</v>
      </c>
      <c r="J33" s="110"/>
      <c r="K33" s="110"/>
      <c r="L33" s="111" t="s">
        <v>269</v>
      </c>
      <c r="M33" s="111"/>
      <c r="N33" s="111"/>
      <c r="P33" s="13">
        <f>+SUBTOTAL(9,P35:P35)</f>
        <v>320000</v>
      </c>
      <c r="R33" s="43">
        <v>1</v>
      </c>
    </row>
    <row r="34" spans="2:18" ht="30" x14ac:dyDescent="0.25">
      <c r="B34" s="67" t="s">
        <v>271</v>
      </c>
      <c r="C34" s="67" t="s">
        <v>264</v>
      </c>
      <c r="D34" s="67" t="s">
        <v>265</v>
      </c>
      <c r="E34" s="67" t="s">
        <v>302</v>
      </c>
      <c r="F34" s="20" t="s">
        <v>258</v>
      </c>
      <c r="G34" s="20" t="s">
        <v>259</v>
      </c>
      <c r="H34" s="60" t="s">
        <v>9</v>
      </c>
      <c r="I34" s="14" t="s">
        <v>262</v>
      </c>
      <c r="J34" s="14" t="s">
        <v>263</v>
      </c>
      <c r="K34" s="14" t="s">
        <v>9</v>
      </c>
      <c r="L34" s="17" t="s">
        <v>260</v>
      </c>
      <c r="M34" s="17" t="s">
        <v>261</v>
      </c>
      <c r="N34" s="17" t="s">
        <v>9</v>
      </c>
      <c r="O34" s="12" t="s">
        <v>6</v>
      </c>
      <c r="P34" s="12" t="s">
        <v>7</v>
      </c>
      <c r="Q34" s="12" t="s">
        <v>214</v>
      </c>
      <c r="R34" s="64" t="s">
        <v>266</v>
      </c>
    </row>
    <row r="35" spans="2:18" x14ac:dyDescent="0.25">
      <c r="B35" s="6" t="s">
        <v>272</v>
      </c>
      <c r="C35" s="62">
        <f t="shared" ref="C35:N35" si="11">+C7</f>
        <v>0.9755768922435587</v>
      </c>
      <c r="D35" s="62">
        <f t="shared" si="11"/>
        <v>0.98738761238761219</v>
      </c>
      <c r="E35" s="62">
        <f t="shared" si="11"/>
        <v>0.9814822523155855</v>
      </c>
      <c r="F35" s="13">
        <f t="shared" si="11"/>
        <v>240000</v>
      </c>
      <c r="G35" s="62">
        <f t="shared" si="11"/>
        <v>0.93861048424681981</v>
      </c>
      <c r="H35" s="13">
        <f t="shared" si="11"/>
        <v>240000</v>
      </c>
      <c r="I35" s="13">
        <f t="shared" si="11"/>
        <v>80000</v>
      </c>
      <c r="J35" s="62">
        <f t="shared" si="11"/>
        <v>1.0805536834609246</v>
      </c>
      <c r="K35" s="13">
        <f t="shared" si="11"/>
        <v>80000</v>
      </c>
      <c r="L35" s="13">
        <f t="shared" si="11"/>
        <v>80000</v>
      </c>
      <c r="M35" s="62">
        <f t="shared" si="11"/>
        <v>0.89409232742566069</v>
      </c>
      <c r="N35" s="13">
        <f t="shared" si="11"/>
        <v>0</v>
      </c>
      <c r="O35" s="8">
        <v>250000</v>
      </c>
      <c r="P35" s="8">
        <f>+N35+K35+H35</f>
        <v>320000</v>
      </c>
      <c r="R35" s="43" t="str">
        <f>IF(E35&gt;=60%,"SI","NO")</f>
        <v>SI</v>
      </c>
    </row>
    <row r="36" spans="2:18" x14ac:dyDescent="0.25">
      <c r="B36" s="68" t="s">
        <v>4</v>
      </c>
      <c r="C36" s="68"/>
      <c r="D36" s="68"/>
      <c r="E36" s="68"/>
      <c r="F36" s="21">
        <f>+SUM(F35:F35)</f>
        <v>240000</v>
      </c>
      <c r="G36" s="22"/>
      <c r="H36" s="21">
        <f>+SUM(H35:H35)</f>
        <v>240000</v>
      </c>
      <c r="I36" s="33">
        <f>+SUM(I35:I35)</f>
        <v>80000</v>
      </c>
      <c r="J36" s="16"/>
      <c r="K36" s="15">
        <f>+SUM(K35:K35)</f>
        <v>80000</v>
      </c>
      <c r="L36" s="18">
        <f>+SUM(L35:L35)</f>
        <v>80000</v>
      </c>
      <c r="M36" s="19"/>
      <c r="N36" s="18">
        <f>+SUM(N35:N35)</f>
        <v>0</v>
      </c>
      <c r="O36" s="9">
        <f>+SUM(O35:O35)</f>
        <v>250000</v>
      </c>
      <c r="P36" s="9">
        <f>+SUM(P35:P35)</f>
        <v>320000</v>
      </c>
      <c r="Q36" s="12"/>
    </row>
  </sheetData>
  <mergeCells count="9">
    <mergeCell ref="F33:H33"/>
    <mergeCell ref="I33:K33"/>
    <mergeCell ref="L33:N33"/>
    <mergeCell ref="F5:H5"/>
    <mergeCell ref="I5:K5"/>
    <mergeCell ref="L5:N5"/>
    <mergeCell ref="F14:H14"/>
    <mergeCell ref="I14:K14"/>
    <mergeCell ref="L14:N14"/>
  </mergeCells>
  <pageMargins left="0.7" right="0.7" top="0.75" bottom="0.75" header="0.3" footer="0.3"/>
  <ignoredErrors>
    <ignoredError sqref="K25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FBB9-9DD8-41E5-B350-5B027A93EA8E}">
  <dimension ref="B2:F48"/>
  <sheetViews>
    <sheetView showGridLines="0" zoomScale="85" zoomScaleNormal="85" workbookViewId="0">
      <selection activeCell="D22" sqref="D22"/>
    </sheetView>
  </sheetViews>
  <sheetFormatPr baseColWidth="10" defaultRowHeight="15" x14ac:dyDescent="0.25"/>
  <cols>
    <col min="2" max="2" width="39.42578125" bestFit="1" customWidth="1"/>
    <col min="3" max="3" width="17.85546875" bestFit="1" customWidth="1"/>
    <col min="4" max="4" width="21.7109375" bestFit="1" customWidth="1"/>
    <col min="5" max="5" width="22.5703125" bestFit="1" customWidth="1"/>
    <col min="6" max="6" width="16.140625" customWidth="1"/>
  </cols>
  <sheetData>
    <row r="2" spans="2:6" x14ac:dyDescent="0.25">
      <c r="B2" s="29" t="s">
        <v>211</v>
      </c>
    </row>
    <row r="3" spans="2:6" x14ac:dyDescent="0.25">
      <c r="B3" s="30" t="s">
        <v>8</v>
      </c>
      <c r="C3" s="6" t="s">
        <v>255</v>
      </c>
      <c r="D3" s="6" t="s">
        <v>256</v>
      </c>
      <c r="E3" s="6" t="s">
        <v>257</v>
      </c>
      <c r="F3" s="31" t="s">
        <v>6</v>
      </c>
    </row>
    <row r="4" spans="2:6" x14ac:dyDescent="0.25">
      <c r="B4" s="6" t="s">
        <v>273</v>
      </c>
      <c r="C4" s="7">
        <v>0.92841435185185195</v>
      </c>
      <c r="D4" s="7">
        <v>1.0764020408979922</v>
      </c>
      <c r="E4" s="7">
        <v>0.87031250000000004</v>
      </c>
      <c r="F4" s="13">
        <v>300000</v>
      </c>
    </row>
    <row r="5" spans="2:6" x14ac:dyDescent="0.25">
      <c r="B5" s="6" t="s">
        <v>274</v>
      </c>
      <c r="C5" s="7">
        <v>0.92371040265777105</v>
      </c>
      <c r="D5" s="7">
        <v>1.0161989587535323</v>
      </c>
      <c r="E5" s="7">
        <v>1</v>
      </c>
      <c r="F5" s="13">
        <v>300000</v>
      </c>
    </row>
    <row r="6" spans="2:6" x14ac:dyDescent="0.25">
      <c r="B6" s="6" t="s">
        <v>291</v>
      </c>
      <c r="C6" s="7">
        <v>0.91865079365079372</v>
      </c>
      <c r="D6" s="7">
        <v>1.2615379493504721</v>
      </c>
      <c r="E6" s="7">
        <v>0.91964285714285698</v>
      </c>
      <c r="F6" s="13">
        <v>300000</v>
      </c>
    </row>
    <row r="7" spans="2:6" x14ac:dyDescent="0.25">
      <c r="B7" s="6" t="s">
        <v>292</v>
      </c>
      <c r="C7" s="7">
        <v>0.98833912037037042</v>
      </c>
      <c r="D7" s="7">
        <v>1.0212204281642945</v>
      </c>
      <c r="E7" s="7">
        <v>0.87326388888888884</v>
      </c>
      <c r="F7" s="13">
        <v>300000</v>
      </c>
    </row>
    <row r="8" spans="2:6" x14ac:dyDescent="0.25">
      <c r="B8" s="6" t="s">
        <v>293</v>
      </c>
      <c r="C8" s="7">
        <v>0.97677962016197317</v>
      </c>
      <c r="D8" s="7">
        <v>1.0511249132485545</v>
      </c>
      <c r="E8" s="7">
        <v>0.8529411764705882</v>
      </c>
      <c r="F8" s="13">
        <v>300000</v>
      </c>
    </row>
    <row r="9" spans="2:6" x14ac:dyDescent="0.25">
      <c r="B9" s="6" t="s">
        <v>294</v>
      </c>
      <c r="C9" s="7">
        <v>0.83148024166931722</v>
      </c>
      <c r="D9" s="7">
        <v>1.0596239972718207</v>
      </c>
      <c r="E9" s="7">
        <v>0.85312653616225043</v>
      </c>
      <c r="F9" s="13">
        <v>300000</v>
      </c>
    </row>
    <row r="10" spans="2:6" x14ac:dyDescent="0.25">
      <c r="B10" s="6" t="s">
        <v>295</v>
      </c>
      <c r="C10" s="7">
        <v>0.81614188329197745</v>
      </c>
      <c r="D10" s="7">
        <v>0.99506477764132617</v>
      </c>
      <c r="E10" s="7">
        <v>0.51912280701754387</v>
      </c>
      <c r="F10" s="13">
        <v>300000</v>
      </c>
    </row>
    <row r="11" spans="2:6" x14ac:dyDescent="0.25">
      <c r="B11" s="6" t="s">
        <v>296</v>
      </c>
      <c r="C11" s="7">
        <v>0.89632471061866659</v>
      </c>
      <c r="D11" s="7">
        <v>1.0926129485403371</v>
      </c>
      <c r="E11" s="7">
        <v>0.83781871723048196</v>
      </c>
      <c r="F11" s="13">
        <v>300000</v>
      </c>
    </row>
    <row r="12" spans="2:6" x14ac:dyDescent="0.25">
      <c r="B12" s="6" t="s">
        <v>297</v>
      </c>
      <c r="C12" s="7">
        <v>0.88866958150307751</v>
      </c>
      <c r="D12" s="7">
        <v>1.0799645725641744</v>
      </c>
      <c r="E12" s="7">
        <v>0.62376336898395723</v>
      </c>
      <c r="F12" s="13">
        <v>300000</v>
      </c>
    </row>
    <row r="13" spans="2:6" x14ac:dyDescent="0.25">
      <c r="B13" s="6" t="s">
        <v>298</v>
      </c>
      <c r="C13" s="7">
        <v>0.93358847351578533</v>
      </c>
      <c r="D13" s="7">
        <v>0.96246618608224876</v>
      </c>
      <c r="E13" s="7">
        <v>0.96532176973353434</v>
      </c>
      <c r="F13" s="13">
        <v>300000</v>
      </c>
    </row>
    <row r="14" spans="2:6" x14ac:dyDescent="0.25">
      <c r="B14" s="6" t="s">
        <v>299</v>
      </c>
      <c r="C14" s="7">
        <v>0.91319671119136359</v>
      </c>
      <c r="D14" s="7">
        <v>1.0183031072184077</v>
      </c>
      <c r="E14" s="7">
        <v>0.84581105169340465</v>
      </c>
      <c r="F14" s="13">
        <v>300000</v>
      </c>
    </row>
    <row r="15" spans="2:6" x14ac:dyDescent="0.25">
      <c r="B15" s="6" t="s">
        <v>323</v>
      </c>
      <c r="C15" s="7">
        <v>0.72334255183674023</v>
      </c>
      <c r="D15" s="7">
        <v>1.1272195256756301</v>
      </c>
      <c r="E15" s="7">
        <v>0.77506574621959234</v>
      </c>
      <c r="F15" s="13">
        <v>300000</v>
      </c>
    </row>
    <row r="16" spans="2:6" x14ac:dyDescent="0.25">
      <c r="B16" s="6" t="s">
        <v>321</v>
      </c>
      <c r="C16" s="7">
        <v>0.71943787736026743</v>
      </c>
      <c r="D16" s="7">
        <v>1.035306302243501</v>
      </c>
      <c r="E16" s="7">
        <v>0.75203407703407699</v>
      </c>
      <c r="F16" s="13">
        <v>300000</v>
      </c>
    </row>
    <row r="17" spans="2:6" x14ac:dyDescent="0.25">
      <c r="B17" s="6" t="s">
        <v>4</v>
      </c>
      <c r="C17" s="7">
        <v>0.88882835801852444</v>
      </c>
      <c r="D17" s="7">
        <v>1.0597393830312907</v>
      </c>
      <c r="E17" s="7">
        <v>0.84028503108957309</v>
      </c>
      <c r="F17" s="32">
        <f>+SUM(F4:F16)</f>
        <v>3900000</v>
      </c>
    </row>
    <row r="19" spans="2:6" x14ac:dyDescent="0.25">
      <c r="B19" s="29" t="s">
        <v>212</v>
      </c>
    </row>
    <row r="20" spans="2:6" ht="15" customHeight="1" x14ac:dyDescent="0.25">
      <c r="B20" s="30" t="s">
        <v>8</v>
      </c>
      <c r="C20" s="6" t="s">
        <v>252</v>
      </c>
      <c r="D20" s="6" t="s">
        <v>253</v>
      </c>
      <c r="E20" s="6" t="s">
        <v>254</v>
      </c>
      <c r="F20" s="31" t="s">
        <v>6</v>
      </c>
    </row>
    <row r="21" spans="2:6" x14ac:dyDescent="0.25">
      <c r="B21" s="6" t="s">
        <v>223</v>
      </c>
      <c r="C21" s="7">
        <v>0.93861048424681981</v>
      </c>
      <c r="D21" s="7">
        <v>1.0805536834609246</v>
      </c>
      <c r="E21" s="7">
        <v>0.89409232742566069</v>
      </c>
      <c r="F21" s="13">
        <v>400000</v>
      </c>
    </row>
    <row r="22" spans="2:6" x14ac:dyDescent="0.25">
      <c r="B22" s="6" t="s">
        <v>320</v>
      </c>
      <c r="C22" s="7">
        <v>0.87800852778218008</v>
      </c>
      <c r="D22" s="7">
        <v>1.0064850539369961</v>
      </c>
      <c r="E22" s="7">
        <v>0.81827384976532136</v>
      </c>
      <c r="F22" s="13">
        <v>400000</v>
      </c>
    </row>
    <row r="23" spans="2:6" x14ac:dyDescent="0.25">
      <c r="B23" s="6" t="s">
        <v>322</v>
      </c>
      <c r="C23" s="7">
        <v>0.76785670540533002</v>
      </c>
      <c r="D23" s="7">
        <v>1.080902263571957</v>
      </c>
      <c r="E23" s="7">
        <v>0.72472031644825752</v>
      </c>
      <c r="F23" s="13">
        <v>400000</v>
      </c>
    </row>
    <row r="24" spans="2:6" x14ac:dyDescent="0.25">
      <c r="B24" s="6" t="s">
        <v>4</v>
      </c>
      <c r="C24" s="7">
        <v>0.88882835801852389</v>
      </c>
      <c r="D24" s="7">
        <v>1.0597393830312911</v>
      </c>
      <c r="E24" s="7">
        <v>0.8402850310895732</v>
      </c>
      <c r="F24" s="13"/>
    </row>
    <row r="25" spans="2:6" x14ac:dyDescent="0.25">
      <c r="F25" s="13"/>
    </row>
    <row r="26" spans="2:6" x14ac:dyDescent="0.25">
      <c r="B26" s="29" t="s">
        <v>211</v>
      </c>
      <c r="F26" s="13"/>
    </row>
    <row r="27" spans="2:6" x14ac:dyDescent="0.25">
      <c r="B27" s="30" t="s">
        <v>8</v>
      </c>
      <c r="C27" s="6" t="s">
        <v>209</v>
      </c>
      <c r="D27" s="6" t="s">
        <v>210</v>
      </c>
      <c r="F27" s="13"/>
    </row>
    <row r="28" spans="2:6" x14ac:dyDescent="0.25">
      <c r="B28" s="6" t="s">
        <v>273</v>
      </c>
      <c r="C28" s="7">
        <v>0.94895833333333335</v>
      </c>
      <c r="D28" s="7">
        <v>0.98281249999999998</v>
      </c>
      <c r="F28" s="13"/>
    </row>
    <row r="29" spans="2:6" x14ac:dyDescent="0.25">
      <c r="B29" s="6" t="s">
        <v>274</v>
      </c>
      <c r="C29" s="7">
        <v>0.97192982456140364</v>
      </c>
      <c r="D29" s="7">
        <v>1</v>
      </c>
      <c r="F29" s="13"/>
    </row>
    <row r="30" spans="2:6" x14ac:dyDescent="0.25">
      <c r="B30" s="6" t="s">
        <v>291</v>
      </c>
      <c r="C30" s="7">
        <v>0.95833333333333326</v>
      </c>
      <c r="D30" s="7">
        <v>0.96785714285714286</v>
      </c>
      <c r="F30" s="13"/>
    </row>
    <row r="31" spans="2:6" x14ac:dyDescent="0.25">
      <c r="B31" s="6" t="s">
        <v>292</v>
      </c>
      <c r="C31" s="7">
        <v>0.99652777777777779</v>
      </c>
      <c r="D31" s="7">
        <v>1</v>
      </c>
      <c r="F31" s="13"/>
    </row>
    <row r="32" spans="2:6" x14ac:dyDescent="0.25">
      <c r="B32" s="6" t="s">
        <v>293</v>
      </c>
      <c r="C32" s="7">
        <v>1</v>
      </c>
      <c r="D32" s="7">
        <v>1</v>
      </c>
      <c r="F32" s="13"/>
    </row>
    <row r="33" spans="2:6" x14ac:dyDescent="0.25">
      <c r="B33" s="6" t="s">
        <v>294</v>
      </c>
      <c r="C33" s="7">
        <v>0.91190852797995681</v>
      </c>
      <c r="D33" s="7">
        <v>0.93352579959722826</v>
      </c>
      <c r="F33" s="13"/>
    </row>
    <row r="34" spans="2:6" x14ac:dyDescent="0.25">
      <c r="B34" s="6" t="s">
        <v>295</v>
      </c>
      <c r="C34" s="7">
        <v>0.9454253056884635</v>
      </c>
      <c r="D34" s="7">
        <v>0.94385674931129482</v>
      </c>
      <c r="F34" s="32"/>
    </row>
    <row r="35" spans="2:6" x14ac:dyDescent="0.25">
      <c r="B35" s="6" t="s">
        <v>296</v>
      </c>
      <c r="C35" s="7">
        <v>0.97476477770595427</v>
      </c>
      <c r="D35" s="7">
        <v>0.96919844861021343</v>
      </c>
    </row>
    <row r="36" spans="2:6" x14ac:dyDescent="0.25">
      <c r="B36" s="6" t="s">
        <v>297</v>
      </c>
      <c r="C36" s="7">
        <v>0.96400401069518726</v>
      </c>
      <c r="D36" s="7">
        <v>0.96911764705882353</v>
      </c>
    </row>
    <row r="37" spans="2:6" x14ac:dyDescent="0.25">
      <c r="B37" s="6" t="s">
        <v>298</v>
      </c>
      <c r="C37" s="7">
        <v>0.96398525222054632</v>
      </c>
      <c r="D37" s="7">
        <v>0.9882352941176471</v>
      </c>
    </row>
    <row r="38" spans="2:6" x14ac:dyDescent="0.25">
      <c r="B38" s="6" t="s">
        <v>299</v>
      </c>
      <c r="C38" s="7">
        <v>0.96939988116458697</v>
      </c>
      <c r="D38" s="7">
        <v>0.97192513368983946</v>
      </c>
    </row>
    <row r="39" spans="2:6" x14ac:dyDescent="0.25">
      <c r="B39" s="6" t="s">
        <v>323</v>
      </c>
      <c r="C39" s="7">
        <v>0.94921104536489154</v>
      </c>
      <c r="D39" s="7">
        <v>0.94707429322813941</v>
      </c>
    </row>
    <row r="40" spans="2:6" x14ac:dyDescent="0.25">
      <c r="B40" s="6" t="s">
        <v>321</v>
      </c>
      <c r="C40" s="7">
        <v>0.94012099012099004</v>
      </c>
      <c r="D40" s="7">
        <v>0.94758019758019763</v>
      </c>
    </row>
    <row r="41" spans="2:6" x14ac:dyDescent="0.25">
      <c r="B41" s="6" t="s">
        <v>4</v>
      </c>
      <c r="C41" s="7">
        <v>0.96277135444272788</v>
      </c>
      <c r="D41" s="7">
        <v>0.9734894701321487</v>
      </c>
    </row>
    <row r="43" spans="2:6" x14ac:dyDescent="0.25">
      <c r="B43" s="29" t="s">
        <v>211</v>
      </c>
    </row>
    <row r="44" spans="2:6" x14ac:dyDescent="0.25">
      <c r="B44" s="30" t="s">
        <v>8</v>
      </c>
      <c r="C44" s="6" t="s">
        <v>209</v>
      </c>
      <c r="D44" s="6" t="s">
        <v>210</v>
      </c>
    </row>
    <row r="45" spans="2:6" x14ac:dyDescent="0.25">
      <c r="B45" s="6" t="s">
        <v>223</v>
      </c>
      <c r="C45" s="7">
        <v>0.9755768922435587</v>
      </c>
      <c r="D45" s="7">
        <v>0.98738761238761219</v>
      </c>
    </row>
    <row r="46" spans="2:6" x14ac:dyDescent="0.25">
      <c r="B46" s="6" t="s">
        <v>320</v>
      </c>
      <c r="C46" s="7">
        <v>0.94750086292174018</v>
      </c>
      <c r="D46" s="7">
        <v>0.96118796051648436</v>
      </c>
    </row>
    <row r="47" spans="2:6" x14ac:dyDescent="0.25">
      <c r="B47" s="6" t="s">
        <v>322</v>
      </c>
      <c r="C47" s="7">
        <v>0.95003768245189812</v>
      </c>
      <c r="D47" s="7">
        <v>0.95338013475268391</v>
      </c>
    </row>
    <row r="48" spans="2:6" x14ac:dyDescent="0.25">
      <c r="B48" s="6" t="s">
        <v>4</v>
      </c>
      <c r="C48" s="7">
        <v>0.96277135444272777</v>
      </c>
      <c r="D48" s="7">
        <v>0.97348947013214837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7D37-6F8B-45B8-87AB-767522E808EB}">
  <dimension ref="A1:AB206"/>
  <sheetViews>
    <sheetView showGridLines="0" tabSelected="1" zoomScale="85" zoomScaleNormal="85" workbookViewId="0">
      <selection activeCell="F24" sqref="F24"/>
    </sheetView>
  </sheetViews>
  <sheetFormatPr baseColWidth="10" defaultRowHeight="15" x14ac:dyDescent="0.25"/>
  <cols>
    <col min="1" max="1" width="0.42578125" customWidth="1"/>
    <col min="2" max="2" width="33.5703125" customWidth="1"/>
    <col min="3" max="3" width="11.5703125" customWidth="1"/>
    <col min="4" max="4" width="14.7109375" hidden="1" customWidth="1"/>
    <col min="5" max="5" width="21.85546875" customWidth="1"/>
    <col min="6" max="6" width="28.42578125" customWidth="1"/>
    <col min="7" max="7" width="11.5703125" style="43" customWidth="1"/>
    <col min="8" max="8" width="14.5703125" style="43" customWidth="1"/>
    <col min="9" max="9" width="13.85546875" style="43" customWidth="1"/>
    <col min="10" max="10" width="15" style="43" customWidth="1"/>
    <col min="11" max="11" width="13.140625" style="43" customWidth="1"/>
    <col min="12" max="12" width="10.85546875" style="43" customWidth="1"/>
    <col min="13" max="13" width="14.5703125" style="43" customWidth="1"/>
    <col min="14" max="14" width="14.42578125" style="43" customWidth="1"/>
    <col min="15" max="15" width="12.5703125" style="43" bestFit="1" customWidth="1"/>
    <col min="16" max="17" width="13.5703125" style="43" customWidth="1"/>
    <col min="18" max="18" width="17.5703125" style="43" customWidth="1"/>
    <col min="19" max="19" width="13.85546875" style="43" customWidth="1"/>
    <col min="20" max="20" width="13.5703125" style="43" customWidth="1"/>
    <col min="21" max="21" width="16.42578125" style="43" customWidth="1"/>
    <col min="22" max="22" width="12.42578125" style="43" customWidth="1"/>
    <col min="23" max="23" width="13.85546875" style="43" customWidth="1"/>
    <col min="24" max="25" width="13.5703125" style="43" customWidth="1"/>
    <col min="26" max="26" width="19.140625" style="43" customWidth="1"/>
    <col min="27" max="27" width="17.140625" style="43" customWidth="1"/>
  </cols>
  <sheetData>
    <row r="1" spans="2:28" x14ac:dyDescent="0.25">
      <c r="H1" s="49"/>
      <c r="J1" s="49"/>
      <c r="N1" s="49"/>
      <c r="V1" s="49"/>
      <c r="Y1" s="44" t="s">
        <v>225</v>
      </c>
      <c r="Z1" s="45">
        <f>+COUNTIF(Y6:Y193,Y1)</f>
        <v>188</v>
      </c>
      <c r="AA1" s="94" t="s">
        <v>326</v>
      </c>
      <c r="AB1" s="95">
        <v>187</v>
      </c>
    </row>
    <row r="2" spans="2:28" ht="21" x14ac:dyDescent="0.35">
      <c r="B2" s="66" t="s">
        <v>324</v>
      </c>
      <c r="Y2" s="47" t="s">
        <v>290</v>
      </c>
      <c r="Z2" s="70">
        <f>+Z1/188</f>
        <v>1</v>
      </c>
      <c r="AB2" s="96">
        <f>+AB1/188</f>
        <v>0.99468085106382975</v>
      </c>
    </row>
    <row r="3" spans="2:28" ht="15.75" x14ac:dyDescent="0.25">
      <c r="B3" s="65"/>
      <c r="H3" s="46" t="s">
        <v>229</v>
      </c>
      <c r="J3" s="46" t="s">
        <v>229</v>
      </c>
      <c r="M3" s="46">
        <v>0.6</v>
      </c>
      <c r="Q3" s="46">
        <v>0.2</v>
      </c>
      <c r="U3" s="46">
        <v>0.2</v>
      </c>
      <c r="V3" s="46"/>
    </row>
    <row r="4" spans="2:28" ht="18.75" x14ac:dyDescent="0.3">
      <c r="G4" s="47">
        <v>250000</v>
      </c>
      <c r="H4" s="112" t="s">
        <v>205</v>
      </c>
      <c r="I4" s="113"/>
      <c r="J4" s="114"/>
      <c r="K4" s="114"/>
      <c r="L4" s="74"/>
      <c r="M4" s="115" t="s">
        <v>227</v>
      </c>
      <c r="N4" s="116"/>
      <c r="O4" s="116"/>
      <c r="P4" s="116"/>
      <c r="Q4" s="117" t="s">
        <v>228</v>
      </c>
      <c r="R4" s="118"/>
      <c r="S4" s="118"/>
      <c r="T4" s="118"/>
      <c r="U4" s="119" t="s">
        <v>226</v>
      </c>
      <c r="V4" s="120"/>
      <c r="W4" s="120"/>
      <c r="X4" s="120"/>
      <c r="Y4" s="48"/>
      <c r="Z4" s="71">
        <f>+SUBTOTAL(9,Z6:Z193)</f>
        <v>39099920</v>
      </c>
    </row>
    <row r="5" spans="2:28" s="57" customFormat="1" ht="45" x14ac:dyDescent="0.25">
      <c r="B5" s="51" t="s">
        <v>0</v>
      </c>
      <c r="C5" s="51" t="s">
        <v>5</v>
      </c>
      <c r="D5" s="51" t="s">
        <v>304</v>
      </c>
      <c r="E5" s="51" t="s">
        <v>199</v>
      </c>
      <c r="F5" s="51" t="s">
        <v>198</v>
      </c>
      <c r="G5" s="52" t="s">
        <v>6</v>
      </c>
      <c r="H5" s="53" t="s">
        <v>206</v>
      </c>
      <c r="I5" s="53" t="s">
        <v>300</v>
      </c>
      <c r="J5" s="52" t="s">
        <v>207</v>
      </c>
      <c r="K5" s="52" t="s">
        <v>300</v>
      </c>
      <c r="L5" s="83" t="s">
        <v>301</v>
      </c>
      <c r="M5" s="69" t="s">
        <v>240</v>
      </c>
      <c r="N5" s="69" t="s">
        <v>242</v>
      </c>
      <c r="O5" s="69" t="s">
        <v>328</v>
      </c>
      <c r="P5" s="69" t="s">
        <v>2</v>
      </c>
      <c r="Q5" s="54" t="s">
        <v>243</v>
      </c>
      <c r="R5" s="54" t="s">
        <v>244</v>
      </c>
      <c r="S5" s="54" t="s">
        <v>1</v>
      </c>
      <c r="T5" s="54" t="s">
        <v>2</v>
      </c>
      <c r="U5" s="55" t="s">
        <v>249</v>
      </c>
      <c r="V5" s="55" t="s">
        <v>251</v>
      </c>
      <c r="W5" s="55" t="s">
        <v>1</v>
      </c>
      <c r="X5" s="55" t="s">
        <v>2</v>
      </c>
      <c r="Y5" s="56" t="s">
        <v>224</v>
      </c>
      <c r="Z5" s="56" t="s">
        <v>208</v>
      </c>
      <c r="AA5" s="72" t="s">
        <v>3</v>
      </c>
    </row>
    <row r="6" spans="2:28" x14ac:dyDescent="0.25">
      <c r="B6" s="1" t="s">
        <v>215</v>
      </c>
      <c r="C6" s="1" t="s">
        <v>10</v>
      </c>
      <c r="D6" s="1" t="s">
        <v>305</v>
      </c>
      <c r="E6" s="1" t="s">
        <v>223</v>
      </c>
      <c r="F6" s="1" t="s">
        <v>291</v>
      </c>
      <c r="G6" s="2">
        <f>IF(L6&gt;=80%,250000,IF(AND(L6&gt;=60%,L6&lt;80%),150000,0))</f>
        <v>250000</v>
      </c>
      <c r="H6" s="4">
        <f>+VLOOKUP(C6,Indicadores!B:C,2,FALSE)</f>
        <v>1</v>
      </c>
      <c r="I6" s="1" t="str">
        <f>IF(H6&gt;=60%,"Cumple","No Cumple")</f>
        <v>Cumple</v>
      </c>
      <c r="J6" s="4">
        <f>+VLOOKUP(C6,Indicadores!B:F,5,FALSE)</f>
        <v>1</v>
      </c>
      <c r="K6" s="1" t="str">
        <f>IF(J6&gt;=60%,"Cumple","No Cumple")</f>
        <v>Cumple</v>
      </c>
      <c r="L6" s="77">
        <f>+AVERAGE(H6,J6)</f>
        <v>1</v>
      </c>
      <c r="M6" s="11">
        <f>+G6*$M$3</f>
        <v>150000</v>
      </c>
      <c r="N6" s="4">
        <f>+VLOOKUP(C6,Indicadores!B:M,12,FALSE)</f>
        <v>1</v>
      </c>
      <c r="O6" s="1" t="str">
        <f>IF(N6&gt;=60%,"Cumple","No Cumple")</f>
        <v>Cumple</v>
      </c>
      <c r="P6" s="5">
        <f>IF(N6&gt;80%,M6*100%,IF(AND(N6&gt;=60%,N6&lt;=79%),M6*60%,0))</f>
        <v>150000</v>
      </c>
      <c r="Q6" s="5">
        <f>+$G$6*$Q$3</f>
        <v>50000</v>
      </c>
      <c r="R6" s="84">
        <f>+IFERROR(VLOOKUP(C6,Indicadores!B:N,13,FALSE),0%)</f>
        <v>1.0926435529677767</v>
      </c>
      <c r="S6" s="5" t="str">
        <f>IF(R6&gt;=70%,"Cumple","No Cumple")</f>
        <v>Cumple</v>
      </c>
      <c r="T6" s="5">
        <f>IF(R6=80%,Q6*70%,IF(AND(R6&gt;=81%,R6&lt;=90%),Q6*80%,IF(AND(R6&gt;=91%,R6&lt;=95%),Q6*90%,IF(R6=96%,Q6*96%,IF(R6=97%,Q6*97%,IF(R6=98%,Q6*98%,IF(R6=99%,Q6*99%,IF(R6&gt;=100%,Q6,0))))))))</f>
        <v>50000</v>
      </c>
      <c r="U6" s="5">
        <f>+G6*$U$3</f>
        <v>50000</v>
      </c>
      <c r="V6" s="4">
        <f>+VLOOKUP(C6,Indicadores!B:S,18,FALSE)</f>
        <v>1</v>
      </c>
      <c r="W6" s="50" t="str">
        <f t="shared" ref="W6:W69" si="0">IF(V6&gt;=100%,"Cumple","No Cumple")</f>
        <v>Cumple</v>
      </c>
      <c r="X6" s="2">
        <f>+IF(V6=100%,U6,0)</f>
        <v>50000</v>
      </c>
      <c r="Y6" s="5" t="str">
        <f>IF(L6&gt;=60%,"SI","NO")</f>
        <v>SI</v>
      </c>
      <c r="Z6" s="5">
        <f>+IF(Y6="SI",P6+T6+X6,0)</f>
        <v>250000</v>
      </c>
      <c r="AA6" s="1"/>
    </row>
    <row r="7" spans="2:28" x14ac:dyDescent="0.25">
      <c r="B7" s="1" t="s">
        <v>215</v>
      </c>
      <c r="C7" s="1" t="s">
        <v>11</v>
      </c>
      <c r="D7" s="1" t="s">
        <v>305</v>
      </c>
      <c r="E7" s="1" t="s">
        <v>223</v>
      </c>
      <c r="F7" s="1" t="s">
        <v>291</v>
      </c>
      <c r="G7" s="2">
        <f t="shared" ref="G7:G66" si="1">IF(L7&gt;=80%,250000,IF(AND(L7&gt;=60%,L7&lt;80%),150000,0))</f>
        <v>250000</v>
      </c>
      <c r="H7" s="4">
        <f>+VLOOKUP(C7,Indicadores!B:C,2,FALSE)</f>
        <v>1</v>
      </c>
      <c r="I7" s="1" t="str">
        <f t="shared" ref="I7:I70" si="2">IF(H7&gt;=60%,"Cumple","No Cumple")</f>
        <v>Cumple</v>
      </c>
      <c r="J7" s="4">
        <f>+VLOOKUP(C7,Indicadores!B:F,5,FALSE)</f>
        <v>1</v>
      </c>
      <c r="K7" s="1" t="str">
        <f t="shared" ref="K7:K70" si="3">IF(J7&gt;=60%,"Cumple","No Cumple")</f>
        <v>Cumple</v>
      </c>
      <c r="L7" s="77">
        <f t="shared" ref="L7:L70" si="4">+AVERAGE(H7,J7)</f>
        <v>1</v>
      </c>
      <c r="M7" s="11">
        <f t="shared" ref="M7:M70" si="5">+G7*$M$3</f>
        <v>150000</v>
      </c>
      <c r="N7" s="4">
        <f>+VLOOKUP(C7,Indicadores!B:M,12,FALSE)</f>
        <v>1</v>
      </c>
      <c r="O7" s="1" t="str">
        <f t="shared" ref="O7:O70" si="6">IF(N7&gt;=60%,"Cumple","No Cumple")</f>
        <v>Cumple</v>
      </c>
      <c r="P7" s="5">
        <f t="shared" ref="P7:P70" si="7">IF(N7&gt;80%,M7*100%,IF(AND(N7&gt;=60%,N7&lt;=79%),M7*60%,0))</f>
        <v>150000</v>
      </c>
      <c r="Q7" s="5">
        <f t="shared" ref="Q7:Q70" si="8">+$G$6*$Q$3</f>
        <v>50000</v>
      </c>
      <c r="R7" s="84">
        <f>+IFERROR(VLOOKUP(C7,Indicadores!B:N,13,FALSE),0%)</f>
        <v>2.6859171788457799</v>
      </c>
      <c r="S7" s="5" t="str">
        <f t="shared" ref="S7:S20" si="9">IF(R7&gt;=70%,"Cumple","No Cumple")</f>
        <v>Cumple</v>
      </c>
      <c r="T7" s="5">
        <f t="shared" ref="T7:T70" si="10">IF(R7=80%,Q7*70%,IF(AND(R7&gt;=81%,R7&lt;=90%),Q7*80%,IF(AND(R7&gt;=91%,R7&lt;=95%),Q7*90%,IF(R7=96%,Q7*96%,IF(R7=97%,Q7*97%,IF(R7=98%,Q7*98%,IF(R7=99%,Q7*99%,IF(R7&gt;=100%,Q7,0))))))))</f>
        <v>50000</v>
      </c>
      <c r="U7" s="5">
        <f t="shared" ref="U7:U70" si="11">+G7*$U$3</f>
        <v>50000</v>
      </c>
      <c r="V7" s="4">
        <f>+VLOOKUP(C7,Indicadores!B:S,18,FALSE)</f>
        <v>1</v>
      </c>
      <c r="W7" s="50" t="str">
        <f t="shared" si="0"/>
        <v>Cumple</v>
      </c>
      <c r="X7" s="2">
        <f t="shared" ref="X7:X70" si="12">+IF(V7=100%,U7,0)</f>
        <v>50000</v>
      </c>
      <c r="Y7" s="5" t="str">
        <f t="shared" ref="Y7:Y70" si="13">IF(L7&gt;=60%,"SI","NO")</f>
        <v>SI</v>
      </c>
      <c r="Z7" s="5">
        <f t="shared" ref="Z7:Z70" si="14">+IF(Y7="SI",P7+T7+X7,0)</f>
        <v>250000</v>
      </c>
      <c r="AA7" s="1"/>
    </row>
    <row r="8" spans="2:28" x14ac:dyDescent="0.25">
      <c r="B8" s="1" t="s">
        <v>215</v>
      </c>
      <c r="C8" s="1" t="s">
        <v>12</v>
      </c>
      <c r="D8" s="1" t="s">
        <v>305</v>
      </c>
      <c r="E8" s="1" t="s">
        <v>223</v>
      </c>
      <c r="F8" s="1" t="s">
        <v>291</v>
      </c>
      <c r="G8" s="2">
        <f t="shared" si="1"/>
        <v>250000</v>
      </c>
      <c r="H8" s="4">
        <f>+VLOOKUP(C8,Indicadores!B:C,2,FALSE)</f>
        <v>0.91666666666666663</v>
      </c>
      <c r="I8" s="1" t="str">
        <f t="shared" si="2"/>
        <v>Cumple</v>
      </c>
      <c r="J8" s="4">
        <f>+VLOOKUP(C8,Indicadores!B:F,5,FALSE)</f>
        <v>0.91666666666666663</v>
      </c>
      <c r="K8" s="1" t="str">
        <f t="shared" si="3"/>
        <v>Cumple</v>
      </c>
      <c r="L8" s="77">
        <f t="shared" si="4"/>
        <v>0.91666666666666663</v>
      </c>
      <c r="M8" s="11">
        <f t="shared" si="5"/>
        <v>150000</v>
      </c>
      <c r="N8" s="4">
        <f>+VLOOKUP(C8,Indicadores!B:M,12,FALSE)</f>
        <v>0.94444444444444431</v>
      </c>
      <c r="O8" s="1" t="str">
        <f t="shared" si="6"/>
        <v>Cumple</v>
      </c>
      <c r="P8" s="5">
        <f t="shared" si="7"/>
        <v>150000</v>
      </c>
      <c r="Q8" s="5">
        <f t="shared" si="8"/>
        <v>50000</v>
      </c>
      <c r="R8" s="84">
        <f>+IFERROR(VLOOKUP(C8,Indicadores!B:N,13,FALSE),0%)</f>
        <v>1.1306234166244273</v>
      </c>
      <c r="S8" s="5" t="str">
        <f t="shared" si="9"/>
        <v>Cumple</v>
      </c>
      <c r="T8" s="5">
        <f t="shared" si="10"/>
        <v>50000</v>
      </c>
      <c r="U8" s="5">
        <f t="shared" si="11"/>
        <v>50000</v>
      </c>
      <c r="V8" s="4">
        <f>+VLOOKUP(C8,Indicadores!B:S,18,FALSE)</f>
        <v>0.95833333333333326</v>
      </c>
      <c r="W8" s="50" t="str">
        <f t="shared" si="0"/>
        <v>No Cumple</v>
      </c>
      <c r="X8" s="2">
        <f t="shared" si="12"/>
        <v>0</v>
      </c>
      <c r="Y8" s="5" t="str">
        <f t="shared" si="13"/>
        <v>SI</v>
      </c>
      <c r="Z8" s="5">
        <f t="shared" si="14"/>
        <v>200000</v>
      </c>
      <c r="AA8" s="1"/>
    </row>
    <row r="9" spans="2:28" x14ac:dyDescent="0.25">
      <c r="B9" s="1" t="s">
        <v>215</v>
      </c>
      <c r="C9" s="1" t="s">
        <v>13</v>
      </c>
      <c r="D9" s="1" t="s">
        <v>305</v>
      </c>
      <c r="E9" s="1" t="s">
        <v>223</v>
      </c>
      <c r="F9" s="1" t="s">
        <v>291</v>
      </c>
      <c r="G9" s="2">
        <f t="shared" si="1"/>
        <v>250000</v>
      </c>
      <c r="H9" s="4">
        <f>+VLOOKUP(C9,Indicadores!B:C,2,FALSE)</f>
        <v>1</v>
      </c>
      <c r="I9" s="1" t="str">
        <f t="shared" si="2"/>
        <v>Cumple</v>
      </c>
      <c r="J9" s="4">
        <f>+VLOOKUP(C9,Indicadores!B:F,5,FALSE)</f>
        <v>1</v>
      </c>
      <c r="K9" s="1" t="str">
        <f t="shared" si="3"/>
        <v>Cumple</v>
      </c>
      <c r="L9" s="77">
        <f t="shared" si="4"/>
        <v>1</v>
      </c>
      <c r="M9" s="11">
        <f t="shared" si="5"/>
        <v>150000</v>
      </c>
      <c r="N9" s="4">
        <f>+VLOOKUP(C9,Indicadores!B:M,12,FALSE)</f>
        <v>1</v>
      </c>
      <c r="O9" s="1" t="str">
        <f t="shared" si="6"/>
        <v>Cumple</v>
      </c>
      <c r="P9" s="5">
        <f t="shared" si="7"/>
        <v>150000</v>
      </c>
      <c r="Q9" s="5">
        <f t="shared" si="8"/>
        <v>50000</v>
      </c>
      <c r="R9" s="84">
        <f>+IFERROR(VLOOKUP(C9,Indicadores!B:N,13,FALSE),0%)</f>
        <v>1.2889293972126517</v>
      </c>
      <c r="S9" s="5" t="str">
        <f t="shared" si="9"/>
        <v>Cumple</v>
      </c>
      <c r="T9" s="5">
        <f t="shared" si="10"/>
        <v>50000</v>
      </c>
      <c r="U9" s="5">
        <f t="shared" si="11"/>
        <v>50000</v>
      </c>
      <c r="V9" s="4">
        <f>+VLOOKUP(C9,Indicadores!B:S,18,FALSE)</f>
        <v>1</v>
      </c>
      <c r="W9" s="50" t="str">
        <f t="shared" si="0"/>
        <v>Cumple</v>
      </c>
      <c r="X9" s="2">
        <f t="shared" si="12"/>
        <v>50000</v>
      </c>
      <c r="Y9" s="5" t="str">
        <f t="shared" si="13"/>
        <v>SI</v>
      </c>
      <c r="Z9" s="5">
        <f t="shared" si="14"/>
        <v>250000</v>
      </c>
      <c r="AA9" s="1"/>
    </row>
    <row r="10" spans="2:28" x14ac:dyDescent="0.25">
      <c r="B10" s="1" t="s">
        <v>215</v>
      </c>
      <c r="C10" s="1" t="s">
        <v>14</v>
      </c>
      <c r="D10" s="1" t="s">
        <v>306</v>
      </c>
      <c r="E10" s="1" t="s">
        <v>223</v>
      </c>
      <c r="F10" s="1" t="s">
        <v>291</v>
      </c>
      <c r="G10" s="2">
        <f t="shared" si="1"/>
        <v>250000</v>
      </c>
      <c r="H10" s="4">
        <f>+VLOOKUP(C10,Indicadores!B:C,2,FALSE)</f>
        <v>1</v>
      </c>
      <c r="I10" s="1" t="str">
        <f t="shared" si="2"/>
        <v>Cumple</v>
      </c>
      <c r="J10" s="4">
        <f>+VLOOKUP(C10,Indicadores!B:F,5,FALSE)</f>
        <v>1</v>
      </c>
      <c r="K10" s="1" t="str">
        <f t="shared" si="3"/>
        <v>Cumple</v>
      </c>
      <c r="L10" s="77">
        <f t="shared" si="4"/>
        <v>1</v>
      </c>
      <c r="M10" s="11">
        <f t="shared" si="5"/>
        <v>150000</v>
      </c>
      <c r="N10" s="4">
        <f>+VLOOKUP(C10,Indicadores!B:M,12,FALSE)</f>
        <v>1</v>
      </c>
      <c r="O10" s="1" t="str">
        <f t="shared" si="6"/>
        <v>Cumple</v>
      </c>
      <c r="P10" s="5">
        <f t="shared" si="7"/>
        <v>150000</v>
      </c>
      <c r="Q10" s="5">
        <f t="shared" si="8"/>
        <v>50000</v>
      </c>
      <c r="R10" s="84">
        <f>+IFERROR(VLOOKUP(C10,Indicadores!B:N,13,FALSE),0%)</f>
        <v>1.1378459129618947</v>
      </c>
      <c r="S10" s="5" t="str">
        <f t="shared" si="9"/>
        <v>Cumple</v>
      </c>
      <c r="T10" s="5">
        <f t="shared" si="10"/>
        <v>50000</v>
      </c>
      <c r="U10" s="5">
        <f t="shared" si="11"/>
        <v>50000</v>
      </c>
      <c r="V10" s="4">
        <f>+VLOOKUP(C10,Indicadores!B:S,18,FALSE)</f>
        <v>1</v>
      </c>
      <c r="W10" s="50" t="str">
        <f t="shared" si="0"/>
        <v>Cumple</v>
      </c>
      <c r="X10" s="2">
        <f t="shared" si="12"/>
        <v>50000</v>
      </c>
      <c r="Y10" s="5" t="str">
        <f t="shared" si="13"/>
        <v>SI</v>
      </c>
      <c r="Z10" s="5">
        <f t="shared" si="14"/>
        <v>250000</v>
      </c>
      <c r="AA10" s="1"/>
    </row>
    <row r="11" spans="2:28" x14ac:dyDescent="0.25">
      <c r="B11" s="1" t="s">
        <v>215</v>
      </c>
      <c r="C11" s="1" t="s">
        <v>15</v>
      </c>
      <c r="D11" s="1" t="s">
        <v>305</v>
      </c>
      <c r="E11" s="1" t="s">
        <v>223</v>
      </c>
      <c r="F11" s="1" t="s">
        <v>291</v>
      </c>
      <c r="G11" s="2">
        <f t="shared" si="1"/>
        <v>250000</v>
      </c>
      <c r="H11" s="4">
        <f>+VLOOKUP(C11,Indicadores!B:C,2,FALSE)</f>
        <v>1</v>
      </c>
      <c r="I11" s="1" t="str">
        <f t="shared" si="2"/>
        <v>Cumple</v>
      </c>
      <c r="J11" s="4">
        <f>+VLOOKUP(C11,Indicadores!B:F,5,FALSE)</f>
        <v>1</v>
      </c>
      <c r="K11" s="1" t="str">
        <f t="shared" si="3"/>
        <v>Cumple</v>
      </c>
      <c r="L11" s="77">
        <f t="shared" si="4"/>
        <v>1</v>
      </c>
      <c r="M11" s="11">
        <f t="shared" si="5"/>
        <v>150000</v>
      </c>
      <c r="N11" s="4">
        <f>+VLOOKUP(C11,Indicadores!B:M,12,FALSE)</f>
        <v>0.88888888888888884</v>
      </c>
      <c r="O11" s="1" t="str">
        <f t="shared" si="6"/>
        <v>Cumple</v>
      </c>
      <c r="P11" s="5">
        <f t="shared" si="7"/>
        <v>150000</v>
      </c>
      <c r="Q11" s="5">
        <f t="shared" si="8"/>
        <v>50000</v>
      </c>
      <c r="R11" s="84">
        <f>+IFERROR(VLOOKUP(C11,Indicadores!B:N,13,FALSE),0%)</f>
        <v>1.1051650648477578</v>
      </c>
      <c r="S11" s="5" t="str">
        <f t="shared" si="9"/>
        <v>Cumple</v>
      </c>
      <c r="T11" s="5">
        <f t="shared" si="10"/>
        <v>50000</v>
      </c>
      <c r="U11" s="5">
        <f t="shared" si="11"/>
        <v>50000</v>
      </c>
      <c r="V11" s="4">
        <f>+VLOOKUP(C11,Indicadores!B:S,18,FALSE)</f>
        <v>0.5</v>
      </c>
      <c r="W11" s="50" t="str">
        <f t="shared" si="0"/>
        <v>No Cumple</v>
      </c>
      <c r="X11" s="2">
        <f t="shared" si="12"/>
        <v>0</v>
      </c>
      <c r="Y11" s="5" t="str">
        <f t="shared" si="13"/>
        <v>SI</v>
      </c>
      <c r="Z11" s="5">
        <f t="shared" si="14"/>
        <v>200000</v>
      </c>
      <c r="AA11" s="1"/>
    </row>
    <row r="12" spans="2:28" x14ac:dyDescent="0.25">
      <c r="B12" s="1" t="s">
        <v>215</v>
      </c>
      <c r="C12" s="1" t="s">
        <v>16</v>
      </c>
      <c r="D12" s="1" t="s">
        <v>305</v>
      </c>
      <c r="E12" s="1" t="s">
        <v>223</v>
      </c>
      <c r="F12" s="1" t="s">
        <v>291</v>
      </c>
      <c r="G12" s="2">
        <f t="shared" si="1"/>
        <v>250000</v>
      </c>
      <c r="H12" s="4">
        <f>+VLOOKUP(C12,Indicadores!B:C,2,FALSE)</f>
        <v>1</v>
      </c>
      <c r="I12" s="1" t="str">
        <f t="shared" si="2"/>
        <v>Cumple</v>
      </c>
      <c r="J12" s="4">
        <f>+VLOOKUP(C12,Indicadores!B:F,5,FALSE)</f>
        <v>1</v>
      </c>
      <c r="K12" s="1" t="str">
        <f t="shared" si="3"/>
        <v>Cumple</v>
      </c>
      <c r="L12" s="77">
        <f t="shared" si="4"/>
        <v>1</v>
      </c>
      <c r="M12" s="11">
        <f t="shared" si="5"/>
        <v>150000</v>
      </c>
      <c r="N12" s="4">
        <f>+VLOOKUP(C12,Indicadores!B:M,12,FALSE)</f>
        <v>0.9555555555555556</v>
      </c>
      <c r="O12" s="1" t="str">
        <f t="shared" si="6"/>
        <v>Cumple</v>
      </c>
      <c r="P12" s="5">
        <f t="shared" si="7"/>
        <v>150000</v>
      </c>
      <c r="Q12" s="5">
        <f t="shared" si="8"/>
        <v>50000</v>
      </c>
      <c r="R12" s="84">
        <f>+IFERROR(VLOOKUP(C12,Indicadores!B:N,13,FALSE),0%)</f>
        <v>1.1243967722996251</v>
      </c>
      <c r="S12" s="5" t="str">
        <f t="shared" si="9"/>
        <v>Cumple</v>
      </c>
      <c r="T12" s="5">
        <f t="shared" si="10"/>
        <v>50000</v>
      </c>
      <c r="U12" s="5">
        <f t="shared" si="11"/>
        <v>50000</v>
      </c>
      <c r="V12" s="4">
        <f>+VLOOKUP(C12,Indicadores!B:S,18,FALSE)</f>
        <v>0.5</v>
      </c>
      <c r="W12" s="50" t="str">
        <f t="shared" si="0"/>
        <v>No Cumple</v>
      </c>
      <c r="X12" s="2">
        <f t="shared" si="12"/>
        <v>0</v>
      </c>
      <c r="Y12" s="5" t="str">
        <f t="shared" si="13"/>
        <v>SI</v>
      </c>
      <c r="Z12" s="5">
        <f t="shared" si="14"/>
        <v>200000</v>
      </c>
      <c r="AA12" s="1"/>
    </row>
    <row r="13" spans="2:28" x14ac:dyDescent="0.25">
      <c r="B13" s="1" t="s">
        <v>215</v>
      </c>
      <c r="C13" s="1" t="s">
        <v>17</v>
      </c>
      <c r="D13" s="1" t="s">
        <v>305</v>
      </c>
      <c r="E13" s="1" t="s">
        <v>223</v>
      </c>
      <c r="F13" s="1" t="s">
        <v>291</v>
      </c>
      <c r="G13" s="2">
        <f t="shared" si="1"/>
        <v>250000</v>
      </c>
      <c r="H13" s="4">
        <f>+VLOOKUP(C13,Indicadores!B:C,2,FALSE)</f>
        <v>1</v>
      </c>
      <c r="I13" s="1" t="str">
        <f t="shared" si="2"/>
        <v>Cumple</v>
      </c>
      <c r="J13" s="4">
        <f>+VLOOKUP(C13,Indicadores!B:F,5,FALSE)</f>
        <v>1</v>
      </c>
      <c r="K13" s="1" t="str">
        <f t="shared" si="3"/>
        <v>Cumple</v>
      </c>
      <c r="L13" s="77">
        <f t="shared" si="4"/>
        <v>1</v>
      </c>
      <c r="M13" s="11">
        <f t="shared" si="5"/>
        <v>150000</v>
      </c>
      <c r="N13" s="4">
        <f>+VLOOKUP(C13,Indicadores!B:M,12,FALSE)</f>
        <v>1</v>
      </c>
      <c r="O13" s="1" t="str">
        <f t="shared" si="6"/>
        <v>Cumple</v>
      </c>
      <c r="P13" s="5">
        <f t="shared" si="7"/>
        <v>150000</v>
      </c>
      <c r="Q13" s="5">
        <f t="shared" si="8"/>
        <v>50000</v>
      </c>
      <c r="R13" s="84">
        <f>+IFERROR(VLOOKUP(C13,Indicadores!B:N,13,FALSE),0%)</f>
        <v>1.1839680179181065</v>
      </c>
      <c r="S13" s="5" t="str">
        <f t="shared" si="9"/>
        <v>Cumple</v>
      </c>
      <c r="T13" s="5">
        <f t="shared" si="10"/>
        <v>50000</v>
      </c>
      <c r="U13" s="5">
        <f t="shared" si="11"/>
        <v>50000</v>
      </c>
      <c r="V13" s="4">
        <f>+VLOOKUP(C13,Indicadores!B:S,18,FALSE)</f>
        <v>1</v>
      </c>
      <c r="W13" s="50" t="str">
        <f t="shared" si="0"/>
        <v>Cumple</v>
      </c>
      <c r="X13" s="2">
        <f t="shared" si="12"/>
        <v>50000</v>
      </c>
      <c r="Y13" s="5" t="str">
        <f t="shared" si="13"/>
        <v>SI</v>
      </c>
      <c r="Z13" s="5">
        <f t="shared" si="14"/>
        <v>250000</v>
      </c>
      <c r="AA13" s="1"/>
    </row>
    <row r="14" spans="2:28" x14ac:dyDescent="0.25">
      <c r="B14" s="1" t="s">
        <v>215</v>
      </c>
      <c r="C14" s="1" t="s">
        <v>18</v>
      </c>
      <c r="D14" s="1" t="s">
        <v>307</v>
      </c>
      <c r="E14" s="1" t="s">
        <v>223</v>
      </c>
      <c r="F14" s="1" t="s">
        <v>273</v>
      </c>
      <c r="G14" s="2">
        <f t="shared" si="1"/>
        <v>250000</v>
      </c>
      <c r="H14" s="4">
        <f>+VLOOKUP(C14,Indicadores!B:C,2,FALSE)</f>
        <v>1</v>
      </c>
      <c r="I14" s="1" t="str">
        <f t="shared" si="2"/>
        <v>Cumple</v>
      </c>
      <c r="J14" s="4">
        <f>+VLOOKUP(C14,Indicadores!B:F,5,FALSE)</f>
        <v>1</v>
      </c>
      <c r="K14" s="1" t="str">
        <f t="shared" si="3"/>
        <v>Cumple</v>
      </c>
      <c r="L14" s="77">
        <f t="shared" si="4"/>
        <v>1</v>
      </c>
      <c r="M14" s="11">
        <f t="shared" si="5"/>
        <v>150000</v>
      </c>
      <c r="N14" s="4">
        <f>+VLOOKUP(C14,Indicadores!B:M,12,FALSE)</f>
        <v>1</v>
      </c>
      <c r="O14" s="1" t="str">
        <f t="shared" si="6"/>
        <v>Cumple</v>
      </c>
      <c r="P14" s="5">
        <f t="shared" si="7"/>
        <v>150000</v>
      </c>
      <c r="Q14" s="5">
        <f t="shared" si="8"/>
        <v>50000</v>
      </c>
      <c r="R14" s="84">
        <f>+IFERROR(VLOOKUP(C14,Indicadores!B:N,13,FALSE),0%)</f>
        <v>1.1922166288206193</v>
      </c>
      <c r="S14" s="5" t="str">
        <f t="shared" si="9"/>
        <v>Cumple</v>
      </c>
      <c r="T14" s="5">
        <f t="shared" si="10"/>
        <v>50000</v>
      </c>
      <c r="U14" s="5">
        <f t="shared" si="11"/>
        <v>50000</v>
      </c>
      <c r="V14" s="4">
        <f>+VLOOKUP(C14,Indicadores!B:S,18,FALSE)</f>
        <v>1</v>
      </c>
      <c r="W14" s="50" t="str">
        <f t="shared" si="0"/>
        <v>Cumple</v>
      </c>
      <c r="X14" s="2">
        <f t="shared" si="12"/>
        <v>50000</v>
      </c>
      <c r="Y14" s="5" t="str">
        <f t="shared" si="13"/>
        <v>SI</v>
      </c>
      <c r="Z14" s="5">
        <f t="shared" si="14"/>
        <v>250000</v>
      </c>
      <c r="AA14" s="1"/>
    </row>
    <row r="15" spans="2:28" x14ac:dyDescent="0.25">
      <c r="B15" s="1" t="s">
        <v>215</v>
      </c>
      <c r="C15" s="1" t="s">
        <v>19</v>
      </c>
      <c r="D15" s="1" t="s">
        <v>307</v>
      </c>
      <c r="E15" s="1" t="s">
        <v>223</v>
      </c>
      <c r="F15" s="1" t="s">
        <v>273</v>
      </c>
      <c r="G15" s="2">
        <f t="shared" si="1"/>
        <v>150000</v>
      </c>
      <c r="H15" s="4">
        <f>+VLOOKUP(C15,Indicadores!B:C,2,FALSE)</f>
        <v>0.33333333333333331</v>
      </c>
      <c r="I15" s="1" t="str">
        <f t="shared" si="2"/>
        <v>No Cumple</v>
      </c>
      <c r="J15" s="4">
        <f>+VLOOKUP(C15,Indicadores!B:F,5,FALSE)</f>
        <v>1</v>
      </c>
      <c r="K15" s="1" t="str">
        <f t="shared" si="3"/>
        <v>Cumple</v>
      </c>
      <c r="L15" s="77">
        <f t="shared" si="4"/>
        <v>0.66666666666666663</v>
      </c>
      <c r="M15" s="11">
        <f t="shared" si="5"/>
        <v>90000</v>
      </c>
      <c r="N15" s="4">
        <f>+VLOOKUP(C15,Indicadores!B:M,12,FALSE)</f>
        <v>0.66666666666666663</v>
      </c>
      <c r="O15" s="1" t="str">
        <f t="shared" si="6"/>
        <v>Cumple</v>
      </c>
      <c r="P15" s="5">
        <f t="shared" si="7"/>
        <v>54000</v>
      </c>
      <c r="Q15" s="5">
        <f t="shared" si="8"/>
        <v>50000</v>
      </c>
      <c r="R15" s="84">
        <v>1.1921999999999999</v>
      </c>
      <c r="S15" s="5" t="str">
        <f t="shared" si="9"/>
        <v>Cumple</v>
      </c>
      <c r="T15" s="5">
        <f t="shared" si="10"/>
        <v>50000</v>
      </c>
      <c r="U15" s="5">
        <f t="shared" si="11"/>
        <v>30000</v>
      </c>
      <c r="V15" s="4">
        <f>+VLOOKUP(C15,Indicadores!B:S,18,FALSE)</f>
        <v>1</v>
      </c>
      <c r="W15" s="50" t="str">
        <f t="shared" si="0"/>
        <v>Cumple</v>
      </c>
      <c r="X15" s="2">
        <f t="shared" si="12"/>
        <v>30000</v>
      </c>
      <c r="Y15" s="5" t="str">
        <f t="shared" si="13"/>
        <v>SI</v>
      </c>
      <c r="Z15" s="5">
        <f t="shared" si="14"/>
        <v>134000</v>
      </c>
      <c r="AA15" s="1"/>
    </row>
    <row r="16" spans="2:28" x14ac:dyDescent="0.25">
      <c r="B16" s="1" t="s">
        <v>215</v>
      </c>
      <c r="C16" s="1" t="s">
        <v>20</v>
      </c>
      <c r="D16" s="1" t="s">
        <v>308</v>
      </c>
      <c r="E16" s="1" t="s">
        <v>223</v>
      </c>
      <c r="F16" s="1" t="s">
        <v>291</v>
      </c>
      <c r="G16" s="2">
        <f t="shared" si="1"/>
        <v>250000</v>
      </c>
      <c r="H16" s="4">
        <f>+VLOOKUP(C16,Indicadores!B:C,2,FALSE)</f>
        <v>1</v>
      </c>
      <c r="I16" s="1" t="str">
        <f t="shared" si="2"/>
        <v>Cumple</v>
      </c>
      <c r="J16" s="4">
        <f>+VLOOKUP(C16,Indicadores!B:F,5,FALSE)</f>
        <v>1</v>
      </c>
      <c r="K16" s="1" t="str">
        <f t="shared" si="3"/>
        <v>Cumple</v>
      </c>
      <c r="L16" s="77">
        <f t="shared" si="4"/>
        <v>1</v>
      </c>
      <c r="M16" s="11">
        <f t="shared" si="5"/>
        <v>150000</v>
      </c>
      <c r="N16" s="4">
        <f>+VLOOKUP(C16,Indicadores!B:M,12,FALSE)</f>
        <v>0.58333333333333337</v>
      </c>
      <c r="O16" s="1" t="str">
        <f t="shared" si="6"/>
        <v>No Cumple</v>
      </c>
      <c r="P16" s="5">
        <f t="shared" si="7"/>
        <v>0</v>
      </c>
      <c r="Q16" s="5">
        <f t="shared" si="8"/>
        <v>50000</v>
      </c>
      <c r="R16" s="84">
        <f>+IFERROR(VLOOKUP(C16,Indicadores!B:N,13,FALSE),0%)</f>
        <v>1.5777985138145765</v>
      </c>
      <c r="S16" s="5" t="str">
        <f t="shared" si="9"/>
        <v>Cumple</v>
      </c>
      <c r="T16" s="5">
        <f t="shared" si="10"/>
        <v>50000</v>
      </c>
      <c r="U16" s="5">
        <f t="shared" si="11"/>
        <v>50000</v>
      </c>
      <c r="V16" s="4">
        <f>+VLOOKUP(C16,Indicadores!B:S,18,FALSE)</f>
        <v>1</v>
      </c>
      <c r="W16" s="50" t="str">
        <f t="shared" si="0"/>
        <v>Cumple</v>
      </c>
      <c r="X16" s="2">
        <f t="shared" si="12"/>
        <v>50000</v>
      </c>
      <c r="Y16" s="5" t="str">
        <f t="shared" si="13"/>
        <v>SI</v>
      </c>
      <c r="Z16" s="5">
        <f t="shared" si="14"/>
        <v>100000</v>
      </c>
      <c r="AA16" s="1"/>
    </row>
    <row r="17" spans="1:27" x14ac:dyDescent="0.25">
      <c r="B17" s="1" t="s">
        <v>215</v>
      </c>
      <c r="C17" s="1" t="s">
        <v>21</v>
      </c>
      <c r="D17" s="1" t="s">
        <v>308</v>
      </c>
      <c r="E17" s="1" t="s">
        <v>223</v>
      </c>
      <c r="F17" s="1" t="s">
        <v>291</v>
      </c>
      <c r="G17" s="2">
        <f t="shared" si="1"/>
        <v>250000</v>
      </c>
      <c r="H17" s="4">
        <f>+VLOOKUP(C17,Indicadores!B:C,2,FALSE)</f>
        <v>0.66666666666666663</v>
      </c>
      <c r="I17" s="1" t="str">
        <f t="shared" si="2"/>
        <v>Cumple</v>
      </c>
      <c r="J17" s="4">
        <f>+VLOOKUP(C17,Indicadores!B:F,5,FALSE)</f>
        <v>1</v>
      </c>
      <c r="K17" s="1" t="str">
        <f t="shared" si="3"/>
        <v>Cumple</v>
      </c>
      <c r="L17" s="77">
        <f t="shared" si="4"/>
        <v>0.83333333333333326</v>
      </c>
      <c r="M17" s="11">
        <f t="shared" si="5"/>
        <v>150000</v>
      </c>
      <c r="N17" s="4">
        <f>+VLOOKUP(C17,Indicadores!B:M,12,FALSE)</f>
        <v>0.66666666666666663</v>
      </c>
      <c r="O17" s="1" t="str">
        <f t="shared" si="6"/>
        <v>Cumple</v>
      </c>
      <c r="P17" s="5">
        <f t="shared" si="7"/>
        <v>90000</v>
      </c>
      <c r="Q17" s="5">
        <f t="shared" si="8"/>
        <v>50000</v>
      </c>
      <c r="R17" s="84">
        <v>1.5778000000000001</v>
      </c>
      <c r="S17" s="5" t="str">
        <f t="shared" si="9"/>
        <v>Cumple</v>
      </c>
      <c r="T17" s="5">
        <f t="shared" si="10"/>
        <v>50000</v>
      </c>
      <c r="U17" s="5">
        <f t="shared" si="11"/>
        <v>50000</v>
      </c>
      <c r="V17" s="4">
        <f>+VLOOKUP(C17,Indicadores!B:S,18,FALSE)</f>
        <v>1</v>
      </c>
      <c r="W17" s="50" t="str">
        <f t="shared" si="0"/>
        <v>Cumple</v>
      </c>
      <c r="X17" s="2">
        <f t="shared" si="12"/>
        <v>50000</v>
      </c>
      <c r="Y17" s="5" t="str">
        <f t="shared" si="13"/>
        <v>SI</v>
      </c>
      <c r="Z17" s="5">
        <f t="shared" si="14"/>
        <v>190000</v>
      </c>
      <c r="AA17" s="1"/>
    </row>
    <row r="18" spans="1:27" x14ac:dyDescent="0.25">
      <c r="B18" s="1" t="s">
        <v>215</v>
      </c>
      <c r="C18" s="1" t="s">
        <v>22</v>
      </c>
      <c r="D18" s="1" t="s">
        <v>305</v>
      </c>
      <c r="E18" s="1" t="s">
        <v>223</v>
      </c>
      <c r="F18" s="1" t="s">
        <v>291</v>
      </c>
      <c r="G18" s="2">
        <f t="shared" si="1"/>
        <v>250000</v>
      </c>
      <c r="H18" s="4">
        <f>+VLOOKUP(C18,Indicadores!B:C,2,FALSE)</f>
        <v>1</v>
      </c>
      <c r="I18" s="1" t="str">
        <f t="shared" si="2"/>
        <v>Cumple</v>
      </c>
      <c r="J18" s="4">
        <f>+VLOOKUP(C18,Indicadores!B:F,5,FALSE)</f>
        <v>0.8</v>
      </c>
      <c r="K18" s="1" t="str">
        <f t="shared" si="3"/>
        <v>Cumple</v>
      </c>
      <c r="L18" s="77">
        <f t="shared" si="4"/>
        <v>0.9</v>
      </c>
      <c r="M18" s="11">
        <f t="shared" si="5"/>
        <v>150000</v>
      </c>
      <c r="N18" s="4">
        <f>+VLOOKUP(C18,Indicadores!B:M,12,FALSE)</f>
        <v>0.93333333333333324</v>
      </c>
      <c r="O18" s="1" t="str">
        <f t="shared" si="6"/>
        <v>Cumple</v>
      </c>
      <c r="P18" s="5">
        <f t="shared" si="7"/>
        <v>150000</v>
      </c>
      <c r="Q18" s="5">
        <f t="shared" si="8"/>
        <v>50000</v>
      </c>
      <c r="R18" s="84">
        <f>+IFERROR(VLOOKUP(C18,Indicadores!B:N,13,FALSE),0%)</f>
        <v>0.98928990804900152</v>
      </c>
      <c r="S18" s="5" t="str">
        <f t="shared" si="9"/>
        <v>Cumple</v>
      </c>
      <c r="T18" s="5">
        <f>IF(R18=80%,Q18*70%,IF(AND(R18&gt;=81%,R18&lt;=90%),Q18*80%,IF(AND(R18&gt;=91%,R18&lt;=95%),Q18*90%,IF(R18=96%,Q18*96%,IF(R18=97%,Q18*97%,IF(R18&gt;=98%,Q18*98%,IF(R18=99%,Q18*99%,IF(R18&gt;=100%,Q18,0))))))))</f>
        <v>49000</v>
      </c>
      <c r="U18" s="5">
        <f t="shared" si="11"/>
        <v>50000</v>
      </c>
      <c r="V18" s="4">
        <f>+VLOOKUP(C18,Indicadores!B:S,18,FALSE)</f>
        <v>1</v>
      </c>
      <c r="W18" s="50" t="str">
        <f t="shared" si="0"/>
        <v>Cumple</v>
      </c>
      <c r="X18" s="2">
        <f t="shared" si="12"/>
        <v>50000</v>
      </c>
      <c r="Y18" s="5" t="str">
        <f t="shared" si="13"/>
        <v>SI</v>
      </c>
      <c r="Z18" s="5">
        <f t="shared" si="14"/>
        <v>249000</v>
      </c>
      <c r="AA18" s="1"/>
    </row>
    <row r="19" spans="1:27" x14ac:dyDescent="0.25">
      <c r="A19" s="75"/>
      <c r="B19" s="1" t="s">
        <v>215</v>
      </c>
      <c r="C19" s="1" t="s">
        <v>23</v>
      </c>
      <c r="D19" s="1" t="s">
        <v>306</v>
      </c>
      <c r="E19" s="1" t="s">
        <v>223</v>
      </c>
      <c r="F19" s="1" t="s">
        <v>291</v>
      </c>
      <c r="G19" s="2">
        <f t="shared" si="1"/>
        <v>250000</v>
      </c>
      <c r="H19" s="4">
        <f>+VLOOKUP(C19,Indicadores!B:C,2,FALSE)</f>
        <v>1</v>
      </c>
      <c r="I19" s="1" t="str">
        <f t="shared" si="2"/>
        <v>Cumple</v>
      </c>
      <c r="J19" s="4">
        <f>+VLOOKUP(C19,Indicadores!B:F,5,FALSE)</f>
        <v>1</v>
      </c>
      <c r="K19" s="1" t="str">
        <f t="shared" si="3"/>
        <v>Cumple</v>
      </c>
      <c r="L19" s="77">
        <f t="shared" si="4"/>
        <v>1</v>
      </c>
      <c r="M19" s="11">
        <f t="shared" si="5"/>
        <v>150000</v>
      </c>
      <c r="N19" s="4">
        <f>+VLOOKUP(C19,Indicadores!B:M,12,FALSE)</f>
        <v>1</v>
      </c>
      <c r="O19" s="1" t="str">
        <f t="shared" si="6"/>
        <v>Cumple</v>
      </c>
      <c r="P19" s="5">
        <f t="shared" si="7"/>
        <v>150000</v>
      </c>
      <c r="Q19" s="5">
        <f t="shared" si="8"/>
        <v>50000</v>
      </c>
      <c r="R19" s="84">
        <f>+IFERROR(VLOOKUP(C19,Indicadores!B:N,13,FALSE),0%)</f>
        <v>1.0011239365245241</v>
      </c>
      <c r="S19" s="5" t="str">
        <f t="shared" si="9"/>
        <v>Cumple</v>
      </c>
      <c r="T19" s="5">
        <f t="shared" si="10"/>
        <v>50000</v>
      </c>
      <c r="U19" s="5">
        <f t="shared" si="11"/>
        <v>50000</v>
      </c>
      <c r="V19" s="4">
        <f>+VLOOKUP(C19,Indicadores!B:S,18,FALSE)</f>
        <v>1</v>
      </c>
      <c r="W19" s="50" t="str">
        <f t="shared" si="0"/>
        <v>Cumple</v>
      </c>
      <c r="X19" s="2">
        <f t="shared" si="12"/>
        <v>50000</v>
      </c>
      <c r="Y19" s="5" t="str">
        <f t="shared" si="13"/>
        <v>SI</v>
      </c>
      <c r="Z19" s="5">
        <f t="shared" si="14"/>
        <v>250000</v>
      </c>
      <c r="AA19" s="1"/>
    </row>
    <row r="20" spans="1:27" x14ac:dyDescent="0.25">
      <c r="B20" s="1" t="s">
        <v>215</v>
      </c>
      <c r="C20" s="1" t="s">
        <v>24</v>
      </c>
      <c r="D20" s="1" t="s">
        <v>308</v>
      </c>
      <c r="E20" s="1" t="s">
        <v>223</v>
      </c>
      <c r="F20" s="1" t="s">
        <v>291</v>
      </c>
      <c r="G20" s="2">
        <f t="shared" si="1"/>
        <v>250000</v>
      </c>
      <c r="H20" s="4">
        <f>+VLOOKUP(C20,Indicadores!B:C,2,FALSE)</f>
        <v>0.83333333333333337</v>
      </c>
      <c r="I20" s="1" t="str">
        <f t="shared" si="2"/>
        <v>Cumple</v>
      </c>
      <c r="J20" s="4">
        <f>+VLOOKUP(C20,Indicadores!B:F,5,FALSE)</f>
        <v>0.83333333333333337</v>
      </c>
      <c r="K20" s="1" t="str">
        <f t="shared" si="3"/>
        <v>Cumple</v>
      </c>
      <c r="L20" s="77">
        <f t="shared" si="4"/>
        <v>0.83333333333333337</v>
      </c>
      <c r="M20" s="11">
        <f t="shared" si="5"/>
        <v>150000</v>
      </c>
      <c r="N20" s="4">
        <f>+VLOOKUP(C20,Indicadores!B:M,12,FALSE)</f>
        <v>0.88888888888888895</v>
      </c>
      <c r="O20" s="1" t="str">
        <f t="shared" si="6"/>
        <v>Cumple</v>
      </c>
      <c r="P20" s="5">
        <f t="shared" si="7"/>
        <v>150000</v>
      </c>
      <c r="Q20" s="5">
        <f t="shared" si="8"/>
        <v>50000</v>
      </c>
      <c r="R20" s="84">
        <f>+IFERROR(VLOOKUP(C20,Indicadores!B:N,13,FALSE),0%)</f>
        <v>1.0138424832148571</v>
      </c>
      <c r="S20" s="5" t="str">
        <f t="shared" si="9"/>
        <v>Cumple</v>
      </c>
      <c r="T20" s="5">
        <f t="shared" si="10"/>
        <v>50000</v>
      </c>
      <c r="U20" s="5">
        <f t="shared" si="11"/>
        <v>50000</v>
      </c>
      <c r="V20" s="4">
        <f>+VLOOKUP(C20,Indicadores!B:S,18,FALSE)</f>
        <v>0.91666666666666674</v>
      </c>
      <c r="W20" s="50" t="str">
        <f t="shared" si="0"/>
        <v>No Cumple</v>
      </c>
      <c r="X20" s="2">
        <f t="shared" si="12"/>
        <v>0</v>
      </c>
      <c r="Y20" s="5" t="str">
        <f t="shared" si="13"/>
        <v>SI</v>
      </c>
      <c r="Z20" s="5">
        <f t="shared" si="14"/>
        <v>200000</v>
      </c>
      <c r="AA20" s="1"/>
    </row>
    <row r="21" spans="1:27" x14ac:dyDescent="0.25">
      <c r="B21" s="1" t="s">
        <v>215</v>
      </c>
      <c r="C21" s="1" t="s">
        <v>25</v>
      </c>
      <c r="D21" s="1" t="s">
        <v>306</v>
      </c>
      <c r="E21" s="1" t="s">
        <v>223</v>
      </c>
      <c r="F21" s="1" t="s">
        <v>291</v>
      </c>
      <c r="G21" s="2">
        <f t="shared" si="1"/>
        <v>250000</v>
      </c>
      <c r="H21" s="4">
        <f>+VLOOKUP(C21,Indicadores!B:C,2,FALSE)</f>
        <v>1</v>
      </c>
      <c r="I21" s="1" t="str">
        <f t="shared" si="2"/>
        <v>Cumple</v>
      </c>
      <c r="J21" s="4">
        <f>+VLOOKUP(C21,Indicadores!B:F,5,FALSE)</f>
        <v>1</v>
      </c>
      <c r="K21" s="1" t="str">
        <f t="shared" si="3"/>
        <v>Cumple</v>
      </c>
      <c r="L21" s="77">
        <f t="shared" si="4"/>
        <v>1</v>
      </c>
      <c r="M21" s="11">
        <f t="shared" si="5"/>
        <v>150000</v>
      </c>
      <c r="N21" s="4">
        <f>+VLOOKUP(C21,Indicadores!B:M,12,FALSE)</f>
        <v>1</v>
      </c>
      <c r="O21" s="1" t="str">
        <f t="shared" si="6"/>
        <v>Cumple</v>
      </c>
      <c r="P21" s="5">
        <f t="shared" si="7"/>
        <v>150000</v>
      </c>
      <c r="Q21" s="5">
        <f t="shared" si="8"/>
        <v>50000</v>
      </c>
      <c r="R21" s="84">
        <f>+IFERROR(VLOOKUP(C21,Indicadores!B:N,13,FALSE),0%)</f>
        <v>0.75218713562562833</v>
      </c>
      <c r="S21" s="5" t="str">
        <f t="shared" ref="S21:S30" si="15">IF(R21&gt;=80%,"Cumple","No Cumple")</f>
        <v>No Cumple</v>
      </c>
      <c r="T21" s="5">
        <f>IF(R21&gt;=70%,Q21*70%,IF(AND(R21&gt;=81%,R21&lt;=90%),Q21*80%,IF(AND(R21&gt;=91%,R21&lt;=95%),Q21*90%,IF(R21=96%,Q21*96%,IF(R21=97%,Q21*97%,IF(R21=98%,Q21*98%,IF(R21=99%,Q21*99%,IF(R21&gt;=100%,Q21,0))))))))</f>
        <v>35000</v>
      </c>
      <c r="U21" s="5">
        <f t="shared" si="11"/>
        <v>50000</v>
      </c>
      <c r="V21" s="4">
        <f>+VLOOKUP(C21,Indicadores!B:S,18,FALSE)</f>
        <v>1</v>
      </c>
      <c r="W21" s="50" t="str">
        <f t="shared" si="0"/>
        <v>Cumple</v>
      </c>
      <c r="X21" s="2">
        <f t="shared" si="12"/>
        <v>50000</v>
      </c>
      <c r="Y21" s="5" t="str">
        <f t="shared" si="13"/>
        <v>SI</v>
      </c>
      <c r="Z21" s="5">
        <f t="shared" si="14"/>
        <v>235000</v>
      </c>
      <c r="AA21" s="1"/>
    </row>
    <row r="22" spans="1:27" x14ac:dyDescent="0.25">
      <c r="B22" s="1" t="s">
        <v>215</v>
      </c>
      <c r="C22" s="1" t="s">
        <v>26</v>
      </c>
      <c r="D22" s="1" t="s">
        <v>306</v>
      </c>
      <c r="E22" s="1" t="s">
        <v>223</v>
      </c>
      <c r="F22" s="1" t="s">
        <v>292</v>
      </c>
      <c r="G22" s="2">
        <f t="shared" si="1"/>
        <v>250000</v>
      </c>
      <c r="H22" s="4">
        <f>+VLOOKUP(C22,Indicadores!B:C,2,FALSE)</f>
        <v>1</v>
      </c>
      <c r="I22" s="1" t="str">
        <f t="shared" si="2"/>
        <v>Cumple</v>
      </c>
      <c r="J22" s="4">
        <f>+VLOOKUP(C22,Indicadores!B:F,5,FALSE)</f>
        <v>1</v>
      </c>
      <c r="K22" s="1" t="str">
        <f t="shared" si="3"/>
        <v>Cumple</v>
      </c>
      <c r="L22" s="77">
        <f t="shared" si="4"/>
        <v>1</v>
      </c>
      <c r="M22" s="11">
        <f t="shared" si="5"/>
        <v>150000</v>
      </c>
      <c r="N22" s="4">
        <f>+VLOOKUP(C22,Indicadores!B:M,12,FALSE)</f>
        <v>1</v>
      </c>
      <c r="O22" s="1" t="str">
        <f t="shared" si="6"/>
        <v>Cumple</v>
      </c>
      <c r="P22" s="5">
        <f t="shared" si="7"/>
        <v>150000</v>
      </c>
      <c r="Q22" s="5">
        <f t="shared" si="8"/>
        <v>50000</v>
      </c>
      <c r="R22" s="84">
        <f>+IFERROR(VLOOKUP(C22,Indicadores!B:N,13,FALSE),0%)</f>
        <v>1.1783684512729431</v>
      </c>
      <c r="S22" s="5" t="str">
        <f t="shared" ref="S22:S29" si="16">IF(R22&gt;=70%,"Cumple","No Cumple")</f>
        <v>Cumple</v>
      </c>
      <c r="T22" s="5">
        <f t="shared" si="10"/>
        <v>50000</v>
      </c>
      <c r="U22" s="5">
        <f t="shared" si="11"/>
        <v>50000</v>
      </c>
      <c r="V22" s="4">
        <f>+VLOOKUP(C22,Indicadores!B:S,18,FALSE)</f>
        <v>1</v>
      </c>
      <c r="W22" s="50" t="str">
        <f t="shared" si="0"/>
        <v>Cumple</v>
      </c>
      <c r="X22" s="2">
        <f t="shared" si="12"/>
        <v>50000</v>
      </c>
      <c r="Y22" s="5" t="str">
        <f t="shared" si="13"/>
        <v>SI</v>
      </c>
      <c r="Z22" s="5">
        <f t="shared" si="14"/>
        <v>250000</v>
      </c>
      <c r="AA22" s="1"/>
    </row>
    <row r="23" spans="1:27" x14ac:dyDescent="0.25">
      <c r="B23" s="1" t="s">
        <v>215</v>
      </c>
      <c r="C23" s="1" t="s">
        <v>27</v>
      </c>
      <c r="D23" s="1" t="s">
        <v>306</v>
      </c>
      <c r="E23" s="1" t="s">
        <v>223</v>
      </c>
      <c r="F23" s="1" t="s">
        <v>292</v>
      </c>
      <c r="G23" s="2">
        <f t="shared" si="1"/>
        <v>250000</v>
      </c>
      <c r="H23" s="4">
        <f>+VLOOKUP(C23,Indicadores!B:C,2,FALSE)</f>
        <v>1</v>
      </c>
      <c r="I23" s="1" t="str">
        <f t="shared" si="2"/>
        <v>Cumple</v>
      </c>
      <c r="J23" s="4">
        <f>+VLOOKUP(C23,Indicadores!B:F,5,FALSE)</f>
        <v>1</v>
      </c>
      <c r="K23" s="1" t="str">
        <f t="shared" si="3"/>
        <v>Cumple</v>
      </c>
      <c r="L23" s="77">
        <f t="shared" si="4"/>
        <v>1</v>
      </c>
      <c r="M23" s="11">
        <f t="shared" si="5"/>
        <v>150000</v>
      </c>
      <c r="N23" s="4">
        <f>+VLOOKUP(C23,Indicadores!B:M,12,FALSE)</f>
        <v>0.875</v>
      </c>
      <c r="O23" s="1" t="str">
        <f t="shared" si="6"/>
        <v>Cumple</v>
      </c>
      <c r="P23" s="5">
        <f t="shared" si="7"/>
        <v>150000</v>
      </c>
      <c r="Q23" s="5">
        <f t="shared" si="8"/>
        <v>50000</v>
      </c>
      <c r="R23" s="84">
        <f>+IFERROR(VLOOKUP(C23,Indicadores!B:N,13,FALSE),0%)</f>
        <v>1.0265768906055284</v>
      </c>
      <c r="S23" s="5" t="str">
        <f t="shared" si="16"/>
        <v>Cumple</v>
      </c>
      <c r="T23" s="5">
        <f t="shared" si="10"/>
        <v>50000</v>
      </c>
      <c r="U23" s="5">
        <f t="shared" si="11"/>
        <v>50000</v>
      </c>
      <c r="V23" s="4">
        <f>+VLOOKUP(C23,Indicadores!B:S,18,FALSE)</f>
        <v>1</v>
      </c>
      <c r="W23" s="50" t="str">
        <f t="shared" si="0"/>
        <v>Cumple</v>
      </c>
      <c r="X23" s="2">
        <f t="shared" si="12"/>
        <v>50000</v>
      </c>
      <c r="Y23" s="5" t="str">
        <f t="shared" si="13"/>
        <v>SI</v>
      </c>
      <c r="Z23" s="5">
        <f t="shared" si="14"/>
        <v>250000</v>
      </c>
      <c r="AA23" s="1"/>
    </row>
    <row r="24" spans="1:27" x14ac:dyDescent="0.25">
      <c r="B24" s="1" t="s">
        <v>215</v>
      </c>
      <c r="C24" s="1" t="s">
        <v>28</v>
      </c>
      <c r="D24" s="1" t="s">
        <v>306</v>
      </c>
      <c r="E24" s="1" t="s">
        <v>223</v>
      </c>
      <c r="F24" s="1" t="s">
        <v>292</v>
      </c>
      <c r="G24" s="2">
        <f t="shared" si="1"/>
        <v>250000</v>
      </c>
      <c r="H24" s="4">
        <f>+VLOOKUP(C24,Indicadores!B:C,2,FALSE)</f>
        <v>1</v>
      </c>
      <c r="I24" s="1" t="str">
        <f t="shared" si="2"/>
        <v>Cumple</v>
      </c>
      <c r="J24" s="4">
        <f>+VLOOKUP(C24,Indicadores!B:F,5,FALSE)</f>
        <v>1</v>
      </c>
      <c r="K24" s="1" t="str">
        <f t="shared" si="3"/>
        <v>Cumple</v>
      </c>
      <c r="L24" s="77">
        <f t="shared" si="4"/>
        <v>1</v>
      </c>
      <c r="M24" s="11">
        <f t="shared" si="5"/>
        <v>150000</v>
      </c>
      <c r="N24" s="4">
        <f>+VLOOKUP(C24,Indicadores!B:M,12,FALSE)</f>
        <v>0.97916666666666663</v>
      </c>
      <c r="O24" s="1" t="str">
        <f t="shared" si="6"/>
        <v>Cumple</v>
      </c>
      <c r="P24" s="5">
        <f t="shared" si="7"/>
        <v>150000</v>
      </c>
      <c r="Q24" s="5">
        <f t="shared" si="8"/>
        <v>50000</v>
      </c>
      <c r="R24" s="84">
        <f>+IFERROR(VLOOKUP(C24,Indicadores!B:N,13,FALSE),0%)</f>
        <v>0.93665487234488465</v>
      </c>
      <c r="S24" s="5" t="str">
        <f t="shared" si="16"/>
        <v>Cumple</v>
      </c>
      <c r="T24" s="5">
        <f t="shared" si="10"/>
        <v>45000</v>
      </c>
      <c r="U24" s="5">
        <f t="shared" si="11"/>
        <v>50000</v>
      </c>
      <c r="V24" s="4">
        <f>+VLOOKUP(C24,Indicadores!B:S,18,FALSE)</f>
        <v>1</v>
      </c>
      <c r="W24" s="50" t="str">
        <f t="shared" si="0"/>
        <v>Cumple</v>
      </c>
      <c r="X24" s="2">
        <f t="shared" si="12"/>
        <v>50000</v>
      </c>
      <c r="Y24" s="5" t="str">
        <f t="shared" si="13"/>
        <v>SI</v>
      </c>
      <c r="Z24" s="5">
        <f t="shared" si="14"/>
        <v>245000</v>
      </c>
      <c r="AA24" s="1"/>
    </row>
    <row r="25" spans="1:27" x14ac:dyDescent="0.25">
      <c r="B25" s="1" t="s">
        <v>215</v>
      </c>
      <c r="C25" s="1" t="s">
        <v>29</v>
      </c>
      <c r="D25" s="1" t="s">
        <v>305</v>
      </c>
      <c r="E25" s="1" t="s">
        <v>223</v>
      </c>
      <c r="F25" s="1" t="s">
        <v>292</v>
      </c>
      <c r="G25" s="2">
        <f t="shared" si="1"/>
        <v>250000</v>
      </c>
      <c r="H25" s="4">
        <f>+VLOOKUP(C25,Indicadores!B:C,2,FALSE)</f>
        <v>1</v>
      </c>
      <c r="I25" s="1" t="str">
        <f t="shared" si="2"/>
        <v>Cumple</v>
      </c>
      <c r="J25" s="4">
        <f>+VLOOKUP(C25,Indicadores!B:F,5,FALSE)</f>
        <v>1</v>
      </c>
      <c r="K25" s="1" t="str">
        <f t="shared" si="3"/>
        <v>Cumple</v>
      </c>
      <c r="L25" s="77">
        <f t="shared" si="4"/>
        <v>1</v>
      </c>
      <c r="M25" s="11">
        <f t="shared" si="5"/>
        <v>150000</v>
      </c>
      <c r="N25" s="4">
        <f>+VLOOKUP(C25,Indicadores!B:M,12,FALSE)</f>
        <v>1</v>
      </c>
      <c r="O25" s="1" t="str">
        <f t="shared" si="6"/>
        <v>Cumple</v>
      </c>
      <c r="P25" s="5">
        <f t="shared" si="7"/>
        <v>150000</v>
      </c>
      <c r="Q25" s="5">
        <f t="shared" si="8"/>
        <v>50000</v>
      </c>
      <c r="R25" s="84">
        <f>+IFERROR(VLOOKUP(C25,Indicadores!B:N,13,FALSE),0%)</f>
        <v>1.0490626894106316</v>
      </c>
      <c r="S25" s="5" t="str">
        <f t="shared" si="16"/>
        <v>Cumple</v>
      </c>
      <c r="T25" s="5">
        <f t="shared" si="10"/>
        <v>50000</v>
      </c>
      <c r="U25" s="5">
        <f t="shared" si="11"/>
        <v>50000</v>
      </c>
      <c r="V25" s="4">
        <f>+VLOOKUP(C25,Indicadores!B:S,18,FALSE)</f>
        <v>1</v>
      </c>
      <c r="W25" s="50" t="str">
        <f t="shared" si="0"/>
        <v>Cumple</v>
      </c>
      <c r="X25" s="2">
        <f t="shared" si="12"/>
        <v>50000</v>
      </c>
      <c r="Y25" s="5" t="str">
        <f t="shared" si="13"/>
        <v>SI</v>
      </c>
      <c r="Z25" s="5">
        <f t="shared" si="14"/>
        <v>250000</v>
      </c>
      <c r="AA25" s="1"/>
    </row>
    <row r="26" spans="1:27" x14ac:dyDescent="0.25">
      <c r="B26" s="1" t="s">
        <v>215</v>
      </c>
      <c r="C26" s="1" t="s">
        <v>30</v>
      </c>
      <c r="D26" s="1" t="s">
        <v>306</v>
      </c>
      <c r="E26" s="1" t="s">
        <v>223</v>
      </c>
      <c r="F26" s="1" t="s">
        <v>292</v>
      </c>
      <c r="G26" s="2">
        <f t="shared" si="1"/>
        <v>250000</v>
      </c>
      <c r="H26" s="4">
        <f>+VLOOKUP(C26,Indicadores!B:C,2,FALSE)</f>
        <v>1</v>
      </c>
      <c r="I26" s="1" t="str">
        <f t="shared" si="2"/>
        <v>Cumple</v>
      </c>
      <c r="J26" s="4">
        <f>+VLOOKUP(C26,Indicadores!B:F,5,FALSE)</f>
        <v>1</v>
      </c>
      <c r="K26" s="1" t="str">
        <f t="shared" si="3"/>
        <v>Cumple</v>
      </c>
      <c r="L26" s="77">
        <f t="shared" si="4"/>
        <v>1</v>
      </c>
      <c r="M26" s="11">
        <f t="shared" si="5"/>
        <v>150000</v>
      </c>
      <c r="N26" s="4">
        <f>+VLOOKUP(C26,Indicadores!B:M,12,FALSE)</f>
        <v>0.97777777777777786</v>
      </c>
      <c r="O26" s="1" t="str">
        <f t="shared" si="6"/>
        <v>Cumple</v>
      </c>
      <c r="P26" s="5">
        <f t="shared" si="7"/>
        <v>150000</v>
      </c>
      <c r="Q26" s="5">
        <f t="shared" si="8"/>
        <v>50000</v>
      </c>
      <c r="R26" s="84">
        <f>+IFERROR(VLOOKUP(C26,Indicadores!B:N,13,FALSE),0%)</f>
        <v>1.113367350715752</v>
      </c>
      <c r="S26" s="5" t="str">
        <f t="shared" si="16"/>
        <v>Cumple</v>
      </c>
      <c r="T26" s="5">
        <f t="shared" si="10"/>
        <v>50000</v>
      </c>
      <c r="U26" s="5">
        <f t="shared" si="11"/>
        <v>50000</v>
      </c>
      <c r="V26" s="4">
        <f>+VLOOKUP(C26,Indicadores!B:S,18,FALSE)</f>
        <v>0.5</v>
      </c>
      <c r="W26" s="50" t="str">
        <f t="shared" si="0"/>
        <v>No Cumple</v>
      </c>
      <c r="X26" s="2">
        <f t="shared" si="12"/>
        <v>0</v>
      </c>
      <c r="Y26" s="5" t="str">
        <f t="shared" si="13"/>
        <v>SI</v>
      </c>
      <c r="Z26" s="5">
        <f t="shared" si="14"/>
        <v>200000</v>
      </c>
      <c r="AA26" s="1"/>
    </row>
    <row r="27" spans="1:27" x14ac:dyDescent="0.25">
      <c r="B27" s="1" t="s">
        <v>215</v>
      </c>
      <c r="C27" s="1" t="s">
        <v>31</v>
      </c>
      <c r="D27" s="1" t="s">
        <v>306</v>
      </c>
      <c r="E27" s="1" t="s">
        <v>223</v>
      </c>
      <c r="F27" s="1" t="s">
        <v>292</v>
      </c>
      <c r="G27" s="2">
        <f t="shared" si="1"/>
        <v>250000</v>
      </c>
      <c r="H27" s="4">
        <f>+VLOOKUP(C27,Indicadores!B:C,2,FALSE)</f>
        <v>1</v>
      </c>
      <c r="I27" s="1" t="str">
        <f t="shared" si="2"/>
        <v>Cumple</v>
      </c>
      <c r="J27" s="4">
        <f>+VLOOKUP(C27,Indicadores!B:F,5,FALSE)</f>
        <v>1</v>
      </c>
      <c r="K27" s="1" t="str">
        <f t="shared" si="3"/>
        <v>Cumple</v>
      </c>
      <c r="L27" s="77">
        <f t="shared" si="4"/>
        <v>1</v>
      </c>
      <c r="M27" s="11">
        <f t="shared" si="5"/>
        <v>150000</v>
      </c>
      <c r="N27" s="4">
        <f>+VLOOKUP(C27,Indicadores!B:M,12,FALSE)</f>
        <v>1</v>
      </c>
      <c r="O27" s="1" t="str">
        <f t="shared" si="6"/>
        <v>Cumple</v>
      </c>
      <c r="P27" s="5">
        <f t="shared" si="7"/>
        <v>150000</v>
      </c>
      <c r="Q27" s="5">
        <f t="shared" si="8"/>
        <v>50000</v>
      </c>
      <c r="R27" s="84">
        <v>0.9</v>
      </c>
      <c r="S27" s="5" t="str">
        <f t="shared" si="16"/>
        <v>Cumple</v>
      </c>
      <c r="T27" s="5">
        <f>IF(R27=80%,Q27*70%,IF(AND(R27&gt;=81%,R27&lt;=90%),Q27*80%,IF(AND(R27&gt;=91%,R27&lt;=95%),Q27*90%,IF(R27=96%,Q27*96%,IF(R27=97%,Q27*97%,IF(R27&gt;=98%,Q27*98%,IF(R27=99%,Q27*99%,IF(R27&gt;=100%,Q27,0))))))))</f>
        <v>40000</v>
      </c>
      <c r="U27" s="5">
        <f t="shared" si="11"/>
        <v>50000</v>
      </c>
      <c r="V27" s="4">
        <f>+VLOOKUP(C27,Indicadores!B:S,18,FALSE)</f>
        <v>0.5</v>
      </c>
      <c r="W27" s="50" t="str">
        <f t="shared" si="0"/>
        <v>No Cumple</v>
      </c>
      <c r="X27" s="2">
        <f t="shared" si="12"/>
        <v>0</v>
      </c>
      <c r="Y27" s="5" t="str">
        <f t="shared" si="13"/>
        <v>SI</v>
      </c>
      <c r="Z27" s="5">
        <f t="shared" si="14"/>
        <v>190000</v>
      </c>
      <c r="AA27" s="1"/>
    </row>
    <row r="28" spans="1:27" x14ac:dyDescent="0.25">
      <c r="B28" s="1" t="s">
        <v>215</v>
      </c>
      <c r="C28" s="1" t="s">
        <v>32</v>
      </c>
      <c r="D28" s="1" t="s">
        <v>306</v>
      </c>
      <c r="E28" s="1" t="s">
        <v>223</v>
      </c>
      <c r="F28" s="1" t="s">
        <v>292</v>
      </c>
      <c r="G28" s="2">
        <f t="shared" si="1"/>
        <v>250000</v>
      </c>
      <c r="H28" s="4">
        <f>+VLOOKUP(C28,Indicadores!B:C,2,FALSE)</f>
        <v>0.94444444444444431</v>
      </c>
      <c r="I28" s="1" t="str">
        <f t="shared" si="2"/>
        <v>Cumple</v>
      </c>
      <c r="J28" s="4">
        <f>+VLOOKUP(C28,Indicadores!B:F,5,FALSE)</f>
        <v>1</v>
      </c>
      <c r="K28" s="1" t="str">
        <f t="shared" si="3"/>
        <v>Cumple</v>
      </c>
      <c r="L28" s="77">
        <f t="shared" si="4"/>
        <v>0.9722222222222221</v>
      </c>
      <c r="M28" s="11">
        <f t="shared" si="5"/>
        <v>150000</v>
      </c>
      <c r="N28" s="4">
        <f>+VLOOKUP(C28,Indicadores!B:M,12,FALSE)</f>
        <v>0.98148148148148151</v>
      </c>
      <c r="O28" s="1" t="str">
        <f t="shared" si="6"/>
        <v>Cumple</v>
      </c>
      <c r="P28" s="5">
        <f t="shared" si="7"/>
        <v>150000</v>
      </c>
      <c r="Q28" s="5">
        <f t="shared" si="8"/>
        <v>50000</v>
      </c>
      <c r="R28" s="84">
        <f>+IFERROR(VLOOKUP(C28,Indicadores!B:N,13,FALSE),0%)</f>
        <v>1.0407577141295217</v>
      </c>
      <c r="S28" s="5" t="str">
        <f t="shared" si="16"/>
        <v>Cumple</v>
      </c>
      <c r="T28" s="5">
        <f t="shared" si="10"/>
        <v>50000</v>
      </c>
      <c r="U28" s="5">
        <f t="shared" si="11"/>
        <v>50000</v>
      </c>
      <c r="V28" s="4">
        <f>+VLOOKUP(C28,Indicadores!B:S,18,FALSE)</f>
        <v>0.97222222222222221</v>
      </c>
      <c r="W28" s="50" t="str">
        <f t="shared" si="0"/>
        <v>No Cumple</v>
      </c>
      <c r="X28" s="2">
        <f t="shared" si="12"/>
        <v>0</v>
      </c>
      <c r="Y28" s="5" t="str">
        <f t="shared" si="13"/>
        <v>SI</v>
      </c>
      <c r="Z28" s="5">
        <f t="shared" si="14"/>
        <v>200000</v>
      </c>
      <c r="AA28" s="1"/>
    </row>
    <row r="29" spans="1:27" x14ac:dyDescent="0.25">
      <c r="B29" s="1" t="s">
        <v>215</v>
      </c>
      <c r="C29" s="1" t="s">
        <v>33</v>
      </c>
      <c r="D29" s="1" t="s">
        <v>306</v>
      </c>
      <c r="E29" s="1" t="s">
        <v>223</v>
      </c>
      <c r="F29" s="1" t="s">
        <v>292</v>
      </c>
      <c r="G29" s="2">
        <f t="shared" si="1"/>
        <v>250000</v>
      </c>
      <c r="H29" s="4">
        <f>+VLOOKUP(C29,Indicadores!B:C,2,FALSE)</f>
        <v>1</v>
      </c>
      <c r="I29" s="1" t="str">
        <f t="shared" si="2"/>
        <v>Cumple</v>
      </c>
      <c r="J29" s="4">
        <f>+VLOOKUP(C29,Indicadores!B:F,5,FALSE)</f>
        <v>1</v>
      </c>
      <c r="K29" s="1" t="str">
        <f t="shared" si="3"/>
        <v>Cumple</v>
      </c>
      <c r="L29" s="77">
        <f t="shared" si="4"/>
        <v>1</v>
      </c>
      <c r="M29" s="11">
        <f t="shared" si="5"/>
        <v>150000</v>
      </c>
      <c r="N29" s="4">
        <f>+VLOOKUP(C29,Indicadores!B:M,12,FALSE)</f>
        <v>1</v>
      </c>
      <c r="O29" s="1" t="str">
        <f t="shared" si="6"/>
        <v>Cumple</v>
      </c>
      <c r="P29" s="5">
        <f t="shared" si="7"/>
        <v>150000</v>
      </c>
      <c r="Q29" s="5">
        <f t="shared" si="8"/>
        <v>50000</v>
      </c>
      <c r="R29" s="84">
        <f>+IFERROR(VLOOKUP(C29,Indicadores!B:N,13,FALSE),0%)</f>
        <v>0.98077536531127651</v>
      </c>
      <c r="S29" s="5" t="str">
        <f t="shared" si="16"/>
        <v>Cumple</v>
      </c>
      <c r="T29" s="5">
        <f>IF(R29=80%,Q29*70%,IF(AND(R29&gt;=81%,R29&lt;=90%),Q29*80%,IF(AND(R29&gt;=91%,R29&lt;=95%),Q29*90%,IF(R29=96%,Q29*96%,IF(R29=97%,Q29*97%,IF(R29&gt;=98%,Q29*98%,IF(R29=99%,Q29*99%,IF(R29&gt;=100%,Q29,0))))))))</f>
        <v>49000</v>
      </c>
      <c r="U29" s="5">
        <f t="shared" si="11"/>
        <v>50000</v>
      </c>
      <c r="V29" s="4">
        <f>+VLOOKUP(C29,Indicadores!B:S,18,FALSE)</f>
        <v>1</v>
      </c>
      <c r="W29" s="50" t="str">
        <f t="shared" si="0"/>
        <v>Cumple</v>
      </c>
      <c r="X29" s="2">
        <f t="shared" si="12"/>
        <v>50000</v>
      </c>
      <c r="Y29" s="5" t="str">
        <f t="shared" si="13"/>
        <v>SI</v>
      </c>
      <c r="Z29" s="5">
        <f t="shared" si="14"/>
        <v>249000</v>
      </c>
      <c r="AA29" s="1"/>
    </row>
    <row r="30" spans="1:27" x14ac:dyDescent="0.25">
      <c r="B30" s="1" t="s">
        <v>215</v>
      </c>
      <c r="C30" s="1" t="s">
        <v>34</v>
      </c>
      <c r="D30" s="1" t="s">
        <v>306</v>
      </c>
      <c r="E30" s="1" t="s">
        <v>223</v>
      </c>
      <c r="F30" s="1" t="s">
        <v>292</v>
      </c>
      <c r="G30" s="2">
        <f t="shared" si="1"/>
        <v>250000</v>
      </c>
      <c r="H30" s="4">
        <f>+VLOOKUP(C30,Indicadores!B:C,2,FALSE)</f>
        <v>1</v>
      </c>
      <c r="I30" s="1" t="str">
        <f t="shared" si="2"/>
        <v>Cumple</v>
      </c>
      <c r="J30" s="4">
        <f>+VLOOKUP(C30,Indicadores!B:F,5,FALSE)</f>
        <v>1</v>
      </c>
      <c r="K30" s="1" t="str">
        <f t="shared" si="3"/>
        <v>Cumple</v>
      </c>
      <c r="L30" s="77">
        <f t="shared" si="4"/>
        <v>1</v>
      </c>
      <c r="M30" s="11">
        <f t="shared" si="5"/>
        <v>150000</v>
      </c>
      <c r="N30" s="4">
        <f>+VLOOKUP(C30,Indicadores!B:M,12,FALSE)</f>
        <v>1</v>
      </c>
      <c r="O30" s="1" t="str">
        <f t="shared" si="6"/>
        <v>Cumple</v>
      </c>
      <c r="P30" s="5">
        <f t="shared" si="7"/>
        <v>150000</v>
      </c>
      <c r="Q30" s="5">
        <f t="shared" si="8"/>
        <v>50000</v>
      </c>
      <c r="R30" s="84">
        <f>+IFERROR(VLOOKUP(C30,Indicadores!B:N,13,FALSE),0%)</f>
        <v>0.63770592262535175</v>
      </c>
      <c r="S30" s="5" t="str">
        <f t="shared" si="15"/>
        <v>No Cumple</v>
      </c>
      <c r="T30" s="5">
        <f>IF(R30&gt;=70%,Q30*70%,IF(AND(R30&gt;=81%,R30&lt;=90%),Q30*80%,IF(AND(R30&gt;=91%,R30&lt;=95%),Q30*90%,IF(R30=96%,Q30*96%,IF(R30=97%,Q30*97%,IF(R30=98%,Q30*98%,IF(R30=99%,Q30*99%,IF(R30&gt;=100%,Q30,0))))))))</f>
        <v>0</v>
      </c>
      <c r="U30" s="5">
        <f t="shared" si="11"/>
        <v>50000</v>
      </c>
      <c r="V30" s="4">
        <f>+VLOOKUP(C30,Indicadores!B:S,18,FALSE)</f>
        <v>0.5</v>
      </c>
      <c r="W30" s="50" t="str">
        <f t="shared" si="0"/>
        <v>No Cumple</v>
      </c>
      <c r="X30" s="2">
        <f t="shared" si="12"/>
        <v>0</v>
      </c>
      <c r="Y30" s="5" t="str">
        <f t="shared" si="13"/>
        <v>SI</v>
      </c>
      <c r="Z30" s="5">
        <f t="shared" si="14"/>
        <v>150000</v>
      </c>
      <c r="AA30" s="1"/>
    </row>
    <row r="31" spans="1:27" x14ac:dyDescent="0.25">
      <c r="B31" s="1" t="s">
        <v>215</v>
      </c>
      <c r="C31" s="1" t="s">
        <v>35</v>
      </c>
      <c r="D31" s="1" t="s">
        <v>306</v>
      </c>
      <c r="E31" s="1" t="s">
        <v>223</v>
      </c>
      <c r="F31" s="1" t="s">
        <v>292</v>
      </c>
      <c r="G31" s="2">
        <f t="shared" si="1"/>
        <v>250000</v>
      </c>
      <c r="H31" s="4">
        <f>+VLOOKUP(C31,Indicadores!B:C,2,FALSE)</f>
        <v>1</v>
      </c>
      <c r="I31" s="1" t="str">
        <f t="shared" si="2"/>
        <v>Cumple</v>
      </c>
      <c r="J31" s="4">
        <f>+VLOOKUP(C31,Indicadores!B:F,5,FALSE)</f>
        <v>1</v>
      </c>
      <c r="K31" s="1" t="str">
        <f t="shared" si="3"/>
        <v>Cumple</v>
      </c>
      <c r="L31" s="77">
        <f t="shared" si="4"/>
        <v>1</v>
      </c>
      <c r="M31" s="11">
        <f t="shared" si="5"/>
        <v>150000</v>
      </c>
      <c r="N31" s="4">
        <f>+VLOOKUP(C31,Indicadores!B:M,12,FALSE)</f>
        <v>1</v>
      </c>
      <c r="O31" s="1" t="str">
        <f t="shared" si="6"/>
        <v>Cumple</v>
      </c>
      <c r="P31" s="5">
        <f t="shared" si="7"/>
        <v>150000</v>
      </c>
      <c r="Q31" s="5">
        <f t="shared" si="8"/>
        <v>50000</v>
      </c>
      <c r="R31" s="84">
        <f>+IFERROR(VLOOKUP(C31,Indicadores!B:N,13,FALSE),0%)</f>
        <v>0.92267606584674922</v>
      </c>
      <c r="S31" s="5" t="str">
        <f t="shared" ref="S31:S76" si="17">IF(R31&gt;=70%,"Cumple","No Cumple")</f>
        <v>Cumple</v>
      </c>
      <c r="T31" s="5">
        <f t="shared" si="10"/>
        <v>45000</v>
      </c>
      <c r="U31" s="5">
        <f t="shared" si="11"/>
        <v>50000</v>
      </c>
      <c r="V31" s="4">
        <f>+VLOOKUP(C31,Indicadores!B:S,18,FALSE)</f>
        <v>1</v>
      </c>
      <c r="W31" s="50" t="str">
        <f t="shared" si="0"/>
        <v>Cumple</v>
      </c>
      <c r="X31" s="2">
        <f t="shared" si="12"/>
        <v>50000</v>
      </c>
      <c r="Y31" s="5" t="str">
        <f t="shared" si="13"/>
        <v>SI</v>
      </c>
      <c r="Z31" s="5">
        <f t="shared" si="14"/>
        <v>245000</v>
      </c>
      <c r="AA31" s="1"/>
    </row>
    <row r="32" spans="1:27" x14ac:dyDescent="0.25">
      <c r="B32" s="1" t="s">
        <v>215</v>
      </c>
      <c r="C32" s="1" t="s">
        <v>36</v>
      </c>
      <c r="D32" s="1" t="s">
        <v>306</v>
      </c>
      <c r="E32" s="1" t="s">
        <v>223</v>
      </c>
      <c r="F32" s="1" t="s">
        <v>292</v>
      </c>
      <c r="G32" s="2">
        <f t="shared" si="1"/>
        <v>250000</v>
      </c>
      <c r="H32" s="4">
        <f>+VLOOKUP(C32,Indicadores!B:C,2,FALSE)</f>
        <v>1</v>
      </c>
      <c r="I32" s="1" t="str">
        <f t="shared" si="2"/>
        <v>Cumple</v>
      </c>
      <c r="J32" s="4">
        <f>+VLOOKUP(C32,Indicadores!B:F,5,FALSE)</f>
        <v>1</v>
      </c>
      <c r="K32" s="1" t="str">
        <f t="shared" si="3"/>
        <v>Cumple</v>
      </c>
      <c r="L32" s="77">
        <f t="shared" si="4"/>
        <v>1</v>
      </c>
      <c r="M32" s="11">
        <f t="shared" si="5"/>
        <v>150000</v>
      </c>
      <c r="N32" s="4">
        <f>+VLOOKUP(C32,Indicadores!B:M,12,FALSE)</f>
        <v>1</v>
      </c>
      <c r="O32" s="1" t="str">
        <f t="shared" si="6"/>
        <v>Cumple</v>
      </c>
      <c r="P32" s="5">
        <f t="shared" si="7"/>
        <v>150000</v>
      </c>
      <c r="Q32" s="5">
        <f t="shared" si="8"/>
        <v>50000</v>
      </c>
      <c r="R32" s="84">
        <f>+IFERROR(VLOOKUP(C32,Indicadores!B:N,13,FALSE),0%)</f>
        <v>1.0741337092686345</v>
      </c>
      <c r="S32" s="5" t="str">
        <f t="shared" si="17"/>
        <v>Cumple</v>
      </c>
      <c r="T32" s="5">
        <f t="shared" si="10"/>
        <v>50000</v>
      </c>
      <c r="U32" s="5">
        <f t="shared" si="11"/>
        <v>50000</v>
      </c>
      <c r="V32" s="4">
        <f>+VLOOKUP(C32,Indicadores!B:S,18,FALSE)</f>
        <v>1</v>
      </c>
      <c r="W32" s="50" t="str">
        <f t="shared" si="0"/>
        <v>Cumple</v>
      </c>
      <c r="X32" s="2">
        <f t="shared" si="12"/>
        <v>50000</v>
      </c>
      <c r="Y32" s="5" t="str">
        <f t="shared" si="13"/>
        <v>SI</v>
      </c>
      <c r="Z32" s="5">
        <f t="shared" si="14"/>
        <v>250000</v>
      </c>
      <c r="AA32" s="1"/>
    </row>
    <row r="33" spans="2:27" x14ac:dyDescent="0.25">
      <c r="B33" s="1" t="s">
        <v>215</v>
      </c>
      <c r="C33" s="1" t="s">
        <v>37</v>
      </c>
      <c r="D33" s="1" t="s">
        <v>306</v>
      </c>
      <c r="E33" s="1" t="s">
        <v>223</v>
      </c>
      <c r="F33" s="1" t="s">
        <v>292</v>
      </c>
      <c r="G33" s="2">
        <f t="shared" si="1"/>
        <v>250000</v>
      </c>
      <c r="H33" s="4">
        <f>+VLOOKUP(C33,Indicadores!B:C,2,FALSE)</f>
        <v>1</v>
      </c>
      <c r="I33" s="1" t="str">
        <f t="shared" si="2"/>
        <v>Cumple</v>
      </c>
      <c r="J33" s="4">
        <f>+VLOOKUP(C33,Indicadores!B:F,5,FALSE)</f>
        <v>1</v>
      </c>
      <c r="K33" s="1" t="str">
        <f t="shared" si="3"/>
        <v>Cumple</v>
      </c>
      <c r="L33" s="77">
        <f t="shared" si="4"/>
        <v>1</v>
      </c>
      <c r="M33" s="11">
        <f t="shared" si="5"/>
        <v>150000</v>
      </c>
      <c r="N33" s="4">
        <f>+VLOOKUP(C33,Indicadores!B:M,12,FALSE)</f>
        <v>1</v>
      </c>
      <c r="O33" s="1" t="str">
        <f t="shared" si="6"/>
        <v>Cumple</v>
      </c>
      <c r="P33" s="5">
        <f t="shared" si="7"/>
        <v>150000</v>
      </c>
      <c r="Q33" s="5">
        <f t="shared" si="8"/>
        <v>50000</v>
      </c>
      <c r="R33" s="84">
        <f>+IFERROR(VLOOKUP(C33,Indicadores!B:N,13,FALSE),0%)</f>
        <v>1.1144580009126137</v>
      </c>
      <c r="S33" s="5" t="str">
        <f t="shared" si="17"/>
        <v>Cumple</v>
      </c>
      <c r="T33" s="5">
        <f t="shared" si="10"/>
        <v>50000</v>
      </c>
      <c r="U33" s="5">
        <f t="shared" si="11"/>
        <v>50000</v>
      </c>
      <c r="V33" s="4">
        <f>+VLOOKUP(C33,Indicadores!B:S,18,FALSE)</f>
        <v>1</v>
      </c>
      <c r="W33" s="50" t="str">
        <f t="shared" si="0"/>
        <v>Cumple</v>
      </c>
      <c r="X33" s="2">
        <f t="shared" si="12"/>
        <v>50000</v>
      </c>
      <c r="Y33" s="5" t="str">
        <f t="shared" si="13"/>
        <v>SI</v>
      </c>
      <c r="Z33" s="5">
        <f t="shared" si="14"/>
        <v>250000</v>
      </c>
      <c r="AA33" s="1"/>
    </row>
    <row r="34" spans="2:27" x14ac:dyDescent="0.25">
      <c r="B34" s="1" t="s">
        <v>215</v>
      </c>
      <c r="C34" s="1" t="s">
        <v>38</v>
      </c>
      <c r="D34" s="1" t="s">
        <v>306</v>
      </c>
      <c r="E34" s="1" t="s">
        <v>223</v>
      </c>
      <c r="F34" s="1" t="s">
        <v>292</v>
      </c>
      <c r="G34" s="2">
        <f t="shared" si="1"/>
        <v>250000</v>
      </c>
      <c r="H34" s="4">
        <f>+VLOOKUP(C34,Indicadores!B:C,2,FALSE)</f>
        <v>1</v>
      </c>
      <c r="I34" s="1" t="str">
        <f t="shared" si="2"/>
        <v>Cumple</v>
      </c>
      <c r="J34" s="4">
        <f>+VLOOKUP(C34,Indicadores!B:F,5,FALSE)</f>
        <v>1</v>
      </c>
      <c r="K34" s="1" t="str">
        <f t="shared" si="3"/>
        <v>Cumple</v>
      </c>
      <c r="L34" s="77">
        <f t="shared" si="4"/>
        <v>1</v>
      </c>
      <c r="M34" s="11">
        <f t="shared" si="5"/>
        <v>150000</v>
      </c>
      <c r="N34" s="4">
        <f>+VLOOKUP(C34,Indicadores!B:M,12,FALSE)</f>
        <v>1</v>
      </c>
      <c r="O34" s="1" t="str">
        <f t="shared" si="6"/>
        <v>Cumple</v>
      </c>
      <c r="P34" s="5">
        <f t="shared" si="7"/>
        <v>150000</v>
      </c>
      <c r="Q34" s="5">
        <f t="shared" si="8"/>
        <v>50000</v>
      </c>
      <c r="R34" s="84">
        <f>+IFERROR(VLOOKUP(C34,Indicadores!B:N,13,FALSE),0%)</f>
        <v>0.97915641065613335</v>
      </c>
      <c r="S34" s="5" t="str">
        <f t="shared" si="17"/>
        <v>Cumple</v>
      </c>
      <c r="T34" s="5">
        <f>IF(R34=80%,Q34*70%,IF(AND(R34&gt;=81%,R34&lt;=90%),Q34*80%,IF(AND(R34&gt;=91%,R34&lt;=95%),Q34*90%,IF(R34=96%,Q34*96%,IF(R34&gt;=97%,Q34*97%,IF(R34&gt;=98%,Q34*98%,IF(R34=99%,Q34*99%,IF(R34&gt;=100%,Q34,0))))))))</f>
        <v>48500</v>
      </c>
      <c r="U34" s="5">
        <f t="shared" si="11"/>
        <v>50000</v>
      </c>
      <c r="V34" s="4">
        <f>+VLOOKUP(C34,Indicadores!B:S,18,FALSE)</f>
        <v>1</v>
      </c>
      <c r="W34" s="50" t="str">
        <f t="shared" si="0"/>
        <v>Cumple</v>
      </c>
      <c r="X34" s="2">
        <f t="shared" si="12"/>
        <v>50000</v>
      </c>
      <c r="Y34" s="5" t="str">
        <f t="shared" si="13"/>
        <v>SI</v>
      </c>
      <c r="Z34" s="5">
        <f t="shared" si="14"/>
        <v>248500</v>
      </c>
      <c r="AA34" s="1"/>
    </row>
    <row r="35" spans="2:27" x14ac:dyDescent="0.25">
      <c r="B35" s="1" t="s">
        <v>215</v>
      </c>
      <c r="C35" s="1" t="s">
        <v>39</v>
      </c>
      <c r="D35" s="1" t="s">
        <v>306</v>
      </c>
      <c r="E35" s="1" t="s">
        <v>223</v>
      </c>
      <c r="F35" s="1" t="s">
        <v>292</v>
      </c>
      <c r="G35" s="2">
        <f t="shared" si="1"/>
        <v>250000</v>
      </c>
      <c r="H35" s="4">
        <f>+VLOOKUP(C35,Indicadores!B:C,2,FALSE)</f>
        <v>1</v>
      </c>
      <c r="I35" s="1" t="str">
        <f t="shared" si="2"/>
        <v>Cumple</v>
      </c>
      <c r="J35" s="4">
        <f>+VLOOKUP(C35,Indicadores!B:F,5,FALSE)</f>
        <v>1</v>
      </c>
      <c r="K35" s="1" t="str">
        <f t="shared" si="3"/>
        <v>Cumple</v>
      </c>
      <c r="L35" s="77">
        <f t="shared" si="4"/>
        <v>1</v>
      </c>
      <c r="M35" s="11">
        <f t="shared" si="5"/>
        <v>150000</v>
      </c>
      <c r="N35" s="4">
        <f>+VLOOKUP(C35,Indicadores!B:M,12,FALSE)</f>
        <v>1</v>
      </c>
      <c r="O35" s="1" t="str">
        <f t="shared" si="6"/>
        <v>Cumple</v>
      </c>
      <c r="P35" s="5">
        <f t="shared" si="7"/>
        <v>150000</v>
      </c>
      <c r="Q35" s="5">
        <f t="shared" si="8"/>
        <v>50000</v>
      </c>
      <c r="R35" s="84">
        <f>+IFERROR(VLOOKUP(C35,Indicadores!B:N,13,FALSE),0%)</f>
        <v>1.0518476585015</v>
      </c>
      <c r="S35" s="5" t="str">
        <f t="shared" si="17"/>
        <v>Cumple</v>
      </c>
      <c r="T35" s="5">
        <f t="shared" si="10"/>
        <v>50000</v>
      </c>
      <c r="U35" s="5">
        <f t="shared" si="11"/>
        <v>50000</v>
      </c>
      <c r="V35" s="4">
        <f>+VLOOKUP(C35,Indicadores!B:S,18,FALSE)</f>
        <v>0.5</v>
      </c>
      <c r="W35" s="50" t="str">
        <f t="shared" si="0"/>
        <v>No Cumple</v>
      </c>
      <c r="X35" s="2">
        <f t="shared" si="12"/>
        <v>0</v>
      </c>
      <c r="Y35" s="5" t="str">
        <f t="shared" si="13"/>
        <v>SI</v>
      </c>
      <c r="Z35" s="5">
        <f t="shared" si="14"/>
        <v>200000</v>
      </c>
      <c r="AA35" s="1"/>
    </row>
    <row r="36" spans="2:27" x14ac:dyDescent="0.25">
      <c r="B36" s="1" t="s">
        <v>215</v>
      </c>
      <c r="C36" s="1" t="s">
        <v>40</v>
      </c>
      <c r="D36" s="1" t="s">
        <v>306</v>
      </c>
      <c r="E36" s="1" t="s">
        <v>223</v>
      </c>
      <c r="F36" s="1" t="s">
        <v>292</v>
      </c>
      <c r="G36" s="2">
        <f t="shared" si="1"/>
        <v>250000</v>
      </c>
      <c r="H36" s="4">
        <f>+VLOOKUP(C36,Indicadores!B:C,2,FALSE)</f>
        <v>1</v>
      </c>
      <c r="I36" s="1" t="str">
        <f t="shared" si="2"/>
        <v>Cumple</v>
      </c>
      <c r="J36" s="4">
        <f>+VLOOKUP(C36,Indicadores!B:F,5,FALSE)</f>
        <v>1</v>
      </c>
      <c r="K36" s="1" t="str">
        <f t="shared" si="3"/>
        <v>Cumple</v>
      </c>
      <c r="L36" s="77">
        <f t="shared" si="4"/>
        <v>1</v>
      </c>
      <c r="M36" s="11">
        <f t="shared" si="5"/>
        <v>150000</v>
      </c>
      <c r="N36" s="4">
        <f>+VLOOKUP(C36,Indicadores!B:M,12,FALSE)</f>
        <v>1</v>
      </c>
      <c r="O36" s="1" t="str">
        <f t="shared" si="6"/>
        <v>Cumple</v>
      </c>
      <c r="P36" s="5">
        <f t="shared" si="7"/>
        <v>150000</v>
      </c>
      <c r="Q36" s="5">
        <f t="shared" si="8"/>
        <v>50000</v>
      </c>
      <c r="R36" s="84">
        <f>+IFERROR(VLOOKUP(C36,Indicadores!B:N,13,FALSE),0%)</f>
        <v>1.1790921475886422</v>
      </c>
      <c r="S36" s="5" t="str">
        <f t="shared" si="17"/>
        <v>Cumple</v>
      </c>
      <c r="T36" s="5">
        <f t="shared" si="10"/>
        <v>50000</v>
      </c>
      <c r="U36" s="5">
        <f t="shared" si="11"/>
        <v>50000</v>
      </c>
      <c r="V36" s="4">
        <f>+VLOOKUP(C36,Indicadores!B:S,18,FALSE)</f>
        <v>1</v>
      </c>
      <c r="W36" s="50" t="str">
        <f t="shared" si="0"/>
        <v>Cumple</v>
      </c>
      <c r="X36" s="2">
        <f t="shared" si="12"/>
        <v>50000</v>
      </c>
      <c r="Y36" s="5" t="str">
        <f t="shared" si="13"/>
        <v>SI</v>
      </c>
      <c r="Z36" s="5">
        <f t="shared" si="14"/>
        <v>250000</v>
      </c>
      <c r="AA36" s="1"/>
    </row>
    <row r="37" spans="2:27" x14ac:dyDescent="0.25">
      <c r="B37" s="1" t="s">
        <v>215</v>
      </c>
      <c r="C37" s="1" t="s">
        <v>41</v>
      </c>
      <c r="D37" s="1" t="s">
        <v>306</v>
      </c>
      <c r="E37" s="1" t="s">
        <v>223</v>
      </c>
      <c r="F37" s="1" t="s">
        <v>292</v>
      </c>
      <c r="G37" s="2">
        <f t="shared" si="1"/>
        <v>250000</v>
      </c>
      <c r="H37" s="4">
        <f>+VLOOKUP(C37,Indicadores!B:C,2,FALSE)</f>
        <v>1</v>
      </c>
      <c r="I37" s="1" t="str">
        <f t="shared" si="2"/>
        <v>Cumple</v>
      </c>
      <c r="J37" s="4">
        <f>+VLOOKUP(C37,Indicadores!B:F,5,FALSE)</f>
        <v>1</v>
      </c>
      <c r="K37" s="1" t="str">
        <f t="shared" si="3"/>
        <v>Cumple</v>
      </c>
      <c r="L37" s="77">
        <f t="shared" si="4"/>
        <v>1</v>
      </c>
      <c r="M37" s="11">
        <f t="shared" si="5"/>
        <v>150000</v>
      </c>
      <c r="N37" s="4">
        <f>+VLOOKUP(C37,Indicadores!B:M,12,FALSE)</f>
        <v>1</v>
      </c>
      <c r="O37" s="1" t="str">
        <f t="shared" si="6"/>
        <v>Cumple</v>
      </c>
      <c r="P37" s="5">
        <f t="shared" si="7"/>
        <v>150000</v>
      </c>
      <c r="Q37" s="5">
        <f t="shared" si="8"/>
        <v>50000</v>
      </c>
      <c r="R37" s="84">
        <f>+IFERROR(VLOOKUP(C37,Indicadores!B:N,13,FALSE),0%)</f>
        <v>1.1548936014385496</v>
      </c>
      <c r="S37" s="5" t="str">
        <f t="shared" si="17"/>
        <v>Cumple</v>
      </c>
      <c r="T37" s="5">
        <f t="shared" si="10"/>
        <v>50000</v>
      </c>
      <c r="U37" s="5">
        <f t="shared" si="11"/>
        <v>50000</v>
      </c>
      <c r="V37" s="4">
        <f>+VLOOKUP(C37,Indicadores!B:S,18,FALSE)</f>
        <v>1</v>
      </c>
      <c r="W37" s="50" t="str">
        <f t="shared" si="0"/>
        <v>Cumple</v>
      </c>
      <c r="X37" s="2">
        <f t="shared" si="12"/>
        <v>50000</v>
      </c>
      <c r="Y37" s="5" t="str">
        <f t="shared" si="13"/>
        <v>SI</v>
      </c>
      <c r="Z37" s="5">
        <f t="shared" si="14"/>
        <v>250000</v>
      </c>
      <c r="AA37" s="1"/>
    </row>
    <row r="38" spans="2:27" x14ac:dyDescent="0.25">
      <c r="B38" s="1" t="s">
        <v>215</v>
      </c>
      <c r="C38" s="1" t="s">
        <v>42</v>
      </c>
      <c r="D38" s="1" t="s">
        <v>305</v>
      </c>
      <c r="E38" s="1" t="s">
        <v>223</v>
      </c>
      <c r="F38" s="1" t="s">
        <v>274</v>
      </c>
      <c r="G38" s="2">
        <f t="shared" si="1"/>
        <v>250000</v>
      </c>
      <c r="H38" s="4">
        <f>+VLOOKUP(C38,Indicadores!B:C,2,FALSE)</f>
        <v>1</v>
      </c>
      <c r="I38" s="1" t="str">
        <f t="shared" si="2"/>
        <v>Cumple</v>
      </c>
      <c r="J38" s="4">
        <f>+VLOOKUP(C38,Indicadores!B:F,5,FALSE)</f>
        <v>1</v>
      </c>
      <c r="K38" s="1" t="str">
        <f t="shared" si="3"/>
        <v>Cumple</v>
      </c>
      <c r="L38" s="77">
        <f t="shared" si="4"/>
        <v>1</v>
      </c>
      <c r="M38" s="11">
        <f t="shared" si="5"/>
        <v>150000</v>
      </c>
      <c r="N38" s="4">
        <f>+VLOOKUP(C38,Indicadores!B:M,12,FALSE)</f>
        <v>1</v>
      </c>
      <c r="O38" s="1" t="str">
        <f t="shared" si="6"/>
        <v>Cumple</v>
      </c>
      <c r="P38" s="5">
        <f t="shared" si="7"/>
        <v>150000</v>
      </c>
      <c r="Q38" s="5">
        <f t="shared" si="8"/>
        <v>50000</v>
      </c>
      <c r="R38" s="84">
        <f>+IFERROR(VLOOKUP(C38,Indicadores!B:N,13,FALSE),0%)</f>
        <v>1.1734626413893818</v>
      </c>
      <c r="S38" s="5" t="str">
        <f t="shared" si="17"/>
        <v>Cumple</v>
      </c>
      <c r="T38" s="5">
        <f t="shared" si="10"/>
        <v>50000</v>
      </c>
      <c r="U38" s="5">
        <f t="shared" si="11"/>
        <v>50000</v>
      </c>
      <c r="V38" s="4">
        <f>+VLOOKUP(C38,Indicadores!B:S,18,FALSE)</f>
        <v>1</v>
      </c>
      <c r="W38" s="50" t="str">
        <f t="shared" si="0"/>
        <v>Cumple</v>
      </c>
      <c r="X38" s="2">
        <f t="shared" si="12"/>
        <v>50000</v>
      </c>
      <c r="Y38" s="5" t="str">
        <f t="shared" si="13"/>
        <v>SI</v>
      </c>
      <c r="Z38" s="5">
        <f t="shared" si="14"/>
        <v>250000</v>
      </c>
      <c r="AA38" s="1"/>
    </row>
    <row r="39" spans="2:27" x14ac:dyDescent="0.25">
      <c r="B39" s="1" t="s">
        <v>215</v>
      </c>
      <c r="C39" s="3" t="s">
        <v>43</v>
      </c>
      <c r="D39" s="1" t="s">
        <v>305</v>
      </c>
      <c r="E39" s="1" t="s">
        <v>223</v>
      </c>
      <c r="F39" s="1" t="s">
        <v>274</v>
      </c>
      <c r="G39" s="2">
        <f t="shared" si="1"/>
        <v>250000</v>
      </c>
      <c r="H39" s="4">
        <f>+VLOOKUP(C39,Indicadores!B:C,2,FALSE)</f>
        <v>1</v>
      </c>
      <c r="I39" s="1" t="str">
        <f t="shared" si="2"/>
        <v>Cumple</v>
      </c>
      <c r="J39" s="4">
        <f>+VLOOKUP(C39,Indicadores!B:F,5,FALSE)</f>
        <v>1</v>
      </c>
      <c r="K39" s="1" t="str">
        <f t="shared" si="3"/>
        <v>Cumple</v>
      </c>
      <c r="L39" s="77">
        <f t="shared" si="4"/>
        <v>1</v>
      </c>
      <c r="M39" s="11">
        <f t="shared" si="5"/>
        <v>150000</v>
      </c>
      <c r="N39" s="4">
        <f>+VLOOKUP(C39,Indicadores!B:M,12,FALSE)</f>
        <v>1</v>
      </c>
      <c r="O39" s="1" t="str">
        <f t="shared" si="6"/>
        <v>Cumple</v>
      </c>
      <c r="P39" s="5">
        <f t="shared" si="7"/>
        <v>150000</v>
      </c>
      <c r="Q39" s="5">
        <f t="shared" si="8"/>
        <v>50000</v>
      </c>
      <c r="R39" s="84">
        <f>+IFERROR(VLOOKUP(C39,Indicadores!B:N,13,FALSE),0%)</f>
        <v>1.1859239879233825</v>
      </c>
      <c r="S39" s="5" t="str">
        <f t="shared" si="17"/>
        <v>Cumple</v>
      </c>
      <c r="T39" s="5">
        <f t="shared" si="10"/>
        <v>50000</v>
      </c>
      <c r="U39" s="5">
        <f t="shared" si="11"/>
        <v>50000</v>
      </c>
      <c r="V39" s="4">
        <f>+VLOOKUP(C39,Indicadores!B:S,18,FALSE)</f>
        <v>1</v>
      </c>
      <c r="W39" s="50" t="str">
        <f t="shared" si="0"/>
        <v>Cumple</v>
      </c>
      <c r="X39" s="2">
        <f t="shared" si="12"/>
        <v>50000</v>
      </c>
      <c r="Y39" s="5" t="str">
        <f t="shared" si="13"/>
        <v>SI</v>
      </c>
      <c r="Z39" s="5">
        <f t="shared" si="14"/>
        <v>250000</v>
      </c>
      <c r="AA39" s="1"/>
    </row>
    <row r="40" spans="2:27" x14ac:dyDescent="0.25">
      <c r="B40" s="1" t="s">
        <v>215</v>
      </c>
      <c r="C40" s="1" t="s">
        <v>44</v>
      </c>
      <c r="D40" s="1" t="s">
        <v>305</v>
      </c>
      <c r="E40" s="1" t="s">
        <v>223</v>
      </c>
      <c r="F40" s="1" t="s">
        <v>274</v>
      </c>
      <c r="G40" s="2">
        <f t="shared" si="1"/>
        <v>250000</v>
      </c>
      <c r="H40" s="4">
        <f>+VLOOKUP(C40,Indicadores!B:C,2,FALSE)</f>
        <v>1</v>
      </c>
      <c r="I40" s="1" t="str">
        <f t="shared" si="2"/>
        <v>Cumple</v>
      </c>
      <c r="J40" s="4">
        <f>+VLOOKUP(C40,Indicadores!B:F,5,FALSE)</f>
        <v>1</v>
      </c>
      <c r="K40" s="1" t="str">
        <f t="shared" si="3"/>
        <v>Cumple</v>
      </c>
      <c r="L40" s="77">
        <f t="shared" si="4"/>
        <v>1</v>
      </c>
      <c r="M40" s="11">
        <f t="shared" si="5"/>
        <v>150000</v>
      </c>
      <c r="N40" s="4">
        <f>+VLOOKUP(C40,Indicadores!B:M,12,FALSE)</f>
        <v>0.97619047619047628</v>
      </c>
      <c r="O40" s="1" t="str">
        <f t="shared" si="6"/>
        <v>Cumple</v>
      </c>
      <c r="P40" s="5">
        <f t="shared" si="7"/>
        <v>150000</v>
      </c>
      <c r="Q40" s="5">
        <f t="shared" si="8"/>
        <v>50000</v>
      </c>
      <c r="R40" s="84">
        <f>+IFERROR(VLOOKUP(C40,Indicadores!B:N,13,FALSE),0%)</f>
        <v>1.0106447267902268</v>
      </c>
      <c r="S40" s="5" t="str">
        <f t="shared" si="17"/>
        <v>Cumple</v>
      </c>
      <c r="T40" s="5">
        <f t="shared" si="10"/>
        <v>50000</v>
      </c>
      <c r="U40" s="5">
        <f t="shared" si="11"/>
        <v>50000</v>
      </c>
      <c r="V40" s="4">
        <f>+VLOOKUP(C40,Indicadores!B:S,18,FALSE)</f>
        <v>1</v>
      </c>
      <c r="W40" s="50" t="str">
        <f t="shared" si="0"/>
        <v>Cumple</v>
      </c>
      <c r="X40" s="2">
        <f t="shared" si="12"/>
        <v>50000</v>
      </c>
      <c r="Y40" s="5" t="str">
        <f t="shared" si="13"/>
        <v>SI</v>
      </c>
      <c r="Z40" s="5">
        <f t="shared" si="14"/>
        <v>250000</v>
      </c>
      <c r="AA40" s="1"/>
    </row>
    <row r="41" spans="2:27" x14ac:dyDescent="0.25">
      <c r="B41" s="1" t="s">
        <v>215</v>
      </c>
      <c r="C41" s="1" t="s">
        <v>45</v>
      </c>
      <c r="D41" s="1" t="s">
        <v>305</v>
      </c>
      <c r="E41" s="1" t="s">
        <v>223</v>
      </c>
      <c r="F41" s="1" t="s">
        <v>274</v>
      </c>
      <c r="G41" s="2">
        <f t="shared" si="1"/>
        <v>250000</v>
      </c>
      <c r="H41" s="4">
        <f>+VLOOKUP(C41,Indicadores!B:C,2,FALSE)</f>
        <v>1</v>
      </c>
      <c r="I41" s="1" t="str">
        <f t="shared" si="2"/>
        <v>Cumple</v>
      </c>
      <c r="J41" s="4">
        <f>+VLOOKUP(C41,Indicadores!B:F,5,FALSE)</f>
        <v>1</v>
      </c>
      <c r="K41" s="1" t="str">
        <f t="shared" si="3"/>
        <v>Cumple</v>
      </c>
      <c r="L41" s="77">
        <f t="shared" si="4"/>
        <v>1</v>
      </c>
      <c r="M41" s="11">
        <f t="shared" si="5"/>
        <v>150000</v>
      </c>
      <c r="N41" s="4">
        <f>+VLOOKUP(C41,Indicadores!B:M,12,FALSE)</f>
        <v>0.9</v>
      </c>
      <c r="O41" s="1" t="str">
        <f t="shared" si="6"/>
        <v>Cumple</v>
      </c>
      <c r="P41" s="5">
        <f t="shared" si="7"/>
        <v>150000</v>
      </c>
      <c r="Q41" s="5">
        <f t="shared" si="8"/>
        <v>50000</v>
      </c>
      <c r="R41" s="84">
        <f>+IFERROR(VLOOKUP(C41,Indicadores!B:N,13,FALSE),0%)</f>
        <v>0.88482229005102719</v>
      </c>
      <c r="S41" s="5" t="str">
        <f t="shared" si="17"/>
        <v>Cumple</v>
      </c>
      <c r="T41" s="5">
        <f t="shared" si="10"/>
        <v>40000</v>
      </c>
      <c r="U41" s="5">
        <f t="shared" si="11"/>
        <v>50000</v>
      </c>
      <c r="V41" s="4">
        <f>+VLOOKUP(C41,Indicadores!B:S,18,FALSE)</f>
        <v>1</v>
      </c>
      <c r="W41" s="50" t="str">
        <f t="shared" si="0"/>
        <v>Cumple</v>
      </c>
      <c r="X41" s="2">
        <f t="shared" si="12"/>
        <v>50000</v>
      </c>
      <c r="Y41" s="5" t="str">
        <f t="shared" si="13"/>
        <v>SI</v>
      </c>
      <c r="Z41" s="5">
        <f t="shared" si="14"/>
        <v>240000</v>
      </c>
      <c r="AA41" s="1"/>
    </row>
    <row r="42" spans="2:27" x14ac:dyDescent="0.25">
      <c r="B42" s="1" t="s">
        <v>215</v>
      </c>
      <c r="C42" s="3" t="s">
        <v>46</v>
      </c>
      <c r="D42" s="1" t="s">
        <v>305</v>
      </c>
      <c r="E42" s="1" t="s">
        <v>223</v>
      </c>
      <c r="F42" s="1" t="s">
        <v>274</v>
      </c>
      <c r="G42" s="2">
        <f t="shared" si="1"/>
        <v>250000</v>
      </c>
      <c r="H42" s="4">
        <f>+VLOOKUP(C42,Indicadores!B:C,2,FALSE)</f>
        <v>1</v>
      </c>
      <c r="I42" s="1" t="str">
        <f t="shared" si="2"/>
        <v>Cumple</v>
      </c>
      <c r="J42" s="4">
        <f>+VLOOKUP(C42,Indicadores!B:F,5,FALSE)</f>
        <v>1</v>
      </c>
      <c r="K42" s="1" t="str">
        <f t="shared" si="3"/>
        <v>Cumple</v>
      </c>
      <c r="L42" s="77">
        <f t="shared" si="4"/>
        <v>1</v>
      </c>
      <c r="M42" s="11">
        <f t="shared" si="5"/>
        <v>150000</v>
      </c>
      <c r="N42" s="4">
        <f>+VLOOKUP(C42,Indicadores!B:M,12,FALSE)</f>
        <v>0.87878787878787878</v>
      </c>
      <c r="O42" s="1" t="str">
        <f t="shared" si="6"/>
        <v>Cumple</v>
      </c>
      <c r="P42" s="5">
        <f t="shared" si="7"/>
        <v>150000</v>
      </c>
      <c r="Q42" s="5">
        <f t="shared" si="8"/>
        <v>50000</v>
      </c>
      <c r="R42" s="84">
        <f>+IFERROR(VLOOKUP(C42,Indicadores!B:N,13,FALSE),0%)</f>
        <v>0.96249277888687701</v>
      </c>
      <c r="S42" s="5" t="str">
        <f t="shared" si="17"/>
        <v>Cumple</v>
      </c>
      <c r="T42" s="5">
        <f>IF(R42=80%,Q42*70%,IF(AND(R42&gt;=81%,R42&lt;=90%),Q42*80%,IF(AND(R42&gt;=91%,R42&lt;=95%),Q42*90%,IF(R42&gt;=96%,Q42*96%,IF(R42&gt;=97%,Q42*97%,IF(R42&gt;=98%,Q42*98%,IF(R42=99%,Q42*99%,IF(R42&gt;=100%,Q42,0))))))))</f>
        <v>48000</v>
      </c>
      <c r="U42" s="5">
        <f t="shared" si="11"/>
        <v>50000</v>
      </c>
      <c r="V42" s="4">
        <f>+VLOOKUP(C42,Indicadores!B:S,18,FALSE)</f>
        <v>1</v>
      </c>
      <c r="W42" s="50" t="str">
        <f t="shared" si="0"/>
        <v>Cumple</v>
      </c>
      <c r="X42" s="2">
        <f t="shared" si="12"/>
        <v>50000</v>
      </c>
      <c r="Y42" s="5" t="str">
        <f t="shared" si="13"/>
        <v>SI</v>
      </c>
      <c r="Z42" s="5">
        <f t="shared" si="14"/>
        <v>248000</v>
      </c>
      <c r="AA42" s="1"/>
    </row>
    <row r="43" spans="2:27" x14ac:dyDescent="0.25">
      <c r="B43" s="1" t="s">
        <v>215</v>
      </c>
      <c r="C43" s="1" t="s">
        <v>47</v>
      </c>
      <c r="D43" s="1" t="s">
        <v>305</v>
      </c>
      <c r="E43" s="1" t="s">
        <v>223</v>
      </c>
      <c r="F43" s="1" t="s">
        <v>274</v>
      </c>
      <c r="G43" s="2">
        <f t="shared" si="1"/>
        <v>250000</v>
      </c>
      <c r="H43" s="4">
        <f>+VLOOKUP(C43,Indicadores!B:C,2,FALSE)</f>
        <v>1</v>
      </c>
      <c r="I43" s="1" t="str">
        <f t="shared" si="2"/>
        <v>Cumple</v>
      </c>
      <c r="J43" s="4">
        <f>+VLOOKUP(C43,Indicadores!B:F,5,FALSE)</f>
        <v>1</v>
      </c>
      <c r="K43" s="1" t="str">
        <f t="shared" si="3"/>
        <v>Cumple</v>
      </c>
      <c r="L43" s="77">
        <f t="shared" si="4"/>
        <v>1</v>
      </c>
      <c r="M43" s="11">
        <f t="shared" si="5"/>
        <v>150000</v>
      </c>
      <c r="N43" s="4">
        <f>+VLOOKUP(C43,Indicadores!B:M,12,FALSE)</f>
        <v>1</v>
      </c>
      <c r="O43" s="1" t="str">
        <f t="shared" si="6"/>
        <v>Cumple</v>
      </c>
      <c r="P43" s="5">
        <f t="shared" si="7"/>
        <v>150000</v>
      </c>
      <c r="Q43" s="5">
        <f t="shared" si="8"/>
        <v>50000</v>
      </c>
      <c r="R43" s="84">
        <f>+IFERROR(VLOOKUP(C43,Indicadores!B:N,13,FALSE),0%)</f>
        <v>1.3033163664406653</v>
      </c>
      <c r="S43" s="5" t="str">
        <f t="shared" si="17"/>
        <v>Cumple</v>
      </c>
      <c r="T43" s="5">
        <f t="shared" si="10"/>
        <v>50000</v>
      </c>
      <c r="U43" s="5">
        <f t="shared" si="11"/>
        <v>50000</v>
      </c>
      <c r="V43" s="4">
        <f>+VLOOKUP(C43,Indicadores!B:S,18,FALSE)</f>
        <v>1</v>
      </c>
      <c r="W43" s="50" t="str">
        <f t="shared" si="0"/>
        <v>Cumple</v>
      </c>
      <c r="X43" s="2">
        <f t="shared" si="12"/>
        <v>50000</v>
      </c>
      <c r="Y43" s="5" t="str">
        <f t="shared" si="13"/>
        <v>SI</v>
      </c>
      <c r="Z43" s="5">
        <f t="shared" si="14"/>
        <v>250000</v>
      </c>
      <c r="AA43" s="1"/>
    </row>
    <row r="44" spans="2:27" x14ac:dyDescent="0.25">
      <c r="B44" s="1" t="s">
        <v>215</v>
      </c>
      <c r="C44" s="1" t="s">
        <v>48</v>
      </c>
      <c r="D44" s="1" t="s">
        <v>306</v>
      </c>
      <c r="E44" s="1" t="s">
        <v>223</v>
      </c>
      <c r="F44" s="1" t="s">
        <v>274</v>
      </c>
      <c r="G44" s="2">
        <f t="shared" si="1"/>
        <v>250000</v>
      </c>
      <c r="H44" s="4">
        <f>+VLOOKUP(C44,Indicadores!B:C,2,FALSE)</f>
        <v>1</v>
      </c>
      <c r="I44" s="1" t="str">
        <f t="shared" si="2"/>
        <v>Cumple</v>
      </c>
      <c r="J44" s="4">
        <f>+VLOOKUP(C44,Indicadores!B:F,5,FALSE)</f>
        <v>1</v>
      </c>
      <c r="K44" s="1" t="str">
        <f t="shared" si="3"/>
        <v>Cumple</v>
      </c>
      <c r="L44" s="77">
        <f t="shared" si="4"/>
        <v>1</v>
      </c>
      <c r="M44" s="11">
        <f t="shared" si="5"/>
        <v>150000</v>
      </c>
      <c r="N44" s="4">
        <f>+VLOOKUP(C44,Indicadores!B:M,12,FALSE)</f>
        <v>0.83333333333333337</v>
      </c>
      <c r="O44" s="1" t="str">
        <f t="shared" si="6"/>
        <v>Cumple</v>
      </c>
      <c r="P44" s="5">
        <f t="shared" si="7"/>
        <v>150000</v>
      </c>
      <c r="Q44" s="5">
        <f t="shared" si="8"/>
        <v>50000</v>
      </c>
      <c r="R44" s="84">
        <f>+IFERROR(VLOOKUP(C44,Indicadores!B:N,13,FALSE),0%)</f>
        <v>0.91248681742671056</v>
      </c>
      <c r="S44" s="5" t="str">
        <f t="shared" si="17"/>
        <v>Cumple</v>
      </c>
      <c r="T44" s="5">
        <f t="shared" si="10"/>
        <v>45000</v>
      </c>
      <c r="U44" s="5">
        <f t="shared" si="11"/>
        <v>50000</v>
      </c>
      <c r="V44" s="4">
        <f>+VLOOKUP(C44,Indicadores!B:S,18,FALSE)</f>
        <v>1</v>
      </c>
      <c r="W44" s="50" t="str">
        <f t="shared" si="0"/>
        <v>Cumple</v>
      </c>
      <c r="X44" s="2">
        <f t="shared" si="12"/>
        <v>50000</v>
      </c>
      <c r="Y44" s="5" t="str">
        <f t="shared" si="13"/>
        <v>SI</v>
      </c>
      <c r="Z44" s="5">
        <f t="shared" si="14"/>
        <v>245000</v>
      </c>
      <c r="AA44" s="1"/>
    </row>
    <row r="45" spans="2:27" x14ac:dyDescent="0.25">
      <c r="B45" s="1" t="s">
        <v>215</v>
      </c>
      <c r="C45" s="1" t="s">
        <v>49</v>
      </c>
      <c r="D45" s="1" t="s">
        <v>305</v>
      </c>
      <c r="E45" s="1" t="s">
        <v>223</v>
      </c>
      <c r="F45" s="1" t="s">
        <v>274</v>
      </c>
      <c r="G45" s="2">
        <f t="shared" si="1"/>
        <v>250000</v>
      </c>
      <c r="H45" s="4">
        <f>+VLOOKUP(C45,Indicadores!B:C,2,FALSE)</f>
        <v>1</v>
      </c>
      <c r="I45" s="1" t="str">
        <f t="shared" si="2"/>
        <v>Cumple</v>
      </c>
      <c r="J45" s="4">
        <f>+VLOOKUP(C45,Indicadores!B:F,5,FALSE)</f>
        <v>1</v>
      </c>
      <c r="K45" s="1" t="str">
        <f t="shared" si="3"/>
        <v>Cumple</v>
      </c>
      <c r="L45" s="77">
        <f t="shared" si="4"/>
        <v>1</v>
      </c>
      <c r="M45" s="11">
        <f t="shared" si="5"/>
        <v>150000</v>
      </c>
      <c r="N45" s="4">
        <f>+VLOOKUP(C45,Indicadores!B:M,12,FALSE)</f>
        <v>1</v>
      </c>
      <c r="O45" s="1" t="str">
        <f t="shared" si="6"/>
        <v>Cumple</v>
      </c>
      <c r="P45" s="5">
        <f t="shared" si="7"/>
        <v>150000</v>
      </c>
      <c r="Q45" s="5">
        <f t="shared" si="8"/>
        <v>50000</v>
      </c>
      <c r="R45" s="84">
        <f>+IFERROR(VLOOKUP(C45,Indicadores!B:N,13,FALSE),0%)</f>
        <v>0.87276123433748432</v>
      </c>
      <c r="S45" s="5" t="str">
        <f t="shared" si="17"/>
        <v>Cumple</v>
      </c>
      <c r="T45" s="5">
        <f t="shared" si="10"/>
        <v>40000</v>
      </c>
      <c r="U45" s="5">
        <f t="shared" si="11"/>
        <v>50000</v>
      </c>
      <c r="V45" s="4">
        <f>+VLOOKUP(C45,Indicadores!B:S,18,FALSE)</f>
        <v>1</v>
      </c>
      <c r="W45" s="50" t="str">
        <f t="shared" si="0"/>
        <v>Cumple</v>
      </c>
      <c r="X45" s="2">
        <f t="shared" si="12"/>
        <v>50000</v>
      </c>
      <c r="Y45" s="5" t="str">
        <f t="shared" si="13"/>
        <v>SI</v>
      </c>
      <c r="Z45" s="5">
        <f t="shared" si="14"/>
        <v>240000</v>
      </c>
      <c r="AA45" s="1"/>
    </row>
    <row r="46" spans="2:27" x14ac:dyDescent="0.25">
      <c r="B46" s="1" t="s">
        <v>215</v>
      </c>
      <c r="C46" s="1" t="s">
        <v>50</v>
      </c>
      <c r="D46" s="1" t="s">
        <v>305</v>
      </c>
      <c r="E46" s="1" t="s">
        <v>223</v>
      </c>
      <c r="F46" s="1" t="s">
        <v>274</v>
      </c>
      <c r="G46" s="2">
        <f t="shared" si="1"/>
        <v>250000</v>
      </c>
      <c r="H46" s="4">
        <f>+VLOOKUP(C46,Indicadores!B:C,2,FALSE)</f>
        <v>1</v>
      </c>
      <c r="I46" s="1" t="str">
        <f t="shared" si="2"/>
        <v>Cumple</v>
      </c>
      <c r="J46" s="4">
        <f>+VLOOKUP(C46,Indicadores!B:F,5,FALSE)</f>
        <v>1</v>
      </c>
      <c r="K46" s="1" t="str">
        <f t="shared" si="3"/>
        <v>Cumple</v>
      </c>
      <c r="L46" s="77">
        <f t="shared" si="4"/>
        <v>1</v>
      </c>
      <c r="M46" s="11">
        <f t="shared" si="5"/>
        <v>150000</v>
      </c>
      <c r="N46" s="4">
        <f>+VLOOKUP(C46,Indicadores!B:M,12,FALSE)</f>
        <v>1</v>
      </c>
      <c r="O46" s="1" t="str">
        <f t="shared" si="6"/>
        <v>Cumple</v>
      </c>
      <c r="P46" s="5">
        <f t="shared" si="7"/>
        <v>150000</v>
      </c>
      <c r="Q46" s="5">
        <f t="shared" si="8"/>
        <v>50000</v>
      </c>
      <c r="R46" s="84">
        <f>+IFERROR(VLOOKUP(C46,Indicadores!B:N,13,FALSE),0%)</f>
        <v>1.0207812410080639</v>
      </c>
      <c r="S46" s="5" t="str">
        <f t="shared" si="17"/>
        <v>Cumple</v>
      </c>
      <c r="T46" s="5">
        <f t="shared" si="10"/>
        <v>50000</v>
      </c>
      <c r="U46" s="5">
        <f t="shared" si="11"/>
        <v>50000</v>
      </c>
      <c r="V46" s="4">
        <f>+VLOOKUP(C46,Indicadores!B:S,18,FALSE)</f>
        <v>1</v>
      </c>
      <c r="W46" s="50" t="str">
        <f t="shared" si="0"/>
        <v>Cumple</v>
      </c>
      <c r="X46" s="2">
        <f t="shared" si="12"/>
        <v>50000</v>
      </c>
      <c r="Y46" s="5" t="str">
        <f t="shared" si="13"/>
        <v>SI</v>
      </c>
      <c r="Z46" s="5">
        <f t="shared" si="14"/>
        <v>250000</v>
      </c>
      <c r="AA46" s="1"/>
    </row>
    <row r="47" spans="2:27" x14ac:dyDescent="0.25">
      <c r="B47" s="1" t="s">
        <v>215</v>
      </c>
      <c r="C47" s="1" t="s">
        <v>51</v>
      </c>
      <c r="D47" s="1" t="s">
        <v>305</v>
      </c>
      <c r="E47" s="1" t="s">
        <v>223</v>
      </c>
      <c r="F47" s="1" t="s">
        <v>274</v>
      </c>
      <c r="G47" s="2">
        <f t="shared" si="1"/>
        <v>250000</v>
      </c>
      <c r="H47" s="4">
        <f>+VLOOKUP(C47,Indicadores!B:C,2,FALSE)</f>
        <v>0.79999999999999993</v>
      </c>
      <c r="I47" s="1" t="str">
        <f t="shared" si="2"/>
        <v>Cumple</v>
      </c>
      <c r="J47" s="4">
        <f>+VLOOKUP(C47,Indicadores!B:F,5,FALSE)</f>
        <v>1</v>
      </c>
      <c r="K47" s="1" t="str">
        <f t="shared" si="3"/>
        <v>Cumple</v>
      </c>
      <c r="L47" s="77">
        <f t="shared" si="4"/>
        <v>0.89999999999999991</v>
      </c>
      <c r="M47" s="11">
        <f t="shared" si="5"/>
        <v>150000</v>
      </c>
      <c r="N47" s="4">
        <v>0.8</v>
      </c>
      <c r="O47" s="1" t="str">
        <f t="shared" si="6"/>
        <v>Cumple</v>
      </c>
      <c r="P47" s="5">
        <f>IF(N47&gt;=80%,M47*100%,IF(AND(N47&gt;=60%,N47&lt;=79%),M47*60%,0))</f>
        <v>150000</v>
      </c>
      <c r="Q47" s="5">
        <f t="shared" si="8"/>
        <v>50000</v>
      </c>
      <c r="R47" s="84">
        <f>+IFERROR(VLOOKUP(C47,Indicadores!B:N,13,FALSE),0%)</f>
        <v>0.98595944459669216</v>
      </c>
      <c r="S47" s="5" t="str">
        <f t="shared" si="17"/>
        <v>Cumple</v>
      </c>
      <c r="T47" s="5">
        <f t="shared" ref="T47:T48" si="18">IF(R47=80%,Q47*70%,IF(AND(R47&gt;=81%,R47&lt;=90%),Q47*80%,IF(AND(R47&gt;=91%,R47&lt;=95%),Q47*90%,IF(R47=96%,Q47*96%,IF(R47=97%,Q47*97%,IF(R47&gt;=98%,Q47*98%,IF(R47=99%,Q47*99%,IF(R47&gt;=100%,Q47,0))))))))</f>
        <v>49000</v>
      </c>
      <c r="U47" s="5">
        <f t="shared" si="11"/>
        <v>50000</v>
      </c>
      <c r="V47" s="4">
        <f>+VLOOKUP(C47,Indicadores!B:S,18,FALSE)</f>
        <v>1</v>
      </c>
      <c r="W47" s="50" t="str">
        <f t="shared" si="0"/>
        <v>Cumple</v>
      </c>
      <c r="X47" s="2">
        <f t="shared" si="12"/>
        <v>50000</v>
      </c>
      <c r="Y47" s="5" t="str">
        <f t="shared" si="13"/>
        <v>SI</v>
      </c>
      <c r="Z47" s="5">
        <f t="shared" si="14"/>
        <v>249000</v>
      </c>
      <c r="AA47" s="1"/>
    </row>
    <row r="48" spans="2:27" x14ac:dyDescent="0.25">
      <c r="B48" s="1" t="s">
        <v>215</v>
      </c>
      <c r="C48" s="1" t="s">
        <v>52</v>
      </c>
      <c r="D48" s="1" t="s">
        <v>305</v>
      </c>
      <c r="E48" s="1" t="s">
        <v>223</v>
      </c>
      <c r="F48" s="1" t="s">
        <v>274</v>
      </c>
      <c r="G48" s="2">
        <f t="shared" si="1"/>
        <v>250000</v>
      </c>
      <c r="H48" s="4">
        <f>+VLOOKUP(C48,Indicadores!B:C,2,FALSE)</f>
        <v>1</v>
      </c>
      <c r="I48" s="1" t="str">
        <f t="shared" si="2"/>
        <v>Cumple</v>
      </c>
      <c r="J48" s="4">
        <f>+VLOOKUP(C48,Indicadores!B:F,5,FALSE)</f>
        <v>1</v>
      </c>
      <c r="K48" s="1" t="str">
        <f t="shared" si="3"/>
        <v>Cumple</v>
      </c>
      <c r="L48" s="77">
        <f t="shared" si="4"/>
        <v>1</v>
      </c>
      <c r="M48" s="11">
        <f t="shared" si="5"/>
        <v>150000</v>
      </c>
      <c r="N48" s="4">
        <f>+VLOOKUP(C48,Indicadores!B:M,12,FALSE)</f>
        <v>0.97777777777777786</v>
      </c>
      <c r="O48" s="1" t="str">
        <f t="shared" si="6"/>
        <v>Cumple</v>
      </c>
      <c r="P48" s="5">
        <f t="shared" si="7"/>
        <v>150000</v>
      </c>
      <c r="Q48" s="5">
        <f t="shared" si="8"/>
        <v>50000</v>
      </c>
      <c r="R48" s="84">
        <f>+IFERROR(VLOOKUP(C48,Indicadores!B:N,13,FALSE),0%)</f>
        <v>0.98320593751493024</v>
      </c>
      <c r="S48" s="5" t="str">
        <f t="shared" si="17"/>
        <v>Cumple</v>
      </c>
      <c r="T48" s="5">
        <f t="shared" si="18"/>
        <v>49000</v>
      </c>
      <c r="U48" s="5">
        <f t="shared" si="11"/>
        <v>50000</v>
      </c>
      <c r="V48" s="4">
        <f>+VLOOKUP(C48,Indicadores!B:S,18,FALSE)</f>
        <v>1</v>
      </c>
      <c r="W48" s="50" t="str">
        <f t="shared" si="0"/>
        <v>Cumple</v>
      </c>
      <c r="X48" s="2">
        <f t="shared" si="12"/>
        <v>50000</v>
      </c>
      <c r="Y48" s="5" t="str">
        <f t="shared" si="13"/>
        <v>SI</v>
      </c>
      <c r="Z48" s="5">
        <f t="shared" si="14"/>
        <v>249000</v>
      </c>
      <c r="AA48" s="1"/>
    </row>
    <row r="49" spans="2:27" x14ac:dyDescent="0.25">
      <c r="B49" s="1" t="s">
        <v>215</v>
      </c>
      <c r="C49" s="1" t="s">
        <v>53</v>
      </c>
      <c r="D49" s="1" t="s">
        <v>305</v>
      </c>
      <c r="E49" s="1" t="s">
        <v>223</v>
      </c>
      <c r="F49" s="1" t="s">
        <v>274</v>
      </c>
      <c r="G49" s="2">
        <f t="shared" si="1"/>
        <v>250000</v>
      </c>
      <c r="H49" s="4">
        <f>+VLOOKUP(C49,Indicadores!B:C,2,FALSE)</f>
        <v>1</v>
      </c>
      <c r="I49" s="1" t="str">
        <f t="shared" si="2"/>
        <v>Cumple</v>
      </c>
      <c r="J49" s="4">
        <f>+VLOOKUP(C49,Indicadores!B:F,5,FALSE)</f>
        <v>1</v>
      </c>
      <c r="K49" s="1" t="str">
        <f t="shared" si="3"/>
        <v>Cumple</v>
      </c>
      <c r="L49" s="77">
        <f t="shared" si="4"/>
        <v>1</v>
      </c>
      <c r="M49" s="11">
        <f t="shared" si="5"/>
        <v>150000</v>
      </c>
      <c r="N49" s="4">
        <f>+VLOOKUP(C49,Indicadores!B:M,12,FALSE)</f>
        <v>1</v>
      </c>
      <c r="O49" s="1" t="str">
        <f t="shared" si="6"/>
        <v>Cumple</v>
      </c>
      <c r="P49" s="5">
        <f t="shared" si="7"/>
        <v>150000</v>
      </c>
      <c r="Q49" s="5">
        <f t="shared" si="8"/>
        <v>50000</v>
      </c>
      <c r="R49" s="84">
        <f>+IFERROR(VLOOKUP(C49,Indicadores!B:N,13,FALSE),0%)</f>
        <v>1.0418461991478942</v>
      </c>
      <c r="S49" s="5" t="str">
        <f t="shared" si="17"/>
        <v>Cumple</v>
      </c>
      <c r="T49" s="5">
        <f t="shared" si="10"/>
        <v>50000</v>
      </c>
      <c r="U49" s="5">
        <f t="shared" si="11"/>
        <v>50000</v>
      </c>
      <c r="V49" s="4">
        <f>+VLOOKUP(C49,Indicadores!B:S,18,FALSE)</f>
        <v>1</v>
      </c>
      <c r="W49" s="50" t="str">
        <f t="shared" si="0"/>
        <v>Cumple</v>
      </c>
      <c r="X49" s="2">
        <f t="shared" si="12"/>
        <v>50000</v>
      </c>
      <c r="Y49" s="5" t="str">
        <f t="shared" si="13"/>
        <v>SI</v>
      </c>
      <c r="Z49" s="5">
        <f t="shared" si="14"/>
        <v>250000</v>
      </c>
      <c r="AA49" s="1"/>
    </row>
    <row r="50" spans="2:27" x14ac:dyDescent="0.25">
      <c r="B50" s="1" t="s">
        <v>215</v>
      </c>
      <c r="C50" s="1" t="s">
        <v>54</v>
      </c>
      <c r="D50" s="1" t="s">
        <v>305</v>
      </c>
      <c r="E50" s="1" t="s">
        <v>223</v>
      </c>
      <c r="F50" s="1" t="s">
        <v>274</v>
      </c>
      <c r="G50" s="2">
        <f t="shared" si="1"/>
        <v>250000</v>
      </c>
      <c r="H50" s="4">
        <f>+VLOOKUP(C50,Indicadores!B:C,2,FALSE)</f>
        <v>1</v>
      </c>
      <c r="I50" s="1" t="str">
        <f t="shared" si="2"/>
        <v>Cumple</v>
      </c>
      <c r="J50" s="4">
        <f>+VLOOKUP(C50,Indicadores!B:F,5,FALSE)</f>
        <v>1</v>
      </c>
      <c r="K50" s="1" t="str">
        <f t="shared" si="3"/>
        <v>Cumple</v>
      </c>
      <c r="L50" s="77">
        <f t="shared" si="4"/>
        <v>1</v>
      </c>
      <c r="M50" s="11">
        <f t="shared" si="5"/>
        <v>150000</v>
      </c>
      <c r="N50" s="4">
        <f>+VLOOKUP(C50,Indicadores!B:M,12,FALSE)</f>
        <v>1</v>
      </c>
      <c r="O50" s="1" t="str">
        <f t="shared" si="6"/>
        <v>Cumple</v>
      </c>
      <c r="P50" s="5">
        <f t="shared" si="7"/>
        <v>150000</v>
      </c>
      <c r="Q50" s="5">
        <f t="shared" si="8"/>
        <v>50000</v>
      </c>
      <c r="R50" s="84">
        <f>+IFERROR(VLOOKUP(C50,Indicadores!B:N,13,FALSE),0%)</f>
        <v>0.89061567651740026</v>
      </c>
      <c r="S50" s="5" t="str">
        <f t="shared" si="17"/>
        <v>Cumple</v>
      </c>
      <c r="T50" s="5">
        <f t="shared" si="10"/>
        <v>40000</v>
      </c>
      <c r="U50" s="5">
        <f t="shared" si="11"/>
        <v>50000</v>
      </c>
      <c r="V50" s="4">
        <f>+VLOOKUP(C50,Indicadores!B:S,18,FALSE)</f>
        <v>1</v>
      </c>
      <c r="W50" s="50" t="str">
        <f t="shared" si="0"/>
        <v>Cumple</v>
      </c>
      <c r="X50" s="2">
        <f t="shared" si="12"/>
        <v>50000</v>
      </c>
      <c r="Y50" s="5" t="str">
        <f t="shared" si="13"/>
        <v>SI</v>
      </c>
      <c r="Z50" s="5">
        <f t="shared" si="14"/>
        <v>240000</v>
      </c>
      <c r="AA50" s="1"/>
    </row>
    <row r="51" spans="2:27" x14ac:dyDescent="0.25">
      <c r="B51" s="1" t="s">
        <v>215</v>
      </c>
      <c r="C51" s="1" t="s">
        <v>55</v>
      </c>
      <c r="D51" s="1" t="s">
        <v>305</v>
      </c>
      <c r="E51" s="1" t="s">
        <v>223</v>
      </c>
      <c r="F51" s="1" t="s">
        <v>274</v>
      </c>
      <c r="G51" s="2">
        <f t="shared" si="1"/>
        <v>250000</v>
      </c>
      <c r="H51" s="4">
        <f>+VLOOKUP(C51,Indicadores!B:C,2,FALSE)</f>
        <v>1</v>
      </c>
      <c r="I51" s="1" t="str">
        <f t="shared" si="2"/>
        <v>Cumple</v>
      </c>
      <c r="J51" s="4">
        <f>+VLOOKUP(C51,Indicadores!B:F,5,FALSE)</f>
        <v>1</v>
      </c>
      <c r="K51" s="1" t="str">
        <f t="shared" si="3"/>
        <v>Cumple</v>
      </c>
      <c r="L51" s="77">
        <f t="shared" si="4"/>
        <v>1</v>
      </c>
      <c r="M51" s="11">
        <f t="shared" si="5"/>
        <v>150000</v>
      </c>
      <c r="N51" s="4">
        <f>+VLOOKUP(C51,Indicadores!B:M,12,FALSE)</f>
        <v>0.96296296296296291</v>
      </c>
      <c r="O51" s="1" t="str">
        <f t="shared" si="6"/>
        <v>Cumple</v>
      </c>
      <c r="P51" s="5">
        <f t="shared" si="7"/>
        <v>150000</v>
      </c>
      <c r="Q51" s="5">
        <f t="shared" si="8"/>
        <v>50000</v>
      </c>
      <c r="R51" s="84">
        <f>+IFERROR(VLOOKUP(C51,Indicadores!B:N,13,FALSE),0%)</f>
        <v>1.0858985777949481</v>
      </c>
      <c r="S51" s="5" t="str">
        <f t="shared" si="17"/>
        <v>Cumple</v>
      </c>
      <c r="T51" s="5">
        <f t="shared" si="10"/>
        <v>50000</v>
      </c>
      <c r="U51" s="5">
        <f t="shared" si="11"/>
        <v>50000</v>
      </c>
      <c r="V51" s="4">
        <f>+VLOOKUP(C51,Indicadores!B:S,18,FALSE)</f>
        <v>1</v>
      </c>
      <c r="W51" s="50" t="str">
        <f t="shared" si="0"/>
        <v>Cumple</v>
      </c>
      <c r="X51" s="2">
        <f t="shared" si="12"/>
        <v>50000</v>
      </c>
      <c r="Y51" s="5" t="str">
        <f t="shared" si="13"/>
        <v>SI</v>
      </c>
      <c r="Z51" s="5">
        <f t="shared" si="14"/>
        <v>250000</v>
      </c>
      <c r="AA51" s="10"/>
    </row>
    <row r="52" spans="2:27" x14ac:dyDescent="0.25">
      <c r="B52" s="1" t="s">
        <v>215</v>
      </c>
      <c r="C52" s="1" t="s">
        <v>56</v>
      </c>
      <c r="D52" s="1" t="s">
        <v>305</v>
      </c>
      <c r="E52" s="1" t="s">
        <v>223</v>
      </c>
      <c r="F52" s="1" t="s">
        <v>274</v>
      </c>
      <c r="G52" s="2">
        <f t="shared" si="1"/>
        <v>250000</v>
      </c>
      <c r="H52" s="4">
        <f>+VLOOKUP(C52,Indicadores!B:C,2,FALSE)</f>
        <v>1</v>
      </c>
      <c r="I52" s="1" t="str">
        <f t="shared" si="2"/>
        <v>Cumple</v>
      </c>
      <c r="J52" s="4">
        <f>+VLOOKUP(C52,Indicadores!B:F,5,FALSE)</f>
        <v>1</v>
      </c>
      <c r="K52" s="1" t="str">
        <f t="shared" si="3"/>
        <v>Cumple</v>
      </c>
      <c r="L52" s="77">
        <f t="shared" si="4"/>
        <v>1</v>
      </c>
      <c r="M52" s="11">
        <f t="shared" si="5"/>
        <v>150000</v>
      </c>
      <c r="N52" s="4">
        <f>+VLOOKUP(C52,Indicadores!B:M,12,FALSE)</f>
        <v>0.93939393939393945</v>
      </c>
      <c r="O52" s="1" t="str">
        <f t="shared" si="6"/>
        <v>Cumple</v>
      </c>
      <c r="P52" s="5">
        <f t="shared" si="7"/>
        <v>150000</v>
      </c>
      <c r="Q52" s="5">
        <f t="shared" si="8"/>
        <v>50000</v>
      </c>
      <c r="R52" s="84">
        <f>+IFERROR(VLOOKUP(C52,Indicadores!B:N,13,FALSE),0%)</f>
        <v>1.089377630610233</v>
      </c>
      <c r="S52" s="5" t="str">
        <f t="shared" si="17"/>
        <v>Cumple</v>
      </c>
      <c r="T52" s="5">
        <f t="shared" si="10"/>
        <v>50000</v>
      </c>
      <c r="U52" s="5">
        <f t="shared" si="11"/>
        <v>50000</v>
      </c>
      <c r="V52" s="4">
        <f>+VLOOKUP(C52,Indicadores!B:S,18,FALSE)</f>
        <v>1</v>
      </c>
      <c r="W52" s="50" t="str">
        <f t="shared" si="0"/>
        <v>Cumple</v>
      </c>
      <c r="X52" s="2">
        <f t="shared" si="12"/>
        <v>50000</v>
      </c>
      <c r="Y52" s="5" t="str">
        <f t="shared" si="13"/>
        <v>SI</v>
      </c>
      <c r="Z52" s="5">
        <f t="shared" si="14"/>
        <v>250000</v>
      </c>
      <c r="AA52" s="1"/>
    </row>
    <row r="53" spans="2:27" x14ac:dyDescent="0.25">
      <c r="B53" s="1" t="s">
        <v>215</v>
      </c>
      <c r="C53" s="1" t="s">
        <v>57</v>
      </c>
      <c r="D53" s="1" t="s">
        <v>305</v>
      </c>
      <c r="E53" s="1" t="s">
        <v>223</v>
      </c>
      <c r="F53" s="1" t="s">
        <v>274</v>
      </c>
      <c r="G53" s="2">
        <f t="shared" si="1"/>
        <v>250000</v>
      </c>
      <c r="H53" s="4">
        <f>+VLOOKUP(C53,Indicadores!B:C,2,FALSE)</f>
        <v>1</v>
      </c>
      <c r="I53" s="1" t="str">
        <f t="shared" si="2"/>
        <v>Cumple</v>
      </c>
      <c r="J53" s="4">
        <f>+VLOOKUP(C53,Indicadores!B:F,5,FALSE)</f>
        <v>1</v>
      </c>
      <c r="K53" s="1" t="str">
        <f t="shared" si="3"/>
        <v>Cumple</v>
      </c>
      <c r="L53" s="77">
        <f t="shared" si="4"/>
        <v>1</v>
      </c>
      <c r="M53" s="11">
        <f t="shared" si="5"/>
        <v>150000</v>
      </c>
      <c r="N53" s="4">
        <f>+VLOOKUP(C53,Indicadores!B:M,12,FALSE)</f>
        <v>0.94871794871794879</v>
      </c>
      <c r="O53" s="1" t="str">
        <f t="shared" si="6"/>
        <v>Cumple</v>
      </c>
      <c r="P53" s="5">
        <f t="shared" si="7"/>
        <v>150000</v>
      </c>
      <c r="Q53" s="5">
        <f t="shared" si="8"/>
        <v>50000</v>
      </c>
      <c r="R53" s="84">
        <f>+IFERROR(VLOOKUP(C53,Indicadores!B:N,13,FALSE),0%)</f>
        <v>1.0448136830078516</v>
      </c>
      <c r="S53" s="5" t="str">
        <f t="shared" si="17"/>
        <v>Cumple</v>
      </c>
      <c r="T53" s="5">
        <f t="shared" si="10"/>
        <v>50000</v>
      </c>
      <c r="U53" s="5">
        <f t="shared" si="11"/>
        <v>50000</v>
      </c>
      <c r="V53" s="4">
        <f>+VLOOKUP(C53,Indicadores!B:S,18,FALSE)</f>
        <v>1</v>
      </c>
      <c r="W53" s="50" t="str">
        <f t="shared" si="0"/>
        <v>Cumple</v>
      </c>
      <c r="X53" s="2">
        <f t="shared" si="12"/>
        <v>50000</v>
      </c>
      <c r="Y53" s="5" t="str">
        <f t="shared" si="13"/>
        <v>SI</v>
      </c>
      <c r="Z53" s="5">
        <f t="shared" si="14"/>
        <v>250000</v>
      </c>
      <c r="AA53" s="1"/>
    </row>
    <row r="54" spans="2:27" x14ac:dyDescent="0.25">
      <c r="B54" s="1" t="s">
        <v>216</v>
      </c>
      <c r="C54" s="1" t="s">
        <v>58</v>
      </c>
      <c r="D54" s="1" t="s">
        <v>309</v>
      </c>
      <c r="E54" s="1" t="s">
        <v>320</v>
      </c>
      <c r="F54" s="1" t="s">
        <v>294</v>
      </c>
      <c r="G54" s="2">
        <f t="shared" si="1"/>
        <v>250000</v>
      </c>
      <c r="H54" s="4">
        <f>+VLOOKUP(C54,Indicadores!B:C,2,FALSE)</f>
        <v>1</v>
      </c>
      <c r="I54" s="1" t="str">
        <f t="shared" si="2"/>
        <v>Cumple</v>
      </c>
      <c r="J54" s="4">
        <f>+VLOOKUP(C54,Indicadores!B:F,5,FALSE)</f>
        <v>1</v>
      </c>
      <c r="K54" s="1" t="str">
        <f t="shared" si="3"/>
        <v>Cumple</v>
      </c>
      <c r="L54" s="77">
        <f t="shared" si="4"/>
        <v>1</v>
      </c>
      <c r="M54" s="11">
        <f t="shared" si="5"/>
        <v>150000</v>
      </c>
      <c r="N54" s="4">
        <f>+VLOOKUP(C54,Indicadores!B:M,12,FALSE)</f>
        <v>1</v>
      </c>
      <c r="O54" s="1" t="str">
        <f t="shared" si="6"/>
        <v>Cumple</v>
      </c>
      <c r="P54" s="5">
        <f t="shared" si="7"/>
        <v>150000</v>
      </c>
      <c r="Q54" s="5">
        <f t="shared" si="8"/>
        <v>50000</v>
      </c>
      <c r="R54" s="84">
        <f>+IFERROR(VLOOKUP(C54,Indicadores!B:N,13,FALSE),0%)</f>
        <v>1.4124246952616459</v>
      </c>
      <c r="S54" s="5" t="str">
        <f t="shared" si="17"/>
        <v>Cumple</v>
      </c>
      <c r="T54" s="5">
        <f t="shared" si="10"/>
        <v>50000</v>
      </c>
      <c r="U54" s="5">
        <f t="shared" si="11"/>
        <v>50000</v>
      </c>
      <c r="V54" s="4">
        <f>+VLOOKUP(C54,Indicadores!B:S,18,FALSE)</f>
        <v>1</v>
      </c>
      <c r="W54" s="50" t="str">
        <f t="shared" si="0"/>
        <v>Cumple</v>
      </c>
      <c r="X54" s="2">
        <f t="shared" si="12"/>
        <v>50000</v>
      </c>
      <c r="Y54" s="5" t="str">
        <f t="shared" si="13"/>
        <v>SI</v>
      </c>
      <c r="Z54" s="5">
        <f t="shared" si="14"/>
        <v>250000</v>
      </c>
      <c r="AA54" s="1"/>
    </row>
    <row r="55" spans="2:27" x14ac:dyDescent="0.25">
      <c r="B55" s="1" t="s">
        <v>216</v>
      </c>
      <c r="C55" s="1" t="s">
        <v>59</v>
      </c>
      <c r="D55" s="1" t="s">
        <v>309</v>
      </c>
      <c r="E55" s="1" t="s">
        <v>320</v>
      </c>
      <c r="F55" s="1" t="s">
        <v>294</v>
      </c>
      <c r="G55" s="2">
        <f t="shared" si="1"/>
        <v>250000</v>
      </c>
      <c r="H55" s="4">
        <f>+VLOOKUP(C55,Indicadores!B:C,2,FALSE)</f>
        <v>1</v>
      </c>
      <c r="I55" s="1" t="str">
        <f t="shared" si="2"/>
        <v>Cumple</v>
      </c>
      <c r="J55" s="4">
        <f>+VLOOKUP(C55,Indicadores!B:F,5,FALSE)</f>
        <v>1</v>
      </c>
      <c r="K55" s="1" t="str">
        <f t="shared" si="3"/>
        <v>Cumple</v>
      </c>
      <c r="L55" s="77">
        <f t="shared" si="4"/>
        <v>1</v>
      </c>
      <c r="M55" s="11">
        <f t="shared" si="5"/>
        <v>150000</v>
      </c>
      <c r="N55" s="4">
        <f>+VLOOKUP(C55,Indicadores!B:M,12,FALSE)</f>
        <v>0.91666666666666663</v>
      </c>
      <c r="O55" s="1" t="str">
        <f t="shared" si="6"/>
        <v>Cumple</v>
      </c>
      <c r="P55" s="5">
        <f t="shared" si="7"/>
        <v>150000</v>
      </c>
      <c r="Q55" s="5">
        <f t="shared" si="8"/>
        <v>50000</v>
      </c>
      <c r="R55" s="84">
        <f>+IFERROR(VLOOKUP(C55,Indicadores!B:N,13,FALSE),0%)</f>
        <v>1.2388962584107799</v>
      </c>
      <c r="S55" s="5" t="str">
        <f t="shared" si="17"/>
        <v>Cumple</v>
      </c>
      <c r="T55" s="5">
        <f t="shared" si="10"/>
        <v>50000</v>
      </c>
      <c r="U55" s="5">
        <f t="shared" si="11"/>
        <v>50000</v>
      </c>
      <c r="V55" s="4">
        <f>+VLOOKUP(C55,Indicadores!B:S,18,FALSE)</f>
        <v>1</v>
      </c>
      <c r="W55" s="50" t="str">
        <f t="shared" si="0"/>
        <v>Cumple</v>
      </c>
      <c r="X55" s="2">
        <f t="shared" si="12"/>
        <v>50000</v>
      </c>
      <c r="Y55" s="5" t="str">
        <f t="shared" si="13"/>
        <v>SI</v>
      </c>
      <c r="Z55" s="5">
        <f t="shared" si="14"/>
        <v>250000</v>
      </c>
      <c r="AA55" s="1"/>
    </row>
    <row r="56" spans="2:27" x14ac:dyDescent="0.25">
      <c r="B56" s="1" t="s">
        <v>216</v>
      </c>
      <c r="C56" s="1" t="s">
        <v>60</v>
      </c>
      <c r="D56" s="1" t="s">
        <v>309</v>
      </c>
      <c r="E56" s="1" t="s">
        <v>320</v>
      </c>
      <c r="F56" s="1" t="s">
        <v>294</v>
      </c>
      <c r="G56" s="2">
        <f t="shared" si="1"/>
        <v>250000</v>
      </c>
      <c r="H56" s="4">
        <f>+VLOOKUP(C56,Indicadores!B:C,2,FALSE)</f>
        <v>1</v>
      </c>
      <c r="I56" s="1" t="str">
        <f t="shared" si="2"/>
        <v>Cumple</v>
      </c>
      <c r="J56" s="4">
        <f>+VLOOKUP(C56,Indicadores!B:F,5,FALSE)</f>
        <v>1</v>
      </c>
      <c r="K56" s="1" t="str">
        <f t="shared" si="3"/>
        <v>Cumple</v>
      </c>
      <c r="L56" s="77">
        <f t="shared" si="4"/>
        <v>1</v>
      </c>
      <c r="M56" s="11">
        <f t="shared" si="5"/>
        <v>150000</v>
      </c>
      <c r="N56" s="4">
        <f>+VLOOKUP(C56,Indicadores!B:M,12,FALSE)</f>
        <v>0.83475783475783472</v>
      </c>
      <c r="O56" s="1" t="str">
        <f t="shared" si="6"/>
        <v>Cumple</v>
      </c>
      <c r="P56" s="5">
        <f t="shared" si="7"/>
        <v>150000</v>
      </c>
      <c r="Q56" s="5">
        <f t="shared" si="8"/>
        <v>50000</v>
      </c>
      <c r="R56" s="84">
        <f>+IFERROR(VLOOKUP(C56,Indicadores!B:N,13,FALSE),0%)</f>
        <v>0.97355096105720129</v>
      </c>
      <c r="S56" s="5" t="str">
        <f t="shared" si="17"/>
        <v>Cumple</v>
      </c>
      <c r="T56" s="5">
        <f>IF(R56=80%,Q56*70%,IF(AND(R56&gt;=81%,R56&lt;=90%),Q56*80%,IF(AND(R56&gt;=91%,R56&lt;=95%),Q56*90%,IF(R56=96%,Q56*96%,IF(R56&gt;=97%,Q56*97%,IF(R56&gt;=98%,Q56*98%,IF(R56=99%,Q56*99%,IF(R56&gt;=100%,Q56,0))))))))</f>
        <v>48500</v>
      </c>
      <c r="U56" s="5">
        <f t="shared" si="11"/>
        <v>50000</v>
      </c>
      <c r="V56" s="4">
        <f>+VLOOKUP(C56,Indicadores!B:S,18,FALSE)</f>
        <v>0.5</v>
      </c>
      <c r="W56" s="50" t="str">
        <f t="shared" si="0"/>
        <v>No Cumple</v>
      </c>
      <c r="X56" s="2">
        <f t="shared" si="12"/>
        <v>0</v>
      </c>
      <c r="Y56" s="5" t="str">
        <f t="shared" si="13"/>
        <v>SI</v>
      </c>
      <c r="Z56" s="5">
        <f t="shared" si="14"/>
        <v>198500</v>
      </c>
      <c r="AA56" s="1"/>
    </row>
    <row r="57" spans="2:27" x14ac:dyDescent="0.25">
      <c r="B57" s="1" t="s">
        <v>216</v>
      </c>
      <c r="C57" s="1" t="s">
        <v>61</v>
      </c>
      <c r="D57" s="1" t="s">
        <v>309</v>
      </c>
      <c r="E57" s="1" t="s">
        <v>320</v>
      </c>
      <c r="F57" s="1" t="s">
        <v>294</v>
      </c>
      <c r="G57" s="2">
        <f t="shared" si="1"/>
        <v>250000</v>
      </c>
      <c r="H57" s="4">
        <f>+VLOOKUP(C57,Indicadores!B:C,2,FALSE)</f>
        <v>0.8571428571428571</v>
      </c>
      <c r="I57" s="1" t="str">
        <f t="shared" si="2"/>
        <v>Cumple</v>
      </c>
      <c r="J57" s="4">
        <f>+VLOOKUP(C57,Indicadores!B:F,5,FALSE)</f>
        <v>0.8571428571428571</v>
      </c>
      <c r="K57" s="1" t="str">
        <f t="shared" si="3"/>
        <v>Cumple</v>
      </c>
      <c r="L57" s="77">
        <f t="shared" si="4"/>
        <v>0.8571428571428571</v>
      </c>
      <c r="M57" s="11">
        <f t="shared" si="5"/>
        <v>150000</v>
      </c>
      <c r="N57" s="4">
        <f>+VLOOKUP(C57,Indicadores!B:M,12,FALSE)</f>
        <v>0.88095238095238093</v>
      </c>
      <c r="O57" s="1" t="str">
        <f t="shared" si="6"/>
        <v>Cumple</v>
      </c>
      <c r="P57" s="5">
        <f t="shared" si="7"/>
        <v>150000</v>
      </c>
      <c r="Q57" s="5">
        <f t="shared" si="8"/>
        <v>50000</v>
      </c>
      <c r="R57" s="84">
        <f>+IFERROR(VLOOKUP(C57,Indicadores!B:N,13,FALSE),0%)</f>
        <v>1.0622556910269989</v>
      </c>
      <c r="S57" s="5" t="str">
        <f t="shared" si="17"/>
        <v>Cumple</v>
      </c>
      <c r="T57" s="5">
        <f t="shared" si="10"/>
        <v>50000</v>
      </c>
      <c r="U57" s="5">
        <f t="shared" si="11"/>
        <v>50000</v>
      </c>
      <c r="V57" s="4">
        <f>+VLOOKUP(C57,Indicadores!B:S,18,FALSE)</f>
        <v>0.9285714285714286</v>
      </c>
      <c r="W57" s="50" t="str">
        <f t="shared" si="0"/>
        <v>No Cumple</v>
      </c>
      <c r="X57" s="2">
        <f t="shared" si="12"/>
        <v>0</v>
      </c>
      <c r="Y57" s="5" t="str">
        <f t="shared" si="13"/>
        <v>SI</v>
      </c>
      <c r="Z57" s="5">
        <f t="shared" si="14"/>
        <v>200000</v>
      </c>
      <c r="AA57" s="1"/>
    </row>
    <row r="58" spans="2:27" x14ac:dyDescent="0.25">
      <c r="B58" s="1" t="s">
        <v>216</v>
      </c>
      <c r="C58" s="1" t="s">
        <v>62</v>
      </c>
      <c r="D58" s="1" t="s">
        <v>309</v>
      </c>
      <c r="E58" s="1" t="s">
        <v>320</v>
      </c>
      <c r="F58" s="1" t="s">
        <v>294</v>
      </c>
      <c r="G58" s="2">
        <f t="shared" si="1"/>
        <v>250000</v>
      </c>
      <c r="H58" s="4">
        <f>+VLOOKUP(C58,Indicadores!B:C,2,FALSE)</f>
        <v>1</v>
      </c>
      <c r="I58" s="1" t="str">
        <f t="shared" si="2"/>
        <v>Cumple</v>
      </c>
      <c r="J58" s="4">
        <f>+VLOOKUP(C58,Indicadores!B:F,5,FALSE)</f>
        <v>1</v>
      </c>
      <c r="K58" s="1" t="str">
        <f t="shared" si="3"/>
        <v>Cumple</v>
      </c>
      <c r="L58" s="77">
        <f t="shared" si="4"/>
        <v>1</v>
      </c>
      <c r="M58" s="11">
        <f t="shared" si="5"/>
        <v>150000</v>
      </c>
      <c r="N58" s="4">
        <f>+VLOOKUP(C58,Indicadores!B:M,12,FALSE)</f>
        <v>0.58080808080808077</v>
      </c>
      <c r="O58" s="1" t="str">
        <f t="shared" si="6"/>
        <v>No Cumple</v>
      </c>
      <c r="P58" s="5">
        <f t="shared" si="7"/>
        <v>0</v>
      </c>
      <c r="Q58" s="5">
        <f t="shared" si="8"/>
        <v>50000</v>
      </c>
      <c r="R58" s="84">
        <f>+IFERROR(VLOOKUP(C58,Indicadores!B:N,13,FALSE),0%)</f>
        <v>1.190901526940481</v>
      </c>
      <c r="S58" s="5" t="str">
        <f t="shared" si="17"/>
        <v>Cumple</v>
      </c>
      <c r="T58" s="5">
        <f t="shared" si="10"/>
        <v>50000</v>
      </c>
      <c r="U58" s="5">
        <f t="shared" si="11"/>
        <v>50000</v>
      </c>
      <c r="V58" s="4">
        <f>+VLOOKUP(C58,Indicadores!B:S,18,FALSE)</f>
        <v>1</v>
      </c>
      <c r="W58" s="50" t="str">
        <f t="shared" si="0"/>
        <v>Cumple</v>
      </c>
      <c r="X58" s="2">
        <f t="shared" si="12"/>
        <v>50000</v>
      </c>
      <c r="Y58" s="5" t="str">
        <f t="shared" si="13"/>
        <v>SI</v>
      </c>
      <c r="Z58" s="5">
        <f t="shared" si="14"/>
        <v>100000</v>
      </c>
      <c r="AA58" s="1"/>
    </row>
    <row r="59" spans="2:27" x14ac:dyDescent="0.25">
      <c r="B59" s="1" t="s">
        <v>216</v>
      </c>
      <c r="C59" s="1" t="s">
        <v>63</v>
      </c>
      <c r="D59" s="1" t="s">
        <v>309</v>
      </c>
      <c r="E59" s="1" t="s">
        <v>320</v>
      </c>
      <c r="F59" s="1" t="s">
        <v>294</v>
      </c>
      <c r="G59" s="2">
        <f t="shared" si="1"/>
        <v>250000</v>
      </c>
      <c r="H59" s="4">
        <f>+VLOOKUP(C59,Indicadores!B:C,2,FALSE)</f>
        <v>1</v>
      </c>
      <c r="I59" s="1" t="str">
        <f t="shared" si="2"/>
        <v>Cumple</v>
      </c>
      <c r="J59" s="4">
        <f>+VLOOKUP(C59,Indicadores!B:F,5,FALSE)</f>
        <v>1</v>
      </c>
      <c r="K59" s="1" t="str">
        <f t="shared" si="3"/>
        <v>Cumple</v>
      </c>
      <c r="L59" s="77">
        <f t="shared" si="4"/>
        <v>1</v>
      </c>
      <c r="M59" s="11">
        <f t="shared" si="5"/>
        <v>150000</v>
      </c>
      <c r="N59" s="4">
        <f>+VLOOKUP(C59,Indicadores!B:M,12,FALSE)</f>
        <v>0.77777777777777768</v>
      </c>
      <c r="O59" s="1" t="str">
        <f t="shared" si="6"/>
        <v>Cumple</v>
      </c>
      <c r="P59" s="5">
        <f t="shared" si="7"/>
        <v>90000</v>
      </c>
      <c r="Q59" s="5">
        <f t="shared" si="8"/>
        <v>50000</v>
      </c>
      <c r="R59" s="84">
        <f>+IFERROR(VLOOKUP(C59,Indicadores!B:N,13,FALSE),0%)</f>
        <v>1.0043916701909905</v>
      </c>
      <c r="S59" s="5" t="str">
        <f t="shared" si="17"/>
        <v>Cumple</v>
      </c>
      <c r="T59" s="5">
        <f t="shared" si="10"/>
        <v>50000</v>
      </c>
      <c r="U59" s="5">
        <f t="shared" si="11"/>
        <v>50000</v>
      </c>
      <c r="V59" s="4">
        <f>+VLOOKUP(C59,Indicadores!B:S,18,FALSE)</f>
        <v>1</v>
      </c>
      <c r="W59" s="50" t="str">
        <f t="shared" si="0"/>
        <v>Cumple</v>
      </c>
      <c r="X59" s="2">
        <f t="shared" si="12"/>
        <v>50000</v>
      </c>
      <c r="Y59" s="5" t="str">
        <f t="shared" si="13"/>
        <v>SI</v>
      </c>
      <c r="Z59" s="5">
        <f t="shared" si="14"/>
        <v>190000</v>
      </c>
      <c r="AA59" s="1"/>
    </row>
    <row r="60" spans="2:27" x14ac:dyDescent="0.25">
      <c r="B60" s="1" t="s">
        <v>216</v>
      </c>
      <c r="C60" s="1" t="s">
        <v>64</v>
      </c>
      <c r="D60" s="1" t="s">
        <v>309</v>
      </c>
      <c r="E60" s="1" t="s">
        <v>320</v>
      </c>
      <c r="F60" s="1" t="s">
        <v>294</v>
      </c>
      <c r="G60" s="2">
        <f t="shared" si="1"/>
        <v>250000</v>
      </c>
      <c r="H60" s="4">
        <f>+VLOOKUP(C60,Indicadores!B:C,2,FALSE)</f>
        <v>0.94871794871794879</v>
      </c>
      <c r="I60" s="1" t="str">
        <f t="shared" si="2"/>
        <v>Cumple</v>
      </c>
      <c r="J60" s="4">
        <f>+VLOOKUP(C60,Indicadores!B:F,5,FALSE)</f>
        <v>0.92307692307692313</v>
      </c>
      <c r="K60" s="1" t="str">
        <f t="shared" si="3"/>
        <v>Cumple</v>
      </c>
      <c r="L60" s="77">
        <f t="shared" si="4"/>
        <v>0.9358974358974359</v>
      </c>
      <c r="M60" s="11">
        <f t="shared" si="5"/>
        <v>150000</v>
      </c>
      <c r="N60" s="4">
        <f>+VLOOKUP(C60,Indicadores!B:M,12,FALSE)</f>
        <v>0.77207977207977196</v>
      </c>
      <c r="O60" s="1" t="str">
        <f t="shared" si="6"/>
        <v>Cumple</v>
      </c>
      <c r="P60" s="5">
        <f t="shared" si="7"/>
        <v>90000</v>
      </c>
      <c r="Q60" s="5">
        <f t="shared" si="8"/>
        <v>50000</v>
      </c>
      <c r="R60" s="84">
        <f>+IFERROR(VLOOKUP(C60,Indicadores!B:N,13,FALSE),0%)</f>
        <v>1.0166735449548558</v>
      </c>
      <c r="S60" s="5" t="str">
        <f t="shared" si="17"/>
        <v>Cumple</v>
      </c>
      <c r="T60" s="5">
        <f t="shared" si="10"/>
        <v>50000</v>
      </c>
      <c r="U60" s="5">
        <f t="shared" si="11"/>
        <v>50000</v>
      </c>
      <c r="V60" s="4">
        <f>+VLOOKUP(C60,Indicadores!B:S,18,FALSE)</f>
        <v>0.46153846153846156</v>
      </c>
      <c r="W60" s="50" t="str">
        <f t="shared" si="0"/>
        <v>No Cumple</v>
      </c>
      <c r="X60" s="2">
        <f t="shared" si="12"/>
        <v>0</v>
      </c>
      <c r="Y60" s="5" t="str">
        <f t="shared" si="13"/>
        <v>SI</v>
      </c>
      <c r="Z60" s="5">
        <f t="shared" si="14"/>
        <v>140000</v>
      </c>
      <c r="AA60" s="1"/>
    </row>
    <row r="61" spans="2:27" x14ac:dyDescent="0.25">
      <c r="B61" s="1" t="s">
        <v>216</v>
      </c>
      <c r="C61" s="1" t="s">
        <v>65</v>
      </c>
      <c r="D61" s="1" t="s">
        <v>309</v>
      </c>
      <c r="E61" s="1" t="s">
        <v>320</v>
      </c>
      <c r="F61" s="1" t="s">
        <v>294</v>
      </c>
      <c r="G61" s="2">
        <f t="shared" si="1"/>
        <v>250000</v>
      </c>
      <c r="H61" s="4">
        <f>+VLOOKUP(C61,Indicadores!B:C,2,FALSE)</f>
        <v>0.87878787878787878</v>
      </c>
      <c r="I61" s="1" t="str">
        <f t="shared" si="2"/>
        <v>Cumple</v>
      </c>
      <c r="J61" s="4">
        <f>+VLOOKUP(C61,Indicadores!B:F,5,FALSE)</f>
        <v>0.90909090909090906</v>
      </c>
      <c r="K61" s="1" t="str">
        <f t="shared" si="3"/>
        <v>Cumple</v>
      </c>
      <c r="L61" s="77">
        <f t="shared" si="4"/>
        <v>0.89393939393939392</v>
      </c>
      <c r="M61" s="11">
        <f t="shared" si="5"/>
        <v>150000</v>
      </c>
      <c r="N61" s="4">
        <f>+VLOOKUP(C61,Indicadores!B:M,12,FALSE)</f>
        <v>0.77005347593582885</v>
      </c>
      <c r="O61" s="1" t="str">
        <f t="shared" si="6"/>
        <v>Cumple</v>
      </c>
      <c r="P61" s="5">
        <f t="shared" si="7"/>
        <v>90000</v>
      </c>
      <c r="Q61" s="5">
        <f t="shared" si="8"/>
        <v>50000</v>
      </c>
      <c r="R61" s="84">
        <f>+IFERROR(VLOOKUP(C61,Indicadores!B:N,13,FALSE),0%)</f>
        <v>1.0386505407413631</v>
      </c>
      <c r="S61" s="5" t="str">
        <f t="shared" si="17"/>
        <v>Cumple</v>
      </c>
      <c r="T61" s="5">
        <f t="shared" si="10"/>
        <v>50000</v>
      </c>
      <c r="U61" s="5">
        <f t="shared" si="11"/>
        <v>50000</v>
      </c>
      <c r="V61" s="4">
        <f>+VLOOKUP(C61,Indicadores!B:S,18,FALSE)</f>
        <v>0.81818181818181823</v>
      </c>
      <c r="W61" s="50" t="str">
        <f t="shared" si="0"/>
        <v>No Cumple</v>
      </c>
      <c r="X61" s="2">
        <f t="shared" si="12"/>
        <v>0</v>
      </c>
      <c r="Y61" s="5" t="str">
        <f t="shared" si="13"/>
        <v>SI</v>
      </c>
      <c r="Z61" s="5">
        <f t="shared" si="14"/>
        <v>140000</v>
      </c>
      <c r="AA61" s="1"/>
    </row>
    <row r="62" spans="2:27" x14ac:dyDescent="0.25">
      <c r="B62" s="1" t="s">
        <v>216</v>
      </c>
      <c r="C62" s="1" t="s">
        <v>66</v>
      </c>
      <c r="D62" s="1" t="s">
        <v>309</v>
      </c>
      <c r="E62" s="1" t="s">
        <v>320</v>
      </c>
      <c r="F62" s="1" t="s">
        <v>294</v>
      </c>
      <c r="G62" s="2">
        <f t="shared" si="1"/>
        <v>250000</v>
      </c>
      <c r="H62" s="4">
        <f>+VLOOKUP(C62,Indicadores!B:C,2,FALSE)</f>
        <v>0.83333333333333337</v>
      </c>
      <c r="I62" s="1" t="str">
        <f t="shared" si="2"/>
        <v>Cumple</v>
      </c>
      <c r="J62" s="4">
        <f>+VLOOKUP(C62,Indicadores!B:F,5,FALSE)</f>
        <v>1</v>
      </c>
      <c r="K62" s="1" t="str">
        <f t="shared" si="3"/>
        <v>Cumple</v>
      </c>
      <c r="L62" s="77">
        <f t="shared" si="4"/>
        <v>0.91666666666666674</v>
      </c>
      <c r="M62" s="11">
        <f t="shared" si="5"/>
        <v>150000</v>
      </c>
      <c r="N62" s="4">
        <f>+VLOOKUP(C62,Indicadores!B:M,12,FALSE)</f>
        <v>1</v>
      </c>
      <c r="O62" s="1" t="str">
        <f t="shared" si="6"/>
        <v>Cumple</v>
      </c>
      <c r="P62" s="5">
        <f t="shared" si="7"/>
        <v>150000</v>
      </c>
      <c r="Q62" s="5">
        <f t="shared" si="8"/>
        <v>50000</v>
      </c>
      <c r="R62" s="84">
        <f>+IFERROR(VLOOKUP(C62,Indicadores!B:N,13,FALSE),0%)</f>
        <v>1.1155376930518199</v>
      </c>
      <c r="S62" s="5" t="str">
        <f t="shared" si="17"/>
        <v>Cumple</v>
      </c>
      <c r="T62" s="5">
        <f t="shared" si="10"/>
        <v>50000</v>
      </c>
      <c r="U62" s="5">
        <f t="shared" si="11"/>
        <v>50000</v>
      </c>
      <c r="V62" s="4">
        <f>+VLOOKUP(C62,Indicadores!B:S,18,FALSE)</f>
        <v>1</v>
      </c>
      <c r="W62" s="50" t="str">
        <f t="shared" si="0"/>
        <v>Cumple</v>
      </c>
      <c r="X62" s="2">
        <f t="shared" si="12"/>
        <v>50000</v>
      </c>
      <c r="Y62" s="5" t="str">
        <f t="shared" si="13"/>
        <v>SI</v>
      </c>
      <c r="Z62" s="5">
        <f t="shared" si="14"/>
        <v>250000</v>
      </c>
      <c r="AA62" s="1"/>
    </row>
    <row r="63" spans="2:27" x14ac:dyDescent="0.25">
      <c r="B63" s="1" t="s">
        <v>216</v>
      </c>
      <c r="C63" s="1" t="s">
        <v>67</v>
      </c>
      <c r="D63" s="1" t="s">
        <v>310</v>
      </c>
      <c r="E63" s="1" t="s">
        <v>320</v>
      </c>
      <c r="F63" s="1" t="s">
        <v>294</v>
      </c>
      <c r="G63" s="2">
        <f t="shared" si="1"/>
        <v>150000</v>
      </c>
      <c r="H63" s="4">
        <f>+VLOOKUP(C63,Indicadores!B:C,2,FALSE)</f>
        <v>0.81818181818181823</v>
      </c>
      <c r="I63" s="1" t="str">
        <f t="shared" si="2"/>
        <v>Cumple</v>
      </c>
      <c r="J63" s="4">
        <f>+VLOOKUP(C63,Indicadores!B:F,5,FALSE)</f>
        <v>0.72727272727272729</v>
      </c>
      <c r="K63" s="1" t="str">
        <f t="shared" si="3"/>
        <v>Cumple</v>
      </c>
      <c r="L63" s="77">
        <f t="shared" si="4"/>
        <v>0.77272727272727271</v>
      </c>
      <c r="M63" s="11">
        <f t="shared" si="5"/>
        <v>90000</v>
      </c>
      <c r="N63" s="4">
        <f>+VLOOKUP(C63,Indicadores!B:M,12,FALSE)</f>
        <v>0.81144781144781142</v>
      </c>
      <c r="O63" s="1" t="str">
        <f t="shared" si="6"/>
        <v>Cumple</v>
      </c>
      <c r="P63" s="5">
        <f t="shared" si="7"/>
        <v>90000</v>
      </c>
      <c r="Q63" s="5">
        <f t="shared" si="8"/>
        <v>50000</v>
      </c>
      <c r="R63" s="84">
        <f>+IFERROR(VLOOKUP(C63,Indicadores!B:N,13,FALSE),0%)</f>
        <v>0.98666315020613415</v>
      </c>
      <c r="S63" s="5" t="str">
        <f t="shared" si="17"/>
        <v>Cumple</v>
      </c>
      <c r="T63" s="5">
        <f t="shared" ref="T63:T64" si="19">IF(R63=80%,Q63*70%,IF(AND(R63&gt;=81%,R63&lt;=90%),Q63*80%,IF(AND(R63&gt;=91%,R63&lt;=95%),Q63*90%,IF(R63=96%,Q63*96%,IF(R63=97%,Q63*97%,IF(R63&gt;=98%,Q63*98%,IF(R63=99%,Q63*99%,IF(R63&gt;=100%,Q63,0))))))))</f>
        <v>49000</v>
      </c>
      <c r="U63" s="5">
        <f t="shared" si="11"/>
        <v>30000</v>
      </c>
      <c r="V63" s="4">
        <f>+VLOOKUP(C63,Indicadores!B:S,18,FALSE)</f>
        <v>0.90909090909090917</v>
      </c>
      <c r="W63" s="50" t="str">
        <f t="shared" si="0"/>
        <v>No Cumple</v>
      </c>
      <c r="X63" s="2">
        <f t="shared" si="12"/>
        <v>0</v>
      </c>
      <c r="Y63" s="5" t="str">
        <f t="shared" si="13"/>
        <v>SI</v>
      </c>
      <c r="Z63" s="5">
        <f t="shared" si="14"/>
        <v>139000</v>
      </c>
      <c r="AA63" s="1"/>
    </row>
    <row r="64" spans="2:27" x14ac:dyDescent="0.25">
      <c r="B64" s="1" t="s">
        <v>216</v>
      </c>
      <c r="C64" s="1" t="s">
        <v>68</v>
      </c>
      <c r="D64" s="1" t="s">
        <v>309</v>
      </c>
      <c r="E64" s="1" t="s">
        <v>320</v>
      </c>
      <c r="F64" s="1" t="s">
        <v>294</v>
      </c>
      <c r="G64" s="2">
        <f t="shared" si="1"/>
        <v>250000</v>
      </c>
      <c r="H64" s="4">
        <f>+VLOOKUP(C64,Indicadores!B:C,2,FALSE)</f>
        <v>0.77777777777777779</v>
      </c>
      <c r="I64" s="1" t="str">
        <f t="shared" si="2"/>
        <v>Cumple</v>
      </c>
      <c r="J64" s="4">
        <f>+VLOOKUP(C64,Indicadores!B:F,5,FALSE)</f>
        <v>1</v>
      </c>
      <c r="K64" s="1" t="str">
        <f t="shared" si="3"/>
        <v>Cumple</v>
      </c>
      <c r="L64" s="77">
        <f t="shared" si="4"/>
        <v>0.88888888888888884</v>
      </c>
      <c r="M64" s="11">
        <f t="shared" si="5"/>
        <v>150000</v>
      </c>
      <c r="N64" s="4">
        <f>+VLOOKUP(C64,Indicadores!B:M,12,FALSE)</f>
        <v>1</v>
      </c>
      <c r="O64" s="1" t="str">
        <f t="shared" si="6"/>
        <v>Cumple</v>
      </c>
      <c r="P64" s="5">
        <f t="shared" si="7"/>
        <v>150000</v>
      </c>
      <c r="Q64" s="5">
        <f t="shared" si="8"/>
        <v>50000</v>
      </c>
      <c r="R64" s="84">
        <f>+IFERROR(VLOOKUP(C64,Indicadores!B:N,13,FALSE),0%)</f>
        <v>0.99284685997439515</v>
      </c>
      <c r="S64" s="5" t="str">
        <f t="shared" si="17"/>
        <v>Cumple</v>
      </c>
      <c r="T64" s="5">
        <f t="shared" si="19"/>
        <v>49000</v>
      </c>
      <c r="U64" s="5">
        <f t="shared" si="11"/>
        <v>50000</v>
      </c>
      <c r="V64" s="4">
        <f>+VLOOKUP(C64,Indicadores!B:S,18,FALSE)</f>
        <v>0.5</v>
      </c>
      <c r="W64" s="50" t="str">
        <f t="shared" si="0"/>
        <v>No Cumple</v>
      </c>
      <c r="X64" s="2">
        <f t="shared" si="12"/>
        <v>0</v>
      </c>
      <c r="Y64" s="5" t="str">
        <f t="shared" si="13"/>
        <v>SI</v>
      </c>
      <c r="Z64" s="5">
        <f t="shared" si="14"/>
        <v>199000</v>
      </c>
      <c r="AA64" s="1"/>
    </row>
    <row r="65" spans="2:27" x14ac:dyDescent="0.25">
      <c r="B65" s="1" t="s">
        <v>216</v>
      </c>
      <c r="C65" s="1" t="s">
        <v>69</v>
      </c>
      <c r="D65" s="1" t="s">
        <v>309</v>
      </c>
      <c r="E65" s="1" t="s">
        <v>320</v>
      </c>
      <c r="F65" s="1" t="s">
        <v>294</v>
      </c>
      <c r="G65" s="2">
        <f t="shared" si="1"/>
        <v>250000</v>
      </c>
      <c r="H65" s="4">
        <f>+VLOOKUP(C65,Indicadores!B:C,2,FALSE)</f>
        <v>0.875</v>
      </c>
      <c r="I65" s="1" t="str">
        <f t="shared" si="2"/>
        <v>Cumple</v>
      </c>
      <c r="J65" s="4">
        <f>+VLOOKUP(C65,Indicadores!B:F,5,FALSE)</f>
        <v>0.875</v>
      </c>
      <c r="K65" s="1" t="str">
        <f t="shared" si="3"/>
        <v>Cumple</v>
      </c>
      <c r="L65" s="77">
        <f t="shared" si="4"/>
        <v>0.875</v>
      </c>
      <c r="M65" s="11">
        <f t="shared" si="5"/>
        <v>150000</v>
      </c>
      <c r="N65" s="4">
        <f>+VLOOKUP(C65,Indicadores!B:M,12,FALSE)</f>
        <v>0.55147058823529405</v>
      </c>
      <c r="O65" s="1" t="str">
        <f t="shared" si="6"/>
        <v>No Cumple</v>
      </c>
      <c r="P65" s="5">
        <f t="shared" si="7"/>
        <v>0</v>
      </c>
      <c r="Q65" s="5">
        <f t="shared" si="8"/>
        <v>50000</v>
      </c>
      <c r="R65" s="84">
        <f>+IFERROR(VLOOKUP(C65,Indicadores!B:N,13,FALSE),0%)</f>
        <v>1.024128015353523</v>
      </c>
      <c r="S65" s="5" t="str">
        <f t="shared" si="17"/>
        <v>Cumple</v>
      </c>
      <c r="T65" s="5">
        <f t="shared" si="10"/>
        <v>50000</v>
      </c>
      <c r="U65" s="5">
        <f t="shared" si="11"/>
        <v>50000</v>
      </c>
      <c r="V65" s="4">
        <f>+VLOOKUP(C65,Indicadores!B:S,18,FALSE)</f>
        <v>0.9375</v>
      </c>
      <c r="W65" s="50" t="str">
        <f t="shared" si="0"/>
        <v>No Cumple</v>
      </c>
      <c r="X65" s="2">
        <f t="shared" si="12"/>
        <v>0</v>
      </c>
      <c r="Y65" s="5" t="str">
        <f t="shared" si="13"/>
        <v>SI</v>
      </c>
      <c r="Z65" s="5">
        <f t="shared" si="14"/>
        <v>50000</v>
      </c>
      <c r="AA65" s="1"/>
    </row>
    <row r="66" spans="2:27" x14ac:dyDescent="0.25">
      <c r="B66" s="1" t="s">
        <v>216</v>
      </c>
      <c r="C66" s="1" t="s">
        <v>70</v>
      </c>
      <c r="D66" s="1" t="s">
        <v>309</v>
      </c>
      <c r="E66" s="1" t="s">
        <v>320</v>
      </c>
      <c r="F66" s="1" t="s">
        <v>294</v>
      </c>
      <c r="G66" s="2">
        <f t="shared" si="1"/>
        <v>250000</v>
      </c>
      <c r="H66" s="4">
        <f>+VLOOKUP(C66,Indicadores!B:C,2,FALSE)</f>
        <v>1</v>
      </c>
      <c r="I66" s="1" t="str">
        <f t="shared" si="2"/>
        <v>Cumple</v>
      </c>
      <c r="J66" s="4">
        <f>+VLOOKUP(C66,Indicadores!B:F,5,FALSE)</f>
        <v>1</v>
      </c>
      <c r="K66" s="1" t="str">
        <f t="shared" si="3"/>
        <v>Cumple</v>
      </c>
      <c r="L66" s="77">
        <f t="shared" si="4"/>
        <v>1</v>
      </c>
      <c r="M66" s="11">
        <f t="shared" si="5"/>
        <v>150000</v>
      </c>
      <c r="N66" s="4">
        <f>+VLOOKUP(C66,Indicadores!B:M,12,FALSE)</f>
        <v>0.89285714285714279</v>
      </c>
      <c r="O66" s="1" t="str">
        <f t="shared" si="6"/>
        <v>Cumple</v>
      </c>
      <c r="P66" s="5">
        <f t="shared" si="7"/>
        <v>150000</v>
      </c>
      <c r="Q66" s="5">
        <f t="shared" si="8"/>
        <v>50000</v>
      </c>
      <c r="R66" s="84">
        <f>+IFERROR(VLOOKUP(C66,Indicadores!B:N,13,FALSE),0%)</f>
        <v>0.87781535463530214</v>
      </c>
      <c r="S66" s="5" t="str">
        <f t="shared" si="17"/>
        <v>Cumple</v>
      </c>
      <c r="T66" s="5">
        <f t="shared" si="10"/>
        <v>40000</v>
      </c>
      <c r="U66" s="5">
        <f t="shared" si="11"/>
        <v>50000</v>
      </c>
      <c r="V66" s="4">
        <f>+VLOOKUP(C66,Indicadores!B:S,18,FALSE)</f>
        <v>1</v>
      </c>
      <c r="W66" s="50" t="str">
        <f t="shared" si="0"/>
        <v>Cumple</v>
      </c>
      <c r="X66" s="2">
        <f t="shared" si="12"/>
        <v>50000</v>
      </c>
      <c r="Y66" s="5" t="str">
        <f t="shared" si="13"/>
        <v>SI</v>
      </c>
      <c r="Z66" s="5">
        <f t="shared" si="14"/>
        <v>240000</v>
      </c>
      <c r="AA66" s="10"/>
    </row>
    <row r="67" spans="2:27" x14ac:dyDescent="0.25">
      <c r="B67" s="1" t="s">
        <v>216</v>
      </c>
      <c r="C67" s="1" t="s">
        <v>71</v>
      </c>
      <c r="D67" s="1" t="s">
        <v>309</v>
      </c>
      <c r="E67" s="1" t="s">
        <v>320</v>
      </c>
      <c r="F67" s="1" t="s">
        <v>294</v>
      </c>
      <c r="G67" s="2">
        <f t="shared" ref="G67:G70" si="20">IF(L67&gt;=80%,250000,IF(AND(L67&gt;=60%,L67&lt;80%),150000,0))</f>
        <v>150000</v>
      </c>
      <c r="H67" s="4">
        <f>+VLOOKUP(C67,Indicadores!B:C,2,FALSE)</f>
        <v>0.77777777777777779</v>
      </c>
      <c r="I67" s="1" t="str">
        <f t="shared" si="2"/>
        <v>Cumple</v>
      </c>
      <c r="J67" s="4">
        <f>+VLOOKUP(C67,Indicadores!B:F,5,FALSE)</f>
        <v>0.77777777777777779</v>
      </c>
      <c r="K67" s="1" t="str">
        <f t="shared" si="3"/>
        <v>Cumple</v>
      </c>
      <c r="L67" s="77">
        <f t="shared" si="4"/>
        <v>0.77777777777777779</v>
      </c>
      <c r="M67" s="11">
        <f t="shared" si="5"/>
        <v>90000</v>
      </c>
      <c r="N67" s="4">
        <f>+VLOOKUP(C67,Indicadores!B:M,12,FALSE)</f>
        <v>0.85185185185185175</v>
      </c>
      <c r="O67" s="1" t="str">
        <f t="shared" si="6"/>
        <v>Cumple</v>
      </c>
      <c r="P67" s="5">
        <f t="shared" si="7"/>
        <v>90000</v>
      </c>
      <c r="Q67" s="5">
        <f t="shared" si="8"/>
        <v>50000</v>
      </c>
      <c r="R67" s="84">
        <v>0.9</v>
      </c>
      <c r="S67" s="5" t="str">
        <f t="shared" si="17"/>
        <v>Cumple</v>
      </c>
      <c r="T67" s="5">
        <f>IF(R67=80%,Q67*70%,IF(AND(R67&gt;=81%,R67&lt;=90%),Q67*80%,IF(AND(R67&gt;=91%,R67&lt;=95%),Q67*90%,IF(R67&gt;=96%,Q67*96%,IF(R67&gt;=97%,Q67*97%,IF(R67&gt;=98%,Q67*98%,IF(R67=99%,Q67*99%,IF(R67&gt;=100%,Q67,0))))))))</f>
        <v>40000</v>
      </c>
      <c r="U67" s="5">
        <f t="shared" si="11"/>
        <v>30000</v>
      </c>
      <c r="V67" s="4">
        <f>+VLOOKUP(C67,Indicadores!B:S,18,FALSE)</f>
        <v>0.88888888888888884</v>
      </c>
      <c r="W67" s="50" t="str">
        <f t="shared" si="0"/>
        <v>No Cumple</v>
      </c>
      <c r="X67" s="2">
        <f t="shared" si="12"/>
        <v>0</v>
      </c>
      <c r="Y67" s="5" t="str">
        <f t="shared" si="13"/>
        <v>SI</v>
      </c>
      <c r="Z67" s="5">
        <f t="shared" si="14"/>
        <v>130000</v>
      </c>
      <c r="AA67" s="1"/>
    </row>
    <row r="68" spans="2:27" x14ac:dyDescent="0.25">
      <c r="B68" s="1" t="s">
        <v>217</v>
      </c>
      <c r="C68" s="1" t="s">
        <v>72</v>
      </c>
      <c r="D68" s="1" t="s">
        <v>311</v>
      </c>
      <c r="E68" s="1" t="s">
        <v>320</v>
      </c>
      <c r="F68" s="1" t="s">
        <v>295</v>
      </c>
      <c r="G68" s="2">
        <f t="shared" si="20"/>
        <v>250000</v>
      </c>
      <c r="H68" s="4">
        <f>+VLOOKUP(C68,Indicadores!B:C,2,FALSE)</f>
        <v>1</v>
      </c>
      <c r="I68" s="1" t="str">
        <f t="shared" si="2"/>
        <v>Cumple</v>
      </c>
      <c r="J68" s="4">
        <f>+VLOOKUP(C68,Indicadores!B:F,5,FALSE)</f>
        <v>1</v>
      </c>
      <c r="K68" s="1" t="str">
        <f t="shared" si="3"/>
        <v>Cumple</v>
      </c>
      <c r="L68" s="77">
        <f t="shared" si="4"/>
        <v>1</v>
      </c>
      <c r="M68" s="11">
        <f t="shared" si="5"/>
        <v>150000</v>
      </c>
      <c r="N68" s="4">
        <f>+VLOOKUP(C68,Indicadores!B:M,12,FALSE)</f>
        <v>0.93589743589743579</v>
      </c>
      <c r="O68" s="1" t="str">
        <f t="shared" si="6"/>
        <v>Cumple</v>
      </c>
      <c r="P68" s="5">
        <f t="shared" si="7"/>
        <v>150000</v>
      </c>
      <c r="Q68" s="5">
        <f t="shared" si="8"/>
        <v>50000</v>
      </c>
      <c r="R68" s="84">
        <f>+IFERROR(VLOOKUP(C68,Indicadores!B:N,13,FALSE),0%)</f>
        <v>1.0046020779730855</v>
      </c>
      <c r="S68" s="5" t="str">
        <f t="shared" si="17"/>
        <v>Cumple</v>
      </c>
      <c r="T68" s="5">
        <f t="shared" si="10"/>
        <v>50000</v>
      </c>
      <c r="U68" s="5">
        <f t="shared" si="11"/>
        <v>50000</v>
      </c>
      <c r="V68" s="4">
        <f>+VLOOKUP(C68,Indicadores!B:S,18,FALSE)</f>
        <v>0.5</v>
      </c>
      <c r="W68" s="50" t="str">
        <f t="shared" si="0"/>
        <v>No Cumple</v>
      </c>
      <c r="X68" s="2">
        <f t="shared" si="12"/>
        <v>0</v>
      </c>
      <c r="Y68" s="5" t="str">
        <f t="shared" si="13"/>
        <v>SI</v>
      </c>
      <c r="Z68" s="5">
        <f t="shared" si="14"/>
        <v>200000</v>
      </c>
      <c r="AA68" s="1"/>
    </row>
    <row r="69" spans="2:27" x14ac:dyDescent="0.25">
      <c r="B69" s="1" t="s">
        <v>217</v>
      </c>
      <c r="C69" s="1" t="s">
        <v>73</v>
      </c>
      <c r="D69" s="1" t="s">
        <v>311</v>
      </c>
      <c r="E69" s="1" t="s">
        <v>320</v>
      </c>
      <c r="F69" s="1" t="s">
        <v>295</v>
      </c>
      <c r="G69" s="2">
        <f t="shared" si="20"/>
        <v>250000</v>
      </c>
      <c r="H69" s="4">
        <f>+VLOOKUP(C69,Indicadores!B:C,2,FALSE)</f>
        <v>1</v>
      </c>
      <c r="I69" s="1" t="str">
        <f t="shared" si="2"/>
        <v>Cumple</v>
      </c>
      <c r="J69" s="4">
        <f>+VLOOKUP(C69,Indicadores!B:F,5,FALSE)</f>
        <v>1</v>
      </c>
      <c r="K69" s="1" t="str">
        <f t="shared" si="3"/>
        <v>Cumple</v>
      </c>
      <c r="L69" s="77">
        <f t="shared" si="4"/>
        <v>1</v>
      </c>
      <c r="M69" s="11">
        <f t="shared" si="5"/>
        <v>150000</v>
      </c>
      <c r="N69" s="4">
        <f>+VLOOKUP(C69,Indicadores!B:M,12,FALSE)</f>
        <v>0.69035087719298238</v>
      </c>
      <c r="O69" s="1" t="str">
        <f t="shared" si="6"/>
        <v>Cumple</v>
      </c>
      <c r="P69" s="5">
        <f t="shared" si="7"/>
        <v>90000</v>
      </c>
      <c r="Q69" s="5">
        <f t="shared" si="8"/>
        <v>50000</v>
      </c>
      <c r="R69" s="84">
        <f>+IFERROR(VLOOKUP(C69,Indicadores!B:N,13,FALSE),0%)</f>
        <v>0.99603977207807748</v>
      </c>
      <c r="S69" s="5" t="str">
        <f t="shared" si="17"/>
        <v>Cumple</v>
      </c>
      <c r="T69" s="5">
        <f>IF(R69=80%,Q69*70%,IF(AND(R69&gt;=81%,R69&lt;=90%),Q69*80%,IF(AND(R69&gt;=91%,R69&lt;=95%),Q69*90%,IF(R69=96%,Q69*96%,IF(R69=97%,Q69*97%,IF(R69&gt;=98%,Q69*98%,IF(R69=99%,Q69*99%,IF(R69&gt;=100%,Q69,0))))))))</f>
        <v>49000</v>
      </c>
      <c r="U69" s="5">
        <f t="shared" si="11"/>
        <v>50000</v>
      </c>
      <c r="V69" s="4">
        <f>+VLOOKUP(C69,Indicadores!B:S,18,FALSE)</f>
        <v>0.5</v>
      </c>
      <c r="W69" s="50" t="str">
        <f t="shared" si="0"/>
        <v>No Cumple</v>
      </c>
      <c r="X69" s="2">
        <f t="shared" si="12"/>
        <v>0</v>
      </c>
      <c r="Y69" s="5" t="str">
        <f t="shared" si="13"/>
        <v>SI</v>
      </c>
      <c r="Z69" s="5">
        <f t="shared" si="14"/>
        <v>139000</v>
      </c>
      <c r="AA69" s="1"/>
    </row>
    <row r="70" spans="2:27" x14ac:dyDescent="0.25">
      <c r="B70" s="1" t="s">
        <v>217</v>
      </c>
      <c r="C70" s="1" t="s">
        <v>74</v>
      </c>
      <c r="D70" s="1" t="s">
        <v>311</v>
      </c>
      <c r="E70" s="1" t="s">
        <v>320</v>
      </c>
      <c r="F70" s="1" t="s">
        <v>295</v>
      </c>
      <c r="G70" s="2">
        <f t="shared" si="20"/>
        <v>250000</v>
      </c>
      <c r="H70" s="4">
        <f>+VLOOKUP(C70,Indicadores!B:C,2,FALSE)</f>
        <v>0.94444444444444453</v>
      </c>
      <c r="I70" s="1" t="str">
        <f t="shared" si="2"/>
        <v>Cumple</v>
      </c>
      <c r="J70" s="4">
        <f>+VLOOKUP(C70,Indicadores!B:F,5,FALSE)</f>
        <v>0.91666666666666663</v>
      </c>
      <c r="K70" s="1" t="str">
        <f t="shared" si="3"/>
        <v>Cumple</v>
      </c>
      <c r="L70" s="77">
        <f t="shared" si="4"/>
        <v>0.93055555555555558</v>
      </c>
      <c r="M70" s="11">
        <f t="shared" si="5"/>
        <v>150000</v>
      </c>
      <c r="N70" s="4">
        <f>+VLOOKUP(C70,Indicadores!B:M,12,FALSE)</f>
        <v>0.9472222222222223</v>
      </c>
      <c r="O70" s="1" t="str">
        <f t="shared" si="6"/>
        <v>Cumple</v>
      </c>
      <c r="P70" s="5">
        <f t="shared" si="7"/>
        <v>150000</v>
      </c>
      <c r="Q70" s="5">
        <f t="shared" si="8"/>
        <v>50000</v>
      </c>
      <c r="R70" s="84">
        <f>+IFERROR(VLOOKUP(C70,Indicadores!B:N,13,FALSE),0%)</f>
        <v>1.1022421028500204</v>
      </c>
      <c r="S70" s="5" t="str">
        <f t="shared" si="17"/>
        <v>Cumple</v>
      </c>
      <c r="T70" s="5">
        <f t="shared" si="10"/>
        <v>50000</v>
      </c>
      <c r="U70" s="5">
        <f t="shared" si="11"/>
        <v>50000</v>
      </c>
      <c r="V70" s="4">
        <f>+VLOOKUP(C70,Indicadores!B:S,18,FALSE)</f>
        <v>0.47916666666666669</v>
      </c>
      <c r="W70" s="50" t="str">
        <f t="shared" ref="W70:W133" si="21">IF(V70&gt;=100%,"Cumple","No Cumple")</f>
        <v>No Cumple</v>
      </c>
      <c r="X70" s="2">
        <f t="shared" si="12"/>
        <v>0</v>
      </c>
      <c r="Y70" s="5" t="str">
        <f t="shared" si="13"/>
        <v>SI</v>
      </c>
      <c r="Z70" s="5">
        <f t="shared" si="14"/>
        <v>200000</v>
      </c>
      <c r="AA70" s="1"/>
    </row>
    <row r="71" spans="2:27" x14ac:dyDescent="0.25">
      <c r="B71" s="1" t="s">
        <v>217</v>
      </c>
      <c r="C71" s="1" t="s">
        <v>75</v>
      </c>
      <c r="D71" s="1" t="s">
        <v>311</v>
      </c>
      <c r="E71" s="1" t="s">
        <v>320</v>
      </c>
      <c r="F71" s="1" t="s">
        <v>295</v>
      </c>
      <c r="G71" s="2">
        <f t="shared" ref="G71:G114" si="22">IF(L71&gt;=80%,250000,IF(AND(L71&gt;=60%,L71&lt;80%),150000,0))</f>
        <v>250000</v>
      </c>
      <c r="H71" s="4">
        <f>+VLOOKUP(C71,Indicadores!B:C,2,FALSE)</f>
        <v>0.81944444444444453</v>
      </c>
      <c r="I71" s="1" t="str">
        <f t="shared" ref="I71:I134" si="23">IF(H71&gt;=60%,"Cumple","No Cumple")</f>
        <v>Cumple</v>
      </c>
      <c r="J71" s="4">
        <f>+VLOOKUP(C71,Indicadores!B:F,5,FALSE)</f>
        <v>0.91666666666666663</v>
      </c>
      <c r="K71" s="1" t="str">
        <f t="shared" ref="K71:K134" si="24">IF(J71&gt;=60%,"Cumple","No Cumple")</f>
        <v>Cumple</v>
      </c>
      <c r="L71" s="77">
        <f t="shared" ref="L71:L134" si="25">+AVERAGE(H71,J71)</f>
        <v>0.86805555555555558</v>
      </c>
      <c r="M71" s="11">
        <f t="shared" ref="M71:M134" si="26">+G71*$M$3</f>
        <v>150000</v>
      </c>
      <c r="N71" s="4">
        <f>+VLOOKUP(C71,Indicadores!B:M,12,FALSE)</f>
        <v>0.89011954992967668</v>
      </c>
      <c r="O71" s="1" t="str">
        <f t="shared" ref="O71:O134" si="27">IF(N71&gt;=60%,"Cumple","No Cumple")</f>
        <v>Cumple</v>
      </c>
      <c r="P71" s="5">
        <f t="shared" ref="P71:P134" si="28">IF(N71&gt;80%,M71*100%,IF(AND(N71&gt;=60%,N71&lt;=79%),M71*60%,0))</f>
        <v>150000</v>
      </c>
      <c r="Q71" s="5">
        <f t="shared" ref="Q71:Q134" si="29">+$G$6*$Q$3</f>
        <v>50000</v>
      </c>
      <c r="R71" s="84">
        <f>+IFERROR(VLOOKUP(C71,Indicadores!B:N,13,FALSE),0%)</f>
        <v>0.99107252591390482</v>
      </c>
      <c r="S71" s="5" t="str">
        <f t="shared" si="17"/>
        <v>Cumple</v>
      </c>
      <c r="T71" s="5">
        <f>IF(R71=80%,Q71*70%,IF(AND(R71&gt;=81%,R71&lt;=90%),Q71*80%,IF(AND(R71&gt;=91%,R71&lt;=95%),Q71*90%,IF(R71=96%,Q71*96%,IF(R71=97%,Q71*97%,IF(R71&gt;=98%,Q71*98%,IF(R71=99%,Q71*99%,IF(R71&gt;=100%,Q71,0))))))))</f>
        <v>49000</v>
      </c>
      <c r="U71" s="5">
        <f t="shared" ref="U71:U134" si="30">+G71*$U$3</f>
        <v>50000</v>
      </c>
      <c r="V71" s="4">
        <f>+VLOOKUP(C71,Indicadores!B:S,18,FALSE)</f>
        <v>0.4375</v>
      </c>
      <c r="W71" s="50" t="str">
        <f t="shared" si="21"/>
        <v>No Cumple</v>
      </c>
      <c r="X71" s="2">
        <f t="shared" ref="X71:X134" si="31">+IF(V71=100%,U71,0)</f>
        <v>0</v>
      </c>
      <c r="Y71" s="5" t="str">
        <f t="shared" ref="Y71:Y134" si="32">IF(L71&gt;=60%,"SI","NO")</f>
        <v>SI</v>
      </c>
      <c r="Z71" s="5">
        <f t="shared" ref="Z71:Z134" si="33">+IF(Y71="SI",P71+T71+X71,0)</f>
        <v>199000</v>
      </c>
      <c r="AA71" s="1"/>
    </row>
    <row r="72" spans="2:27" x14ac:dyDescent="0.25">
      <c r="B72" s="1" t="s">
        <v>217</v>
      </c>
      <c r="C72" s="1" t="s">
        <v>76</v>
      </c>
      <c r="D72" s="1" t="s">
        <v>311</v>
      </c>
      <c r="E72" s="1" t="s">
        <v>320</v>
      </c>
      <c r="F72" s="1" t="s">
        <v>295</v>
      </c>
      <c r="G72" s="2">
        <f t="shared" si="22"/>
        <v>250000</v>
      </c>
      <c r="H72" s="4">
        <f>+VLOOKUP(C72,Indicadores!B:C,2,FALSE)</f>
        <v>1</v>
      </c>
      <c r="I72" s="1" t="str">
        <f t="shared" si="23"/>
        <v>Cumple</v>
      </c>
      <c r="J72" s="4">
        <f>+VLOOKUP(C72,Indicadores!B:F,5,FALSE)</f>
        <v>1</v>
      </c>
      <c r="K72" s="1" t="str">
        <f t="shared" si="24"/>
        <v>Cumple</v>
      </c>
      <c r="L72" s="77">
        <f t="shared" si="25"/>
        <v>1</v>
      </c>
      <c r="M72" s="11">
        <f t="shared" si="26"/>
        <v>150000</v>
      </c>
      <c r="N72" s="4">
        <f>+VLOOKUP(C72,Indicadores!B:M,12,FALSE)</f>
        <v>0.86954365079365081</v>
      </c>
      <c r="O72" s="1" t="str">
        <f t="shared" si="27"/>
        <v>Cumple</v>
      </c>
      <c r="P72" s="5">
        <f t="shared" si="28"/>
        <v>150000</v>
      </c>
      <c r="Q72" s="5">
        <f t="shared" si="29"/>
        <v>50000</v>
      </c>
      <c r="R72" s="84">
        <f>+IFERROR(VLOOKUP(C72,Indicadores!B:N,13,FALSE),0%)</f>
        <v>0.92235928395148559</v>
      </c>
      <c r="S72" s="5" t="str">
        <f t="shared" si="17"/>
        <v>Cumple</v>
      </c>
      <c r="T72" s="5">
        <f t="shared" ref="T72:T134" si="34">IF(R72=80%,Q72*70%,IF(AND(R72&gt;=81%,R72&lt;=90%),Q72*80%,IF(AND(R72&gt;=91%,R72&lt;=95%),Q72*90%,IF(R72=96%,Q72*96%,IF(R72=97%,Q72*97%,IF(R72=98%,Q72*98%,IF(R72=99%,Q72*99%,IF(R72&gt;=100%,Q72,0))))))))</f>
        <v>45000</v>
      </c>
      <c r="U72" s="5">
        <f t="shared" si="30"/>
        <v>50000</v>
      </c>
      <c r="V72" s="4">
        <f>+VLOOKUP(C72,Indicadores!B:S,18,FALSE)</f>
        <v>1</v>
      </c>
      <c r="W72" s="50" t="str">
        <f t="shared" si="21"/>
        <v>Cumple</v>
      </c>
      <c r="X72" s="2">
        <f t="shared" si="31"/>
        <v>50000</v>
      </c>
      <c r="Y72" s="5" t="str">
        <f t="shared" si="32"/>
        <v>SI</v>
      </c>
      <c r="Z72" s="5">
        <f t="shared" si="33"/>
        <v>245000</v>
      </c>
      <c r="AA72" s="1"/>
    </row>
    <row r="73" spans="2:27" x14ac:dyDescent="0.25">
      <c r="B73" s="1" t="s">
        <v>218</v>
      </c>
      <c r="C73" s="1" t="s">
        <v>77</v>
      </c>
      <c r="D73" s="1" t="s">
        <v>311</v>
      </c>
      <c r="E73" s="1" t="s">
        <v>320</v>
      </c>
      <c r="F73" s="1" t="s">
        <v>295</v>
      </c>
      <c r="G73" s="2">
        <f t="shared" si="22"/>
        <v>150000</v>
      </c>
      <c r="H73" s="4">
        <f>+VLOOKUP(C73,Indicadores!B:C,2,FALSE)</f>
        <v>0.65333333333333332</v>
      </c>
      <c r="I73" s="1" t="str">
        <f t="shared" si="23"/>
        <v>Cumple</v>
      </c>
      <c r="J73" s="4">
        <f>+VLOOKUP(C73,Indicadores!B:F,5,FALSE)</f>
        <v>0.64</v>
      </c>
      <c r="K73" s="1" t="str">
        <f t="shared" si="24"/>
        <v>Cumple</v>
      </c>
      <c r="L73" s="77">
        <f t="shared" si="25"/>
        <v>0.64666666666666672</v>
      </c>
      <c r="M73" s="11">
        <f t="shared" si="26"/>
        <v>90000</v>
      </c>
      <c r="N73" s="4">
        <f>+VLOOKUP(C73,Indicadores!B:M,12,FALSE)</f>
        <v>0.54077519379844963</v>
      </c>
      <c r="O73" s="1" t="str">
        <f t="shared" si="27"/>
        <v>No Cumple</v>
      </c>
      <c r="P73" s="5">
        <f t="shared" si="28"/>
        <v>0</v>
      </c>
      <c r="Q73" s="5">
        <f t="shared" si="29"/>
        <v>50000</v>
      </c>
      <c r="R73" s="84">
        <f>+IFERROR(VLOOKUP(C73,Indicadores!B:N,13,FALSE),0%)</f>
        <v>0.89122277190911159</v>
      </c>
      <c r="S73" s="5" t="str">
        <f t="shared" si="17"/>
        <v>Cumple</v>
      </c>
      <c r="T73" s="5">
        <f t="shared" si="34"/>
        <v>40000</v>
      </c>
      <c r="U73" s="5">
        <f t="shared" si="30"/>
        <v>30000</v>
      </c>
      <c r="V73" s="4">
        <f>+VLOOKUP(C73,Indicadores!B:S,18,FALSE)</f>
        <v>0.32</v>
      </c>
      <c r="W73" s="50" t="str">
        <f t="shared" si="21"/>
        <v>No Cumple</v>
      </c>
      <c r="X73" s="2">
        <f t="shared" si="31"/>
        <v>0</v>
      </c>
      <c r="Y73" s="5" t="str">
        <f t="shared" si="32"/>
        <v>SI</v>
      </c>
      <c r="Z73" s="5">
        <f t="shared" si="33"/>
        <v>40000</v>
      </c>
      <c r="AA73" s="1"/>
    </row>
    <row r="74" spans="2:27" x14ac:dyDescent="0.25">
      <c r="B74" s="1" t="s">
        <v>218</v>
      </c>
      <c r="C74" s="1" t="s">
        <v>78</v>
      </c>
      <c r="D74" s="1" t="s">
        <v>311</v>
      </c>
      <c r="E74" s="1" t="s">
        <v>320</v>
      </c>
      <c r="F74" s="1" t="s">
        <v>295</v>
      </c>
      <c r="G74" s="2">
        <f t="shared" si="22"/>
        <v>250000</v>
      </c>
      <c r="H74" s="4">
        <f>+VLOOKUP(C74,Indicadores!B:C,2,FALSE)</f>
        <v>1</v>
      </c>
      <c r="I74" s="1" t="str">
        <f t="shared" si="23"/>
        <v>Cumple</v>
      </c>
      <c r="J74" s="4">
        <f>+VLOOKUP(C74,Indicadores!B:F,5,FALSE)</f>
        <v>1</v>
      </c>
      <c r="K74" s="1" t="str">
        <f t="shared" si="24"/>
        <v>Cumple</v>
      </c>
      <c r="L74" s="77">
        <f t="shared" si="25"/>
        <v>1</v>
      </c>
      <c r="M74" s="11">
        <f t="shared" si="26"/>
        <v>150000</v>
      </c>
      <c r="N74" s="4">
        <f>+VLOOKUP(C74,Indicadores!B:M,12,FALSE)</f>
        <v>0.72463768115942029</v>
      </c>
      <c r="O74" s="1" t="str">
        <f t="shared" si="27"/>
        <v>Cumple</v>
      </c>
      <c r="P74" s="5">
        <f t="shared" si="28"/>
        <v>90000</v>
      </c>
      <c r="Q74" s="5">
        <f t="shared" si="29"/>
        <v>50000</v>
      </c>
      <c r="R74" s="84">
        <f>+IFERROR(VLOOKUP(C74,Indicadores!B:N,13,FALSE),0%)</f>
        <v>1.0347179607480004</v>
      </c>
      <c r="S74" s="5" t="str">
        <f t="shared" si="17"/>
        <v>Cumple</v>
      </c>
      <c r="T74" s="5">
        <f t="shared" si="34"/>
        <v>50000</v>
      </c>
      <c r="U74" s="5">
        <f t="shared" si="30"/>
        <v>50000</v>
      </c>
      <c r="V74" s="4">
        <f>+VLOOKUP(C74,Indicadores!B:S,18,FALSE)</f>
        <v>0.5</v>
      </c>
      <c r="W74" s="50" t="str">
        <f t="shared" si="21"/>
        <v>No Cumple</v>
      </c>
      <c r="X74" s="2">
        <f t="shared" si="31"/>
        <v>0</v>
      </c>
      <c r="Y74" s="5" t="str">
        <f t="shared" si="32"/>
        <v>SI</v>
      </c>
      <c r="Z74" s="5">
        <f t="shared" si="33"/>
        <v>140000</v>
      </c>
      <c r="AA74" s="1"/>
    </row>
    <row r="75" spans="2:27" x14ac:dyDescent="0.25">
      <c r="B75" s="1" t="s">
        <v>218</v>
      </c>
      <c r="C75" s="1" t="s">
        <v>79</v>
      </c>
      <c r="D75" s="1" t="s">
        <v>311</v>
      </c>
      <c r="E75" s="1" t="s">
        <v>320</v>
      </c>
      <c r="F75" s="1" t="s">
        <v>295</v>
      </c>
      <c r="G75" s="2">
        <f t="shared" si="22"/>
        <v>250000</v>
      </c>
      <c r="H75" s="4">
        <f>+VLOOKUP(C75,Indicadores!B:C,2,FALSE)</f>
        <v>1</v>
      </c>
      <c r="I75" s="1" t="str">
        <f t="shared" si="23"/>
        <v>Cumple</v>
      </c>
      <c r="J75" s="4">
        <f>+VLOOKUP(C75,Indicadores!B:F,5,FALSE)</f>
        <v>0.90909090909090906</v>
      </c>
      <c r="K75" s="1" t="str">
        <f t="shared" si="24"/>
        <v>Cumple</v>
      </c>
      <c r="L75" s="77">
        <f t="shared" si="25"/>
        <v>0.95454545454545459</v>
      </c>
      <c r="M75" s="11">
        <f t="shared" si="26"/>
        <v>150000</v>
      </c>
      <c r="N75" s="4">
        <f>+VLOOKUP(C75,Indicadores!B:M,12,FALSE)</f>
        <v>0.72856221792392006</v>
      </c>
      <c r="O75" s="1" t="str">
        <f t="shared" si="27"/>
        <v>Cumple</v>
      </c>
      <c r="P75" s="5">
        <f t="shared" si="28"/>
        <v>90000</v>
      </c>
      <c r="Q75" s="5">
        <f t="shared" si="29"/>
        <v>50000</v>
      </c>
      <c r="R75" s="84">
        <f>+IFERROR(VLOOKUP(C75,Indicadores!B:N,13,FALSE),0%)</f>
        <v>0.85339122311103255</v>
      </c>
      <c r="S75" s="5" t="str">
        <f t="shared" si="17"/>
        <v>Cumple</v>
      </c>
      <c r="T75" s="5">
        <f t="shared" si="34"/>
        <v>40000</v>
      </c>
      <c r="U75" s="5">
        <f t="shared" si="30"/>
        <v>50000</v>
      </c>
      <c r="V75" s="4">
        <f>+VLOOKUP(C75,Indicadores!B:S,18,FALSE)</f>
        <v>0.5</v>
      </c>
      <c r="W75" s="50" t="str">
        <f t="shared" si="21"/>
        <v>No Cumple</v>
      </c>
      <c r="X75" s="2">
        <f t="shared" si="31"/>
        <v>0</v>
      </c>
      <c r="Y75" s="5" t="str">
        <f t="shared" si="32"/>
        <v>SI</v>
      </c>
      <c r="Z75" s="5">
        <f t="shared" si="33"/>
        <v>130000</v>
      </c>
      <c r="AA75" s="1"/>
    </row>
    <row r="76" spans="2:27" x14ac:dyDescent="0.25">
      <c r="B76" s="1" t="s">
        <v>218</v>
      </c>
      <c r="C76" s="1" t="s">
        <v>80</v>
      </c>
      <c r="D76" s="1" t="s">
        <v>311</v>
      </c>
      <c r="E76" s="1" t="s">
        <v>320</v>
      </c>
      <c r="F76" s="1" t="s">
        <v>295</v>
      </c>
      <c r="G76" s="2">
        <f t="shared" si="22"/>
        <v>250000</v>
      </c>
      <c r="H76" s="4">
        <f>+VLOOKUP(C76,Indicadores!B:C,2,FALSE)</f>
        <v>1</v>
      </c>
      <c r="I76" s="1" t="str">
        <f t="shared" si="23"/>
        <v>Cumple</v>
      </c>
      <c r="J76" s="4">
        <f>+VLOOKUP(C76,Indicadores!B:F,5,FALSE)</f>
        <v>1</v>
      </c>
      <c r="K76" s="1" t="str">
        <f t="shared" si="24"/>
        <v>Cumple</v>
      </c>
      <c r="L76" s="77">
        <f t="shared" si="25"/>
        <v>1</v>
      </c>
      <c r="M76" s="11">
        <f t="shared" si="26"/>
        <v>150000</v>
      </c>
      <c r="N76" s="4">
        <f>+VLOOKUP(C76,Indicadores!B:M,12,FALSE)</f>
        <v>1</v>
      </c>
      <c r="O76" s="1" t="str">
        <f t="shared" si="27"/>
        <v>Cumple</v>
      </c>
      <c r="P76" s="5">
        <f t="shared" si="28"/>
        <v>150000</v>
      </c>
      <c r="Q76" s="5">
        <f t="shared" si="29"/>
        <v>50000</v>
      </c>
      <c r="R76" s="84">
        <f>+IFERROR(VLOOKUP(C76,Indicadores!B:N,13,FALSE),0%)</f>
        <v>1.1574482015242074</v>
      </c>
      <c r="S76" s="5" t="str">
        <f t="shared" si="17"/>
        <v>Cumple</v>
      </c>
      <c r="T76" s="5">
        <f t="shared" si="34"/>
        <v>50000</v>
      </c>
      <c r="U76" s="5">
        <f t="shared" si="30"/>
        <v>50000</v>
      </c>
      <c r="V76" s="4">
        <f>+VLOOKUP(C76,Indicadores!B:S,18,FALSE)</f>
        <v>0.5</v>
      </c>
      <c r="W76" s="50" t="str">
        <f t="shared" si="21"/>
        <v>No Cumple</v>
      </c>
      <c r="X76" s="2">
        <f t="shared" si="31"/>
        <v>0</v>
      </c>
      <c r="Y76" s="5" t="str">
        <f t="shared" si="32"/>
        <v>SI</v>
      </c>
      <c r="Z76" s="5">
        <f t="shared" si="33"/>
        <v>200000</v>
      </c>
      <c r="AA76" s="1"/>
    </row>
    <row r="77" spans="2:27" x14ac:dyDescent="0.25">
      <c r="B77" s="1" t="s">
        <v>218</v>
      </c>
      <c r="C77" s="1" t="s">
        <v>81</v>
      </c>
      <c r="D77" s="1" t="s">
        <v>311</v>
      </c>
      <c r="E77" s="1" t="s">
        <v>320</v>
      </c>
      <c r="F77" s="1" t="s">
        <v>295</v>
      </c>
      <c r="G77" s="2">
        <f t="shared" si="22"/>
        <v>250000</v>
      </c>
      <c r="H77" s="4">
        <f>+VLOOKUP(C77,Indicadores!B:C,2,FALSE)</f>
        <v>0.98245614035087714</v>
      </c>
      <c r="I77" s="1" t="str">
        <f t="shared" si="23"/>
        <v>Cumple</v>
      </c>
      <c r="J77" s="4">
        <f>+VLOOKUP(C77,Indicadores!B:F,5,FALSE)</f>
        <v>1</v>
      </c>
      <c r="K77" s="1" t="str">
        <f t="shared" si="24"/>
        <v>Cumple</v>
      </c>
      <c r="L77" s="77">
        <f t="shared" si="25"/>
        <v>0.99122807017543857</v>
      </c>
      <c r="M77" s="11">
        <f t="shared" si="26"/>
        <v>150000</v>
      </c>
      <c r="N77" s="4">
        <f>+VLOOKUP(C77,Indicadores!B:M,12,FALSE)</f>
        <v>1</v>
      </c>
      <c r="O77" s="1" t="str">
        <f t="shared" si="27"/>
        <v>Cumple</v>
      </c>
      <c r="P77" s="5">
        <f t="shared" si="28"/>
        <v>150000</v>
      </c>
      <c r="Q77" s="5">
        <f t="shared" si="29"/>
        <v>50000</v>
      </c>
      <c r="R77" s="84">
        <f>+IFERROR(VLOOKUP(C77,Indicadores!B:N,13,FALSE),0%)</f>
        <v>0.76111264324364114</v>
      </c>
      <c r="S77" s="5" t="str">
        <f t="shared" ref="S77:S111" si="35">IF(R77&gt;=80%,"Cumple","No Cumple")</f>
        <v>No Cumple</v>
      </c>
      <c r="T77" s="5">
        <f>IF(R77&gt;=70%,Q77*70%,IF(AND(R77&gt;=81%,R77&lt;=90%),Q77*80%,IF(AND(R77&gt;=91%,R77&lt;=95%),Q77*90%,IF(R77=96%,Q77*96%,IF(R77=97%,Q77*97%,IF(R77=98%,Q77*98%,IF(R77=99%,Q77*99%,IF(R77&gt;=100%,Q77,0))))))))</f>
        <v>35000</v>
      </c>
      <c r="U77" s="5">
        <f t="shared" si="30"/>
        <v>50000</v>
      </c>
      <c r="V77" s="4">
        <f>+VLOOKUP(C77,Indicadores!B:S,18,FALSE)</f>
        <v>0.47368421052631576</v>
      </c>
      <c r="W77" s="50" t="str">
        <f t="shared" si="21"/>
        <v>No Cumple</v>
      </c>
      <c r="X77" s="2">
        <f t="shared" si="31"/>
        <v>0</v>
      </c>
      <c r="Y77" s="5" t="str">
        <f t="shared" si="32"/>
        <v>SI</v>
      </c>
      <c r="Z77" s="5">
        <f t="shared" si="33"/>
        <v>185000</v>
      </c>
      <c r="AA77" s="1"/>
    </row>
    <row r="78" spans="2:27" x14ac:dyDescent="0.25">
      <c r="B78" s="1" t="s">
        <v>217</v>
      </c>
      <c r="C78" s="1" t="s">
        <v>82</v>
      </c>
      <c r="D78" s="1" t="s">
        <v>311</v>
      </c>
      <c r="E78" s="1" t="s">
        <v>320</v>
      </c>
      <c r="F78" s="1" t="s">
        <v>295</v>
      </c>
      <c r="G78" s="2">
        <f t="shared" si="22"/>
        <v>250000</v>
      </c>
      <c r="H78" s="4">
        <f>+VLOOKUP(C78,Indicadores!B:C,2,FALSE)</f>
        <v>1</v>
      </c>
      <c r="I78" s="1" t="str">
        <f t="shared" si="23"/>
        <v>Cumple</v>
      </c>
      <c r="J78" s="4">
        <f>+VLOOKUP(C78,Indicadores!B:F,5,FALSE)</f>
        <v>1</v>
      </c>
      <c r="K78" s="1" t="str">
        <f t="shared" si="24"/>
        <v>Cumple</v>
      </c>
      <c r="L78" s="77">
        <f t="shared" si="25"/>
        <v>1</v>
      </c>
      <c r="M78" s="11">
        <f t="shared" si="26"/>
        <v>150000</v>
      </c>
      <c r="N78" s="4">
        <f>+VLOOKUP(C78,Indicadores!B:M,12,FALSE)</f>
        <v>0.65045188729399261</v>
      </c>
      <c r="O78" s="1" t="str">
        <f t="shared" si="27"/>
        <v>Cumple</v>
      </c>
      <c r="P78" s="5">
        <f t="shared" si="28"/>
        <v>90000</v>
      </c>
      <c r="Q78" s="5">
        <f t="shared" si="29"/>
        <v>50000</v>
      </c>
      <c r="R78" s="84">
        <f>+IFERROR(VLOOKUP(C78,Indicadores!B:N,13,FALSE),0%)</f>
        <v>1.23150399075202</v>
      </c>
      <c r="S78" s="5" t="str">
        <f t="shared" ref="S78:S81" si="36">IF(R78&gt;=70%,"Cumple","No Cumple")</f>
        <v>Cumple</v>
      </c>
      <c r="T78" s="5">
        <f t="shared" si="34"/>
        <v>50000</v>
      </c>
      <c r="U78" s="5">
        <f t="shared" si="30"/>
        <v>50000</v>
      </c>
      <c r="V78" s="4">
        <f>+VLOOKUP(C78,Indicadores!B:S,18,FALSE)</f>
        <v>0.5</v>
      </c>
      <c r="W78" s="50" t="str">
        <f t="shared" si="21"/>
        <v>No Cumple</v>
      </c>
      <c r="X78" s="2">
        <f t="shared" si="31"/>
        <v>0</v>
      </c>
      <c r="Y78" s="5" t="str">
        <f t="shared" si="32"/>
        <v>SI</v>
      </c>
      <c r="Z78" s="5">
        <f t="shared" si="33"/>
        <v>140000</v>
      </c>
      <c r="AA78" s="1"/>
    </row>
    <row r="79" spans="2:27" x14ac:dyDescent="0.25">
      <c r="B79" s="1" t="s">
        <v>219</v>
      </c>
      <c r="C79" s="1" t="s">
        <v>83</v>
      </c>
      <c r="D79" s="1" t="s">
        <v>307</v>
      </c>
      <c r="E79" s="1" t="s">
        <v>223</v>
      </c>
      <c r="F79" s="1" t="s">
        <v>296</v>
      </c>
      <c r="G79" s="2">
        <f t="shared" si="22"/>
        <v>250000</v>
      </c>
      <c r="H79" s="4">
        <f>+VLOOKUP(C79,Indicadores!B:C,2,FALSE)</f>
        <v>0.90476190476190477</v>
      </c>
      <c r="I79" s="1" t="str">
        <f t="shared" si="23"/>
        <v>Cumple</v>
      </c>
      <c r="J79" s="4">
        <f>+VLOOKUP(C79,Indicadores!B:F,5,FALSE)</f>
        <v>0.8571428571428571</v>
      </c>
      <c r="K79" s="1" t="str">
        <f t="shared" si="24"/>
        <v>Cumple</v>
      </c>
      <c r="L79" s="77">
        <f t="shared" si="25"/>
        <v>0.88095238095238093</v>
      </c>
      <c r="M79" s="11">
        <f t="shared" si="26"/>
        <v>150000</v>
      </c>
      <c r="N79" s="4">
        <f>+VLOOKUP(C79,Indicadores!B:M,12,FALSE)</f>
        <v>0.85878489326765184</v>
      </c>
      <c r="O79" s="1" t="str">
        <f t="shared" si="27"/>
        <v>Cumple</v>
      </c>
      <c r="P79" s="5">
        <f t="shared" si="28"/>
        <v>150000</v>
      </c>
      <c r="Q79" s="5">
        <f t="shared" si="29"/>
        <v>50000</v>
      </c>
      <c r="R79" s="84">
        <f>+IFERROR(VLOOKUP(C79,Indicadores!B:N,13,FALSE),0%)</f>
        <v>1.1405553845919592</v>
      </c>
      <c r="S79" s="5" t="str">
        <f t="shared" si="36"/>
        <v>Cumple</v>
      </c>
      <c r="T79" s="5">
        <f t="shared" si="34"/>
        <v>50000</v>
      </c>
      <c r="U79" s="5">
        <f t="shared" si="30"/>
        <v>50000</v>
      </c>
      <c r="V79" s="4">
        <f>+VLOOKUP(C79,Indicadores!B:S,18,FALSE)</f>
        <v>0.9642857142857143</v>
      </c>
      <c r="W79" s="50" t="str">
        <f t="shared" si="21"/>
        <v>No Cumple</v>
      </c>
      <c r="X79" s="2">
        <f t="shared" si="31"/>
        <v>0</v>
      </c>
      <c r="Y79" s="5" t="str">
        <f t="shared" si="32"/>
        <v>SI</v>
      </c>
      <c r="Z79" s="5">
        <f t="shared" si="33"/>
        <v>200000</v>
      </c>
      <c r="AA79" s="1"/>
    </row>
    <row r="80" spans="2:27" x14ac:dyDescent="0.25">
      <c r="B80" s="1" t="s">
        <v>219</v>
      </c>
      <c r="C80" s="1" t="s">
        <v>84</v>
      </c>
      <c r="D80" s="1" t="s">
        <v>312</v>
      </c>
      <c r="E80" s="1" t="s">
        <v>223</v>
      </c>
      <c r="F80" s="1" t="s">
        <v>296</v>
      </c>
      <c r="G80" s="2">
        <f t="shared" si="22"/>
        <v>250000</v>
      </c>
      <c r="H80" s="4">
        <f>+VLOOKUP(C80,Indicadores!B:C,2,FALSE)</f>
        <v>0.94444444444444431</v>
      </c>
      <c r="I80" s="1" t="str">
        <f t="shared" si="23"/>
        <v>Cumple</v>
      </c>
      <c r="J80" s="4">
        <f>+VLOOKUP(C80,Indicadores!B:F,5,FALSE)</f>
        <v>1</v>
      </c>
      <c r="K80" s="1" t="str">
        <f t="shared" si="24"/>
        <v>Cumple</v>
      </c>
      <c r="L80" s="77">
        <f t="shared" si="25"/>
        <v>0.9722222222222221</v>
      </c>
      <c r="M80" s="11">
        <f t="shared" si="26"/>
        <v>150000</v>
      </c>
      <c r="N80" s="4">
        <f>+VLOOKUP(C80,Indicadores!B:M,12,FALSE)</f>
        <v>0.64814814814814814</v>
      </c>
      <c r="O80" s="1" t="str">
        <f t="shared" si="27"/>
        <v>Cumple</v>
      </c>
      <c r="P80" s="5">
        <f t="shared" si="28"/>
        <v>90000</v>
      </c>
      <c r="Q80" s="5">
        <f t="shared" si="29"/>
        <v>50000</v>
      </c>
      <c r="R80" s="84">
        <f>+IFERROR(VLOOKUP(C80,Indicadores!B:N,13,FALSE),0%)</f>
        <v>1.4131856166811856</v>
      </c>
      <c r="S80" s="5" t="str">
        <f t="shared" si="36"/>
        <v>Cumple</v>
      </c>
      <c r="T80" s="5">
        <f t="shared" si="34"/>
        <v>50000</v>
      </c>
      <c r="U80" s="5">
        <f t="shared" si="30"/>
        <v>50000</v>
      </c>
      <c r="V80" s="4">
        <f>+VLOOKUP(C80,Indicadores!B:S,18,FALSE)</f>
        <v>0.47222222222222221</v>
      </c>
      <c r="W80" s="50" t="str">
        <f t="shared" si="21"/>
        <v>No Cumple</v>
      </c>
      <c r="X80" s="2">
        <f t="shared" si="31"/>
        <v>0</v>
      </c>
      <c r="Y80" s="5" t="str">
        <f t="shared" si="32"/>
        <v>SI</v>
      </c>
      <c r="Z80" s="5">
        <f t="shared" si="33"/>
        <v>140000</v>
      </c>
      <c r="AA80" s="1"/>
    </row>
    <row r="81" spans="2:27" x14ac:dyDescent="0.25">
      <c r="B81" s="1" t="s">
        <v>219</v>
      </c>
      <c r="C81" s="1" t="s">
        <v>85</v>
      </c>
      <c r="D81" s="1" t="s">
        <v>312</v>
      </c>
      <c r="E81" s="1" t="s">
        <v>223</v>
      </c>
      <c r="F81" s="1" t="s">
        <v>296</v>
      </c>
      <c r="G81" s="2">
        <f t="shared" si="22"/>
        <v>250000</v>
      </c>
      <c r="H81" s="4">
        <f>+VLOOKUP(C81,Indicadores!B:C,2,FALSE)</f>
        <v>1</v>
      </c>
      <c r="I81" s="1" t="str">
        <f t="shared" si="23"/>
        <v>Cumple</v>
      </c>
      <c r="J81" s="4">
        <f>+VLOOKUP(C81,Indicadores!B:F,5,FALSE)</f>
        <v>1</v>
      </c>
      <c r="K81" s="1" t="str">
        <f t="shared" si="24"/>
        <v>Cumple</v>
      </c>
      <c r="L81" s="77">
        <f t="shared" si="25"/>
        <v>1</v>
      </c>
      <c r="M81" s="11">
        <f t="shared" si="26"/>
        <v>150000</v>
      </c>
      <c r="N81" s="4">
        <f>+VLOOKUP(C81,Indicadores!B:M,12,FALSE)</f>
        <v>1</v>
      </c>
      <c r="O81" s="1" t="str">
        <f t="shared" si="27"/>
        <v>Cumple</v>
      </c>
      <c r="P81" s="5">
        <f t="shared" si="28"/>
        <v>150000</v>
      </c>
      <c r="Q81" s="5">
        <f t="shared" si="29"/>
        <v>50000</v>
      </c>
      <c r="R81" s="84">
        <f>+IFERROR(VLOOKUP(C81,Indicadores!B:N,13,FALSE),0%)</f>
        <v>1.0888504400841104</v>
      </c>
      <c r="S81" s="5" t="str">
        <f t="shared" si="36"/>
        <v>Cumple</v>
      </c>
      <c r="T81" s="5">
        <f t="shared" si="34"/>
        <v>50000</v>
      </c>
      <c r="U81" s="5">
        <f t="shared" si="30"/>
        <v>50000</v>
      </c>
      <c r="V81" s="4">
        <f>+VLOOKUP(C81,Indicadores!B:S,18,FALSE)</f>
        <v>1</v>
      </c>
      <c r="W81" s="50" t="str">
        <f t="shared" si="21"/>
        <v>Cumple</v>
      </c>
      <c r="X81" s="2">
        <f t="shared" si="31"/>
        <v>50000</v>
      </c>
      <c r="Y81" s="5" t="str">
        <f t="shared" si="32"/>
        <v>SI</v>
      </c>
      <c r="Z81" s="5">
        <f t="shared" si="33"/>
        <v>250000</v>
      </c>
      <c r="AA81" s="1"/>
    </row>
    <row r="82" spans="2:27" x14ac:dyDescent="0.25">
      <c r="B82" s="1" t="s">
        <v>219</v>
      </c>
      <c r="C82" s="1" t="s">
        <v>86</v>
      </c>
      <c r="D82" s="1" t="s">
        <v>312</v>
      </c>
      <c r="E82" s="1" t="s">
        <v>223</v>
      </c>
      <c r="F82" s="1" t="s">
        <v>296</v>
      </c>
      <c r="G82" s="2">
        <f t="shared" si="22"/>
        <v>250000</v>
      </c>
      <c r="H82" s="4">
        <f>+VLOOKUP(C82,Indicadores!B:C,2,FALSE)</f>
        <v>1</v>
      </c>
      <c r="I82" s="1" t="str">
        <f t="shared" si="23"/>
        <v>Cumple</v>
      </c>
      <c r="J82" s="4">
        <f>+VLOOKUP(C82,Indicadores!B:F,5,FALSE)</f>
        <v>1</v>
      </c>
      <c r="K82" s="1" t="str">
        <f t="shared" si="24"/>
        <v>Cumple</v>
      </c>
      <c r="L82" s="77">
        <f t="shared" si="25"/>
        <v>1</v>
      </c>
      <c r="M82" s="11">
        <f t="shared" si="26"/>
        <v>150000</v>
      </c>
      <c r="N82" s="4">
        <f>+VLOOKUP(C82,Indicadores!B:M,12,FALSE)</f>
        <v>0.73333333333333339</v>
      </c>
      <c r="O82" s="1" t="str">
        <f t="shared" si="27"/>
        <v>Cumple</v>
      </c>
      <c r="P82" s="5">
        <f t="shared" si="28"/>
        <v>90000</v>
      </c>
      <c r="Q82" s="5">
        <f t="shared" si="29"/>
        <v>50000</v>
      </c>
      <c r="R82" s="84">
        <f>+IFERROR(VLOOKUP(C82,Indicadores!B:N,13,FALSE),0%)</f>
        <v>0.78169200341435474</v>
      </c>
      <c r="S82" s="5" t="str">
        <f t="shared" si="35"/>
        <v>No Cumple</v>
      </c>
      <c r="T82" s="5">
        <f>IF(R82&gt;=70%,Q82*70%,IF(AND(R82&gt;=81%,R82&lt;=90%),Q82*80%,IF(AND(R82&gt;=91%,R82&lt;=95%),Q82*90%,IF(R82=96%,Q82*96%,IF(R82=97%,Q82*97%,IF(R82=98%,Q82*98%,IF(R82=99%,Q82*99%,IF(R82&gt;=100%,Q82,0))))))))</f>
        <v>35000</v>
      </c>
      <c r="U82" s="5">
        <f t="shared" si="30"/>
        <v>50000</v>
      </c>
      <c r="V82" s="4">
        <f>+VLOOKUP(C82,Indicadores!B:S,18,FALSE)</f>
        <v>1</v>
      </c>
      <c r="W82" s="50" t="str">
        <f t="shared" si="21"/>
        <v>Cumple</v>
      </c>
      <c r="X82" s="2">
        <f t="shared" si="31"/>
        <v>50000</v>
      </c>
      <c r="Y82" s="5" t="str">
        <f t="shared" si="32"/>
        <v>SI</v>
      </c>
      <c r="Z82" s="5">
        <f t="shared" si="33"/>
        <v>175000</v>
      </c>
      <c r="AA82" s="1"/>
    </row>
    <row r="83" spans="2:27" x14ac:dyDescent="0.25">
      <c r="B83" s="1" t="s">
        <v>219</v>
      </c>
      <c r="C83" s="1" t="s">
        <v>87</v>
      </c>
      <c r="D83" s="1" t="s">
        <v>312</v>
      </c>
      <c r="E83" s="1" t="s">
        <v>223</v>
      </c>
      <c r="F83" s="1" t="s">
        <v>296</v>
      </c>
      <c r="G83" s="2">
        <f t="shared" si="22"/>
        <v>250000</v>
      </c>
      <c r="H83" s="4">
        <f>+VLOOKUP(C83,Indicadores!B:C,2,FALSE)</f>
        <v>1</v>
      </c>
      <c r="I83" s="1" t="str">
        <f t="shared" si="23"/>
        <v>Cumple</v>
      </c>
      <c r="J83" s="4">
        <f>+VLOOKUP(C83,Indicadores!B:F,5,FALSE)</f>
        <v>1</v>
      </c>
      <c r="K83" s="1" t="str">
        <f t="shared" si="24"/>
        <v>Cumple</v>
      </c>
      <c r="L83" s="77">
        <f t="shared" si="25"/>
        <v>1</v>
      </c>
      <c r="M83" s="11">
        <f t="shared" si="26"/>
        <v>150000</v>
      </c>
      <c r="N83" s="4">
        <f>+VLOOKUP(C83,Indicadores!B:M,12,FALSE)</f>
        <v>1</v>
      </c>
      <c r="O83" s="1" t="str">
        <f t="shared" si="27"/>
        <v>Cumple</v>
      </c>
      <c r="P83" s="5">
        <f t="shared" si="28"/>
        <v>150000</v>
      </c>
      <c r="Q83" s="5">
        <f t="shared" si="29"/>
        <v>50000</v>
      </c>
      <c r="R83" s="84">
        <f>+IFERROR(VLOOKUP(C83,Indicadores!B:N,13,FALSE),0%)</f>
        <v>1.0009205897014157</v>
      </c>
      <c r="S83" s="5" t="str">
        <f t="shared" ref="S83:S110" si="37">IF(R83&gt;=70%,"Cumple","No Cumple")</f>
        <v>Cumple</v>
      </c>
      <c r="T83" s="5">
        <f t="shared" si="34"/>
        <v>50000</v>
      </c>
      <c r="U83" s="5">
        <f t="shared" si="30"/>
        <v>50000</v>
      </c>
      <c r="V83" s="4">
        <f>+VLOOKUP(C83,Indicadores!B:S,18,FALSE)</f>
        <v>1</v>
      </c>
      <c r="W83" s="50" t="str">
        <f t="shared" si="21"/>
        <v>Cumple</v>
      </c>
      <c r="X83" s="2">
        <f t="shared" si="31"/>
        <v>50000</v>
      </c>
      <c r="Y83" s="5" t="str">
        <f t="shared" si="32"/>
        <v>SI</v>
      </c>
      <c r="Z83" s="5">
        <f t="shared" si="33"/>
        <v>250000</v>
      </c>
      <c r="AA83" s="1"/>
    </row>
    <row r="84" spans="2:27" x14ac:dyDescent="0.25">
      <c r="B84" s="1" t="s">
        <v>219</v>
      </c>
      <c r="C84" s="1" t="s">
        <v>88</v>
      </c>
      <c r="D84" s="1" t="s">
        <v>312</v>
      </c>
      <c r="E84" s="1" t="s">
        <v>223</v>
      </c>
      <c r="F84" s="1" t="s">
        <v>296</v>
      </c>
      <c r="G84" s="2">
        <f t="shared" si="22"/>
        <v>250000</v>
      </c>
      <c r="H84" s="4">
        <f>+VLOOKUP(C84,Indicadores!B:C,2,FALSE)</f>
        <v>0.91666666666666663</v>
      </c>
      <c r="I84" s="1" t="str">
        <f t="shared" si="23"/>
        <v>Cumple</v>
      </c>
      <c r="J84" s="4">
        <f>+VLOOKUP(C84,Indicadores!B:F,5,FALSE)</f>
        <v>0.91666666666666663</v>
      </c>
      <c r="K84" s="1" t="str">
        <f t="shared" si="24"/>
        <v>Cumple</v>
      </c>
      <c r="L84" s="77">
        <f t="shared" si="25"/>
        <v>0.91666666666666663</v>
      </c>
      <c r="M84" s="11">
        <f t="shared" si="26"/>
        <v>150000</v>
      </c>
      <c r="N84" s="4">
        <f>+VLOOKUP(C84,Indicadores!B:M,12,FALSE)</f>
        <v>0.94444444444444431</v>
      </c>
      <c r="O84" s="1" t="str">
        <f t="shared" si="27"/>
        <v>Cumple</v>
      </c>
      <c r="P84" s="5">
        <f t="shared" si="28"/>
        <v>150000</v>
      </c>
      <c r="Q84" s="5">
        <f t="shared" si="29"/>
        <v>50000</v>
      </c>
      <c r="R84" s="84">
        <f>+IFERROR(VLOOKUP(C84,Indicadores!B:N,13,FALSE),0%)</f>
        <v>0.98760282526469967</v>
      </c>
      <c r="S84" s="5" t="str">
        <f t="shared" si="37"/>
        <v>Cumple</v>
      </c>
      <c r="T84" s="5">
        <f>IF(R84=80%,Q84*70%,IF(AND(R84&gt;=81%,R84&lt;=90%),Q84*80%,IF(AND(R84&gt;=91%,R84&lt;=95%),Q84*90%,IF(R84=96%,Q84*96%,IF(R84=97%,Q84*97%,IF(R84&gt;=98%,Q84*98%,IF(R84=99%,Q84*99%,IF(R84&gt;=100%,Q84,0))))))))</f>
        <v>49000</v>
      </c>
      <c r="U84" s="5">
        <f t="shared" si="30"/>
        <v>50000</v>
      </c>
      <c r="V84" s="4">
        <f>+VLOOKUP(C84,Indicadores!B:S,18,FALSE)</f>
        <v>0.91666666666666663</v>
      </c>
      <c r="W84" s="50" t="str">
        <f t="shared" si="21"/>
        <v>No Cumple</v>
      </c>
      <c r="X84" s="2">
        <f t="shared" si="31"/>
        <v>0</v>
      </c>
      <c r="Y84" s="5" t="str">
        <f t="shared" si="32"/>
        <v>SI</v>
      </c>
      <c r="Z84" s="5">
        <f t="shared" si="33"/>
        <v>199000</v>
      </c>
      <c r="AA84" s="1"/>
    </row>
    <row r="85" spans="2:27" x14ac:dyDescent="0.25">
      <c r="B85" s="1" t="s">
        <v>219</v>
      </c>
      <c r="C85" s="1" t="s">
        <v>89</v>
      </c>
      <c r="D85" s="1" t="s">
        <v>312</v>
      </c>
      <c r="E85" s="1" t="s">
        <v>223</v>
      </c>
      <c r="F85" s="1" t="s">
        <v>296</v>
      </c>
      <c r="G85" s="2">
        <f t="shared" si="22"/>
        <v>250000</v>
      </c>
      <c r="H85" s="4">
        <f>+VLOOKUP(C85,Indicadores!B:C,2,FALSE)</f>
        <v>1</v>
      </c>
      <c r="I85" s="1" t="str">
        <f t="shared" si="23"/>
        <v>Cumple</v>
      </c>
      <c r="J85" s="4">
        <f>+VLOOKUP(C85,Indicadores!B:F,5,FALSE)</f>
        <v>1</v>
      </c>
      <c r="K85" s="1" t="str">
        <f t="shared" si="24"/>
        <v>Cumple</v>
      </c>
      <c r="L85" s="77">
        <f t="shared" si="25"/>
        <v>1</v>
      </c>
      <c r="M85" s="11">
        <f t="shared" si="26"/>
        <v>150000</v>
      </c>
      <c r="N85" s="4">
        <f>+VLOOKUP(C85,Indicadores!B:M,12,FALSE)</f>
        <v>1</v>
      </c>
      <c r="O85" s="1" t="str">
        <f t="shared" si="27"/>
        <v>Cumple</v>
      </c>
      <c r="P85" s="5">
        <f t="shared" si="28"/>
        <v>150000</v>
      </c>
      <c r="Q85" s="5">
        <f t="shared" si="29"/>
        <v>50000</v>
      </c>
      <c r="R85" s="84">
        <f>+IFERROR(VLOOKUP(C85,Indicadores!B:N,13,FALSE),0%)</f>
        <v>1.1743987221934002</v>
      </c>
      <c r="S85" s="5" t="str">
        <f t="shared" si="37"/>
        <v>Cumple</v>
      </c>
      <c r="T85" s="5">
        <f t="shared" si="34"/>
        <v>50000</v>
      </c>
      <c r="U85" s="5">
        <f t="shared" si="30"/>
        <v>50000</v>
      </c>
      <c r="V85" s="4">
        <f>+VLOOKUP(C85,Indicadores!B:S,18,FALSE)</f>
        <v>1</v>
      </c>
      <c r="W85" s="50" t="str">
        <f t="shared" si="21"/>
        <v>Cumple</v>
      </c>
      <c r="X85" s="2">
        <f t="shared" si="31"/>
        <v>50000</v>
      </c>
      <c r="Y85" s="5" t="str">
        <f t="shared" si="32"/>
        <v>SI</v>
      </c>
      <c r="Z85" s="5">
        <f t="shared" si="33"/>
        <v>250000</v>
      </c>
      <c r="AA85" s="1"/>
    </row>
    <row r="86" spans="2:27" x14ac:dyDescent="0.25">
      <c r="B86" s="1" t="s">
        <v>219</v>
      </c>
      <c r="C86" s="1" t="s">
        <v>90</v>
      </c>
      <c r="D86" s="1" t="s">
        <v>312</v>
      </c>
      <c r="E86" s="1" t="s">
        <v>223</v>
      </c>
      <c r="F86" s="1" t="s">
        <v>296</v>
      </c>
      <c r="G86" s="2">
        <f t="shared" si="22"/>
        <v>250000</v>
      </c>
      <c r="H86" s="4">
        <f>+VLOOKUP(C86,Indicadores!B:C,2,FALSE)</f>
        <v>0.93333333333333324</v>
      </c>
      <c r="I86" s="1" t="str">
        <f t="shared" si="23"/>
        <v>Cumple</v>
      </c>
      <c r="J86" s="4">
        <f>+VLOOKUP(C86,Indicadores!B:F,5,FALSE)</f>
        <v>0.93333333333333335</v>
      </c>
      <c r="K86" s="1" t="str">
        <f t="shared" si="24"/>
        <v>Cumple</v>
      </c>
      <c r="L86" s="77">
        <f t="shared" si="25"/>
        <v>0.93333333333333335</v>
      </c>
      <c r="M86" s="11">
        <f t="shared" si="26"/>
        <v>150000</v>
      </c>
      <c r="N86" s="4">
        <f>+VLOOKUP(C86,Indicadores!B:M,12,FALSE)</f>
        <v>0.93086419753086425</v>
      </c>
      <c r="O86" s="1" t="str">
        <f t="shared" si="27"/>
        <v>Cumple</v>
      </c>
      <c r="P86" s="5">
        <f t="shared" si="28"/>
        <v>150000</v>
      </c>
      <c r="Q86" s="5">
        <f t="shared" si="29"/>
        <v>50000</v>
      </c>
      <c r="R86" s="84">
        <f>+IFERROR(VLOOKUP(C86,Indicadores!B:N,13,FALSE),0%)</f>
        <v>1.4460714624419557</v>
      </c>
      <c r="S86" s="5" t="str">
        <f t="shared" si="37"/>
        <v>Cumple</v>
      </c>
      <c r="T86" s="5">
        <f t="shared" si="34"/>
        <v>50000</v>
      </c>
      <c r="U86" s="5">
        <f t="shared" si="30"/>
        <v>50000</v>
      </c>
      <c r="V86" s="4">
        <f>+VLOOKUP(C86,Indicadores!B:S,18,FALSE)</f>
        <v>0.46666666666666667</v>
      </c>
      <c r="W86" s="50" t="str">
        <f t="shared" si="21"/>
        <v>No Cumple</v>
      </c>
      <c r="X86" s="2">
        <f t="shared" si="31"/>
        <v>0</v>
      </c>
      <c r="Y86" s="5" t="str">
        <f t="shared" si="32"/>
        <v>SI</v>
      </c>
      <c r="Z86" s="5">
        <f t="shared" si="33"/>
        <v>200000</v>
      </c>
      <c r="AA86" s="1"/>
    </row>
    <row r="87" spans="2:27" x14ac:dyDescent="0.25">
      <c r="B87" s="1" t="s">
        <v>219</v>
      </c>
      <c r="C87" s="1" t="s">
        <v>91</v>
      </c>
      <c r="D87" s="1" t="s">
        <v>313</v>
      </c>
      <c r="E87" s="1" t="s">
        <v>223</v>
      </c>
      <c r="F87" s="1" t="s">
        <v>296</v>
      </c>
      <c r="G87" s="2">
        <f t="shared" si="22"/>
        <v>250000</v>
      </c>
      <c r="H87" s="4">
        <f>+VLOOKUP(C87,Indicadores!B:C,2,FALSE)</f>
        <v>0.87179487179487181</v>
      </c>
      <c r="I87" s="1" t="str">
        <f t="shared" si="23"/>
        <v>Cumple</v>
      </c>
      <c r="J87" s="4">
        <f>+VLOOKUP(C87,Indicadores!B:F,5,FALSE)</f>
        <v>0.84615384615384615</v>
      </c>
      <c r="K87" s="1" t="str">
        <f t="shared" si="24"/>
        <v>Cumple</v>
      </c>
      <c r="L87" s="77">
        <f t="shared" si="25"/>
        <v>0.85897435897435903</v>
      </c>
      <c r="M87" s="11">
        <f t="shared" si="26"/>
        <v>150000</v>
      </c>
      <c r="N87" s="4">
        <f>+VLOOKUP(C87,Indicadores!B:M,12,FALSE)</f>
        <v>0.78974358974358971</v>
      </c>
      <c r="O87" s="1" t="str">
        <f t="shared" si="27"/>
        <v>Cumple</v>
      </c>
      <c r="P87" s="5">
        <f t="shared" si="28"/>
        <v>90000</v>
      </c>
      <c r="Q87" s="5">
        <f t="shared" si="29"/>
        <v>50000</v>
      </c>
      <c r="R87" s="84">
        <f>+IFERROR(VLOOKUP(C87,Indicadores!B:N,13,FALSE),0%)</f>
        <v>1.0383875195161041</v>
      </c>
      <c r="S87" s="5" t="str">
        <f t="shared" si="37"/>
        <v>Cumple</v>
      </c>
      <c r="T87" s="5">
        <f t="shared" si="34"/>
        <v>50000</v>
      </c>
      <c r="U87" s="5">
        <f t="shared" si="30"/>
        <v>50000</v>
      </c>
      <c r="V87" s="4">
        <f>+VLOOKUP(C87,Indicadores!B:S,18,FALSE)</f>
        <v>0.42307692307692307</v>
      </c>
      <c r="W87" s="50" t="str">
        <f t="shared" si="21"/>
        <v>No Cumple</v>
      </c>
      <c r="X87" s="2">
        <f t="shared" si="31"/>
        <v>0</v>
      </c>
      <c r="Y87" s="5" t="str">
        <f t="shared" si="32"/>
        <v>SI</v>
      </c>
      <c r="Z87" s="5">
        <f t="shared" si="33"/>
        <v>140000</v>
      </c>
      <c r="AA87" s="1"/>
    </row>
    <row r="88" spans="2:27" x14ac:dyDescent="0.25">
      <c r="B88" s="1" t="s">
        <v>219</v>
      </c>
      <c r="C88" s="1" t="s">
        <v>92</v>
      </c>
      <c r="D88" s="1" t="s">
        <v>307</v>
      </c>
      <c r="E88" s="1" t="s">
        <v>223</v>
      </c>
      <c r="F88" s="1" t="s">
        <v>296</v>
      </c>
      <c r="G88" s="2">
        <f t="shared" si="22"/>
        <v>250000</v>
      </c>
      <c r="H88" s="4">
        <f>+VLOOKUP(C88,Indicadores!B:C,2,FALSE)</f>
        <v>1</v>
      </c>
      <c r="I88" s="1" t="str">
        <f t="shared" si="23"/>
        <v>Cumple</v>
      </c>
      <c r="J88" s="4">
        <f>+VLOOKUP(C88,Indicadores!B:F,5,FALSE)</f>
        <v>1</v>
      </c>
      <c r="K88" s="1" t="str">
        <f t="shared" si="24"/>
        <v>Cumple</v>
      </c>
      <c r="L88" s="77">
        <f t="shared" si="25"/>
        <v>1</v>
      </c>
      <c r="M88" s="11">
        <f t="shared" si="26"/>
        <v>150000</v>
      </c>
      <c r="N88" s="4">
        <f>+VLOOKUP(C88,Indicadores!B:M,12,FALSE)</f>
        <v>1</v>
      </c>
      <c r="O88" s="1" t="str">
        <f t="shared" si="27"/>
        <v>Cumple</v>
      </c>
      <c r="P88" s="5">
        <f t="shared" si="28"/>
        <v>150000</v>
      </c>
      <c r="Q88" s="5">
        <f t="shared" si="29"/>
        <v>50000</v>
      </c>
      <c r="R88" s="84">
        <v>0.9</v>
      </c>
      <c r="S88" s="5" t="str">
        <f t="shared" si="37"/>
        <v>Cumple</v>
      </c>
      <c r="T88" s="5">
        <f>IF(R88=80%,Q88*70%,IF(AND(R88&gt;=81%,R88&lt;=90%),Q88*80%,IF(AND(R88&gt;=91%,R88&lt;=95%),Q88*90%,IF(R88&gt;=96%,Q88*96%,IF(R88&gt;=97%,Q88*97%,IF(R88&gt;=98%,Q88*98%,IF(R88=99%,Q88*99%,IF(R88&gt;=100%,Q88,0))))))))</f>
        <v>40000</v>
      </c>
      <c r="U88" s="5">
        <f t="shared" si="30"/>
        <v>50000</v>
      </c>
      <c r="V88" s="4">
        <f>+VLOOKUP(C88,Indicadores!B:S,18,FALSE)</f>
        <v>0.5</v>
      </c>
      <c r="W88" s="50" t="str">
        <f t="shared" si="21"/>
        <v>No Cumple</v>
      </c>
      <c r="X88" s="2">
        <f t="shared" si="31"/>
        <v>0</v>
      </c>
      <c r="Y88" s="5" t="str">
        <f t="shared" si="32"/>
        <v>SI</v>
      </c>
      <c r="Z88" s="5">
        <f t="shared" si="33"/>
        <v>190000</v>
      </c>
      <c r="AA88" s="1"/>
    </row>
    <row r="89" spans="2:27" x14ac:dyDescent="0.25">
      <c r="B89" s="1" t="s">
        <v>219</v>
      </c>
      <c r="C89" s="1" t="s">
        <v>93</v>
      </c>
      <c r="D89" s="1" t="s">
        <v>307</v>
      </c>
      <c r="E89" s="1" t="s">
        <v>223</v>
      </c>
      <c r="F89" s="1" t="s">
        <v>296</v>
      </c>
      <c r="G89" s="2">
        <f t="shared" si="22"/>
        <v>250000</v>
      </c>
      <c r="H89" s="4">
        <f>+VLOOKUP(C89,Indicadores!B:C,2,FALSE)</f>
        <v>1</v>
      </c>
      <c r="I89" s="1" t="str">
        <f t="shared" si="23"/>
        <v>Cumple</v>
      </c>
      <c r="J89" s="4">
        <f>+VLOOKUP(C89,Indicadores!B:F,5,FALSE)</f>
        <v>1</v>
      </c>
      <c r="K89" s="1" t="str">
        <f t="shared" si="24"/>
        <v>Cumple</v>
      </c>
      <c r="L89" s="77">
        <f t="shared" si="25"/>
        <v>1</v>
      </c>
      <c r="M89" s="11">
        <f t="shared" si="26"/>
        <v>150000</v>
      </c>
      <c r="N89" s="4">
        <f>+VLOOKUP(C89,Indicadores!B:M,12,FALSE)</f>
        <v>1</v>
      </c>
      <c r="O89" s="1" t="str">
        <f t="shared" si="27"/>
        <v>Cumple</v>
      </c>
      <c r="P89" s="5">
        <f t="shared" si="28"/>
        <v>150000</v>
      </c>
      <c r="Q89" s="5">
        <f t="shared" si="29"/>
        <v>50000</v>
      </c>
      <c r="R89" s="84">
        <f>+IFERROR(VLOOKUP(C89,Indicadores!B:N,13,FALSE),0%)</f>
        <v>1.0492259773148158</v>
      </c>
      <c r="S89" s="5" t="str">
        <f t="shared" si="37"/>
        <v>Cumple</v>
      </c>
      <c r="T89" s="5">
        <f t="shared" si="34"/>
        <v>50000</v>
      </c>
      <c r="U89" s="5">
        <f t="shared" si="30"/>
        <v>50000</v>
      </c>
      <c r="V89" s="4">
        <f>+VLOOKUP(C89,Indicadores!B:S,18,FALSE)</f>
        <v>1</v>
      </c>
      <c r="W89" s="50" t="str">
        <f t="shared" si="21"/>
        <v>Cumple</v>
      </c>
      <c r="X89" s="2">
        <f t="shared" si="31"/>
        <v>50000</v>
      </c>
      <c r="Y89" s="5" t="str">
        <f t="shared" si="32"/>
        <v>SI</v>
      </c>
      <c r="Z89" s="5">
        <f t="shared" si="33"/>
        <v>250000</v>
      </c>
      <c r="AA89" s="1"/>
    </row>
    <row r="90" spans="2:27" x14ac:dyDescent="0.25">
      <c r="B90" s="1" t="s">
        <v>219</v>
      </c>
      <c r="C90" s="1" t="s">
        <v>94</v>
      </c>
      <c r="D90" s="1" t="s">
        <v>307</v>
      </c>
      <c r="E90" s="1" t="s">
        <v>223</v>
      </c>
      <c r="F90" s="1" t="s">
        <v>296</v>
      </c>
      <c r="G90" s="2">
        <f t="shared" si="22"/>
        <v>250000</v>
      </c>
      <c r="H90" s="4">
        <f>+VLOOKUP(C90,Indicadores!B:C,2,FALSE)</f>
        <v>1</v>
      </c>
      <c r="I90" s="1" t="str">
        <f t="shared" si="23"/>
        <v>Cumple</v>
      </c>
      <c r="J90" s="4">
        <f>+VLOOKUP(C90,Indicadores!B:F,5,FALSE)</f>
        <v>1</v>
      </c>
      <c r="K90" s="1" t="str">
        <f t="shared" si="24"/>
        <v>Cumple</v>
      </c>
      <c r="L90" s="77">
        <f t="shared" si="25"/>
        <v>1</v>
      </c>
      <c r="M90" s="11">
        <f t="shared" si="26"/>
        <v>150000</v>
      </c>
      <c r="N90" s="4">
        <f>+VLOOKUP(C90,Indicadores!B:M,12,FALSE)</f>
        <v>0.92753623188405798</v>
      </c>
      <c r="O90" s="1" t="str">
        <f t="shared" si="27"/>
        <v>Cumple</v>
      </c>
      <c r="P90" s="5">
        <f t="shared" si="28"/>
        <v>150000</v>
      </c>
      <c r="Q90" s="5">
        <f t="shared" si="29"/>
        <v>50000</v>
      </c>
      <c r="R90" s="84">
        <f>+IFERROR(VLOOKUP(C90,Indicadores!B:N,13,FALSE),0%)</f>
        <v>1.3180209598865811</v>
      </c>
      <c r="S90" s="5" t="str">
        <f t="shared" si="37"/>
        <v>Cumple</v>
      </c>
      <c r="T90" s="5">
        <f t="shared" si="34"/>
        <v>50000</v>
      </c>
      <c r="U90" s="5">
        <f t="shared" si="30"/>
        <v>50000</v>
      </c>
      <c r="V90" s="4">
        <f>+VLOOKUP(C90,Indicadores!B:S,18,FALSE)</f>
        <v>1</v>
      </c>
      <c r="W90" s="50" t="str">
        <f t="shared" si="21"/>
        <v>Cumple</v>
      </c>
      <c r="X90" s="2">
        <f t="shared" si="31"/>
        <v>50000</v>
      </c>
      <c r="Y90" s="5" t="str">
        <f t="shared" si="32"/>
        <v>SI</v>
      </c>
      <c r="Z90" s="5">
        <f t="shared" si="33"/>
        <v>250000</v>
      </c>
      <c r="AA90" s="1"/>
    </row>
    <row r="91" spans="2:27" x14ac:dyDescent="0.25">
      <c r="B91" s="1" t="s">
        <v>219</v>
      </c>
      <c r="C91" s="1" t="s">
        <v>95</v>
      </c>
      <c r="D91" s="1" t="s">
        <v>307</v>
      </c>
      <c r="E91" s="1" t="s">
        <v>223</v>
      </c>
      <c r="F91" s="1" t="s">
        <v>296</v>
      </c>
      <c r="G91" s="2">
        <f t="shared" si="22"/>
        <v>250000</v>
      </c>
      <c r="H91" s="4">
        <f>+VLOOKUP(C91,Indicadores!B:C,2,FALSE)</f>
        <v>1</v>
      </c>
      <c r="I91" s="1" t="str">
        <f t="shared" si="23"/>
        <v>Cumple</v>
      </c>
      <c r="J91" s="4">
        <f>+VLOOKUP(C91,Indicadores!B:F,5,FALSE)</f>
        <v>0.92307692307692313</v>
      </c>
      <c r="K91" s="1" t="str">
        <f t="shared" si="24"/>
        <v>Cumple</v>
      </c>
      <c r="L91" s="77">
        <f t="shared" si="25"/>
        <v>0.96153846153846156</v>
      </c>
      <c r="M91" s="11">
        <f t="shared" si="26"/>
        <v>150000</v>
      </c>
      <c r="N91" s="4">
        <f>+VLOOKUP(C91,Indicadores!B:M,12,FALSE)</f>
        <v>0.87660256410256421</v>
      </c>
      <c r="O91" s="1" t="str">
        <f t="shared" si="27"/>
        <v>Cumple</v>
      </c>
      <c r="P91" s="5">
        <f t="shared" si="28"/>
        <v>150000</v>
      </c>
      <c r="Q91" s="5">
        <f t="shared" si="29"/>
        <v>50000</v>
      </c>
      <c r="R91" s="84">
        <f>+IFERROR(VLOOKUP(C91,Indicadores!B:N,13,FALSE),0%)</f>
        <v>0.91080220446546645</v>
      </c>
      <c r="S91" s="5" t="str">
        <f t="shared" si="37"/>
        <v>Cumple</v>
      </c>
      <c r="T91" s="5">
        <f t="shared" si="34"/>
        <v>45000</v>
      </c>
      <c r="U91" s="5">
        <f t="shared" si="30"/>
        <v>50000</v>
      </c>
      <c r="V91" s="4">
        <f>+VLOOKUP(C91,Indicadores!B:S,18,FALSE)</f>
        <v>0.5</v>
      </c>
      <c r="W91" s="50" t="str">
        <f t="shared" si="21"/>
        <v>No Cumple</v>
      </c>
      <c r="X91" s="2">
        <f t="shared" si="31"/>
        <v>0</v>
      </c>
      <c r="Y91" s="5" t="str">
        <f t="shared" si="32"/>
        <v>SI</v>
      </c>
      <c r="Z91" s="5">
        <f t="shared" si="33"/>
        <v>195000</v>
      </c>
      <c r="AA91" s="1"/>
    </row>
    <row r="92" spans="2:27" x14ac:dyDescent="0.25">
      <c r="B92" s="1" t="s">
        <v>219</v>
      </c>
      <c r="C92" s="1" t="s">
        <v>96</v>
      </c>
      <c r="D92" s="1" t="s">
        <v>307</v>
      </c>
      <c r="E92" s="1" t="s">
        <v>223</v>
      </c>
      <c r="F92" s="1" t="s">
        <v>296</v>
      </c>
      <c r="G92" s="2">
        <f t="shared" si="22"/>
        <v>250000</v>
      </c>
      <c r="H92" s="4">
        <f>+VLOOKUP(C92,Indicadores!B:C,2,FALSE)</f>
        <v>1</v>
      </c>
      <c r="I92" s="1" t="str">
        <f t="shared" si="23"/>
        <v>Cumple</v>
      </c>
      <c r="J92" s="4">
        <f>+VLOOKUP(C92,Indicadores!B:F,5,FALSE)</f>
        <v>1</v>
      </c>
      <c r="K92" s="1" t="str">
        <f t="shared" si="24"/>
        <v>Cumple</v>
      </c>
      <c r="L92" s="77">
        <f t="shared" si="25"/>
        <v>1</v>
      </c>
      <c r="M92" s="11">
        <f t="shared" si="26"/>
        <v>150000</v>
      </c>
      <c r="N92" s="4">
        <f>+VLOOKUP(C92,Indicadores!B:M,12,FALSE)</f>
        <v>1</v>
      </c>
      <c r="O92" s="1" t="str">
        <f t="shared" si="27"/>
        <v>Cumple</v>
      </c>
      <c r="P92" s="5">
        <f t="shared" si="28"/>
        <v>150000</v>
      </c>
      <c r="Q92" s="5">
        <f t="shared" si="29"/>
        <v>50000</v>
      </c>
      <c r="R92" s="84">
        <f>+IFERROR(VLOOKUP(C92,Indicadores!B:N,13,FALSE),0%)</f>
        <v>0.99862810975539085</v>
      </c>
      <c r="S92" s="5" t="str">
        <f t="shared" si="37"/>
        <v>Cumple</v>
      </c>
      <c r="T92" s="5">
        <f>IF(R92=80%,Q92*70%,IF(AND(R92&gt;=81%,R92&lt;=90%),Q92*80%,IF(AND(R92&gt;=91%,R92&lt;=95%),Q92*90%,IF(R92=96%,Q92*96%,IF(R92=97%,Q92*97%,IF(R92&gt;=98%,Q92*98%,IF(R92=99%,Q92*99%,IF(R92&gt;=100%,Q92,0))))))))</f>
        <v>49000</v>
      </c>
      <c r="U92" s="5">
        <f t="shared" si="30"/>
        <v>50000</v>
      </c>
      <c r="V92" s="4">
        <f>+VLOOKUP(C92,Indicadores!B:S,18,FALSE)</f>
        <v>1</v>
      </c>
      <c r="W92" s="50" t="str">
        <f t="shared" si="21"/>
        <v>Cumple</v>
      </c>
      <c r="X92" s="2">
        <f t="shared" si="31"/>
        <v>50000</v>
      </c>
      <c r="Y92" s="5" t="str">
        <f t="shared" si="32"/>
        <v>SI</v>
      </c>
      <c r="Z92" s="5">
        <f t="shared" si="33"/>
        <v>249000</v>
      </c>
      <c r="AA92" s="1"/>
    </row>
    <row r="93" spans="2:27" x14ac:dyDescent="0.25">
      <c r="B93" s="1" t="s">
        <v>219</v>
      </c>
      <c r="C93" s="1" t="s">
        <v>97</v>
      </c>
      <c r="D93" s="1" t="s">
        <v>307</v>
      </c>
      <c r="E93" s="1" t="s">
        <v>223</v>
      </c>
      <c r="F93" s="1" t="s">
        <v>296</v>
      </c>
      <c r="G93" s="2">
        <f t="shared" si="22"/>
        <v>250000</v>
      </c>
      <c r="H93" s="4">
        <f>+VLOOKUP(C93,Indicadores!B:C,2,FALSE)</f>
        <v>1</v>
      </c>
      <c r="I93" s="1" t="str">
        <f t="shared" si="23"/>
        <v>Cumple</v>
      </c>
      <c r="J93" s="4">
        <f>+VLOOKUP(C93,Indicadores!B:F,5,FALSE)</f>
        <v>1</v>
      </c>
      <c r="K93" s="1" t="str">
        <f t="shared" si="24"/>
        <v>Cumple</v>
      </c>
      <c r="L93" s="77">
        <f t="shared" si="25"/>
        <v>1</v>
      </c>
      <c r="M93" s="11">
        <f t="shared" si="26"/>
        <v>150000</v>
      </c>
      <c r="N93" s="4">
        <f>+VLOOKUP(C93,Indicadores!B:M,12,FALSE)</f>
        <v>0.90028490028490038</v>
      </c>
      <c r="O93" s="1" t="str">
        <f t="shared" si="27"/>
        <v>Cumple</v>
      </c>
      <c r="P93" s="5">
        <f t="shared" si="28"/>
        <v>150000</v>
      </c>
      <c r="Q93" s="5">
        <f t="shared" si="29"/>
        <v>50000</v>
      </c>
      <c r="R93" s="84">
        <f>+IFERROR(VLOOKUP(C93,Indicadores!B:N,13,FALSE),0%)</f>
        <v>1.1778603756967887</v>
      </c>
      <c r="S93" s="5" t="str">
        <f t="shared" si="37"/>
        <v>Cumple</v>
      </c>
      <c r="T93" s="5">
        <f t="shared" si="34"/>
        <v>50000</v>
      </c>
      <c r="U93" s="5">
        <f t="shared" si="30"/>
        <v>50000</v>
      </c>
      <c r="V93" s="4">
        <f>+VLOOKUP(C93,Indicadores!B:S,18,FALSE)</f>
        <v>1</v>
      </c>
      <c r="W93" s="50" t="str">
        <f t="shared" si="21"/>
        <v>Cumple</v>
      </c>
      <c r="X93" s="2">
        <f t="shared" si="31"/>
        <v>50000</v>
      </c>
      <c r="Y93" s="5" t="str">
        <f t="shared" si="32"/>
        <v>SI</v>
      </c>
      <c r="Z93" s="5">
        <f t="shared" si="33"/>
        <v>250000</v>
      </c>
      <c r="AA93" s="1"/>
    </row>
    <row r="94" spans="2:27" x14ac:dyDescent="0.25">
      <c r="B94" s="1" t="s">
        <v>219</v>
      </c>
      <c r="C94" s="1" t="s">
        <v>98</v>
      </c>
      <c r="D94" s="1" t="s">
        <v>307</v>
      </c>
      <c r="E94" s="1" t="s">
        <v>223</v>
      </c>
      <c r="F94" s="1" t="s">
        <v>296</v>
      </c>
      <c r="G94" s="2">
        <f t="shared" si="22"/>
        <v>250000</v>
      </c>
      <c r="H94" s="4">
        <f>+VLOOKUP(C94,Indicadores!B:C,2,FALSE)</f>
        <v>1</v>
      </c>
      <c r="I94" s="1" t="str">
        <f t="shared" si="23"/>
        <v>Cumple</v>
      </c>
      <c r="J94" s="4">
        <f>+VLOOKUP(C94,Indicadores!B:F,5,FALSE)</f>
        <v>1</v>
      </c>
      <c r="K94" s="1" t="str">
        <f t="shared" si="24"/>
        <v>Cumple</v>
      </c>
      <c r="L94" s="77">
        <f t="shared" si="25"/>
        <v>1</v>
      </c>
      <c r="M94" s="11">
        <f t="shared" si="26"/>
        <v>150000</v>
      </c>
      <c r="N94" s="4">
        <f>+VLOOKUP(C94,Indicadores!B:M,12,FALSE)</f>
        <v>0.71111111111111114</v>
      </c>
      <c r="O94" s="1" t="str">
        <f t="shared" si="27"/>
        <v>Cumple</v>
      </c>
      <c r="P94" s="5">
        <f t="shared" si="28"/>
        <v>90000</v>
      </c>
      <c r="Q94" s="5">
        <f t="shared" si="29"/>
        <v>50000</v>
      </c>
      <c r="R94" s="84">
        <f>+IFERROR(VLOOKUP(C94,Indicadores!B:N,13,FALSE),0%)</f>
        <v>0.96749337831071536</v>
      </c>
      <c r="S94" s="5" t="str">
        <f t="shared" si="37"/>
        <v>Cumple</v>
      </c>
      <c r="T94" s="5">
        <f>IF(R94=80%,Q94*70%,IF(AND(R94&gt;=81%,R94&lt;=90%),Q94*80%,IF(AND(R94&gt;=91%,R94&lt;=95%),Q94*90%,IF(R94&gt;=96%,Q94*96%,IF(R94&gt;=97%,Q94*97%,IF(R94&gt;=98%,Q94*98%,IF(R94=99%,Q94*99%,IF(R94&gt;=100%,Q94,0))))))))</f>
        <v>48000</v>
      </c>
      <c r="U94" s="5">
        <f t="shared" si="30"/>
        <v>50000</v>
      </c>
      <c r="V94" s="4">
        <f>+VLOOKUP(C94,Indicadores!B:S,18,FALSE)</f>
        <v>1</v>
      </c>
      <c r="W94" s="50" t="str">
        <f t="shared" si="21"/>
        <v>Cumple</v>
      </c>
      <c r="X94" s="2">
        <f t="shared" si="31"/>
        <v>50000</v>
      </c>
      <c r="Y94" s="5" t="str">
        <f t="shared" si="32"/>
        <v>SI</v>
      </c>
      <c r="Z94" s="5">
        <f t="shared" si="33"/>
        <v>188000</v>
      </c>
      <c r="AA94" s="1"/>
    </row>
    <row r="95" spans="2:27" x14ac:dyDescent="0.25">
      <c r="B95" s="1" t="s">
        <v>219</v>
      </c>
      <c r="C95" s="1" t="s">
        <v>99</v>
      </c>
      <c r="D95" s="1" t="s">
        <v>307</v>
      </c>
      <c r="E95" s="1" t="s">
        <v>223</v>
      </c>
      <c r="F95" s="1" t="s">
        <v>296</v>
      </c>
      <c r="G95" s="2">
        <f t="shared" si="22"/>
        <v>250000</v>
      </c>
      <c r="H95" s="4">
        <f>+VLOOKUP(C95,Indicadores!B:C,2,FALSE)</f>
        <v>1</v>
      </c>
      <c r="I95" s="1" t="str">
        <f t="shared" si="23"/>
        <v>Cumple</v>
      </c>
      <c r="J95" s="4">
        <f>+VLOOKUP(C95,Indicadores!B:F,5,FALSE)</f>
        <v>1</v>
      </c>
      <c r="K95" s="1" t="str">
        <f t="shared" si="24"/>
        <v>Cumple</v>
      </c>
      <c r="L95" s="77">
        <f t="shared" si="25"/>
        <v>1</v>
      </c>
      <c r="M95" s="11">
        <f t="shared" si="26"/>
        <v>150000</v>
      </c>
      <c r="N95" s="4">
        <f>+VLOOKUP(C95,Indicadores!B:M,12,FALSE)</f>
        <v>0.91666666666666663</v>
      </c>
      <c r="O95" s="1" t="str">
        <f t="shared" si="27"/>
        <v>Cumple</v>
      </c>
      <c r="P95" s="5">
        <f t="shared" si="28"/>
        <v>150000</v>
      </c>
      <c r="Q95" s="5">
        <f t="shared" si="29"/>
        <v>50000</v>
      </c>
      <c r="R95" s="84">
        <f>+IFERROR(VLOOKUP(C95,Indicadores!B:N,13,FALSE),0%)</f>
        <v>1.18072455586679</v>
      </c>
      <c r="S95" s="5" t="str">
        <f t="shared" si="37"/>
        <v>Cumple</v>
      </c>
      <c r="T95" s="5">
        <f t="shared" si="34"/>
        <v>50000</v>
      </c>
      <c r="U95" s="5">
        <f t="shared" si="30"/>
        <v>50000</v>
      </c>
      <c r="V95" s="4">
        <f>+VLOOKUP(C95,Indicadores!B:S,18,FALSE)</f>
        <v>1</v>
      </c>
      <c r="W95" s="50" t="str">
        <f t="shared" si="21"/>
        <v>Cumple</v>
      </c>
      <c r="X95" s="2">
        <f t="shared" si="31"/>
        <v>50000</v>
      </c>
      <c r="Y95" s="5" t="str">
        <f t="shared" si="32"/>
        <v>SI</v>
      </c>
      <c r="Z95" s="5">
        <f t="shared" si="33"/>
        <v>250000</v>
      </c>
      <c r="AA95" s="1"/>
    </row>
    <row r="96" spans="2:27" x14ac:dyDescent="0.25">
      <c r="B96" s="1" t="s">
        <v>220</v>
      </c>
      <c r="C96" s="1" t="s">
        <v>100</v>
      </c>
      <c r="D96" s="1" t="s">
        <v>314</v>
      </c>
      <c r="E96" s="1" t="s">
        <v>322</v>
      </c>
      <c r="F96" s="1" t="s">
        <v>297</v>
      </c>
      <c r="G96" s="2">
        <f t="shared" si="22"/>
        <v>250000</v>
      </c>
      <c r="H96" s="4">
        <f>+VLOOKUP(C96,Indicadores!B:C,2,FALSE)</f>
        <v>1</v>
      </c>
      <c r="I96" s="1" t="str">
        <f t="shared" si="23"/>
        <v>Cumple</v>
      </c>
      <c r="J96" s="4">
        <f>+VLOOKUP(C96,Indicadores!B:F,5,FALSE)</f>
        <v>1</v>
      </c>
      <c r="K96" s="1" t="str">
        <f t="shared" si="24"/>
        <v>Cumple</v>
      </c>
      <c r="L96" s="77">
        <f t="shared" si="25"/>
        <v>1</v>
      </c>
      <c r="M96" s="11">
        <f t="shared" si="26"/>
        <v>150000</v>
      </c>
      <c r="N96" s="4">
        <f>+VLOOKUP(C96,Indicadores!B:M,12,FALSE)</f>
        <v>0.94166666666666676</v>
      </c>
      <c r="O96" s="1" t="str">
        <f t="shared" si="27"/>
        <v>Cumple</v>
      </c>
      <c r="P96" s="5">
        <f t="shared" si="28"/>
        <v>150000</v>
      </c>
      <c r="Q96" s="5">
        <f t="shared" si="29"/>
        <v>50000</v>
      </c>
      <c r="R96" s="84">
        <f>+IFERROR(VLOOKUP(C96,Indicadores!B:N,13,FALSE),0%)</f>
        <v>1.0927890824869195</v>
      </c>
      <c r="S96" s="5" t="str">
        <f t="shared" si="37"/>
        <v>Cumple</v>
      </c>
      <c r="T96" s="5">
        <f t="shared" si="34"/>
        <v>50000</v>
      </c>
      <c r="U96" s="5">
        <f t="shared" si="30"/>
        <v>50000</v>
      </c>
      <c r="V96" s="4">
        <f>+VLOOKUP(C96,Indicadores!B:S,18,FALSE)</f>
        <v>0.5</v>
      </c>
      <c r="W96" s="50" t="str">
        <f t="shared" si="21"/>
        <v>No Cumple</v>
      </c>
      <c r="X96" s="2">
        <f t="shared" si="31"/>
        <v>0</v>
      </c>
      <c r="Y96" s="5" t="str">
        <f t="shared" si="32"/>
        <v>SI</v>
      </c>
      <c r="Z96" s="5">
        <f t="shared" si="33"/>
        <v>200000</v>
      </c>
      <c r="AA96" s="1"/>
    </row>
    <row r="97" spans="2:27" x14ac:dyDescent="0.25">
      <c r="B97" s="1" t="s">
        <v>220</v>
      </c>
      <c r="C97" s="1" t="s">
        <v>101</v>
      </c>
      <c r="D97" s="1" t="s">
        <v>314</v>
      </c>
      <c r="E97" s="1" t="s">
        <v>322</v>
      </c>
      <c r="F97" s="1" t="s">
        <v>297</v>
      </c>
      <c r="G97" s="2">
        <f t="shared" si="22"/>
        <v>250000</v>
      </c>
      <c r="H97" s="4">
        <f>+VLOOKUP(C97,Indicadores!B:C,2,FALSE)</f>
        <v>1</v>
      </c>
      <c r="I97" s="1" t="str">
        <f t="shared" si="23"/>
        <v>Cumple</v>
      </c>
      <c r="J97" s="4">
        <f>+VLOOKUP(C97,Indicadores!B:F,5,FALSE)</f>
        <v>1</v>
      </c>
      <c r="K97" s="1" t="str">
        <f t="shared" si="24"/>
        <v>Cumple</v>
      </c>
      <c r="L97" s="77">
        <f t="shared" si="25"/>
        <v>1</v>
      </c>
      <c r="M97" s="11">
        <f t="shared" si="26"/>
        <v>150000</v>
      </c>
      <c r="N97" s="4">
        <f>+VLOOKUP(C97,Indicadores!B:M,12,FALSE)</f>
        <v>0.92046783625730999</v>
      </c>
      <c r="O97" s="1" t="str">
        <f t="shared" si="27"/>
        <v>Cumple</v>
      </c>
      <c r="P97" s="5">
        <f t="shared" si="28"/>
        <v>150000</v>
      </c>
      <c r="Q97" s="5">
        <f t="shared" si="29"/>
        <v>50000</v>
      </c>
      <c r="R97" s="84">
        <f>+IFERROR(VLOOKUP(C97,Indicadores!B:N,13,FALSE),0%)</f>
        <v>0.86136963141883727</v>
      </c>
      <c r="S97" s="5" t="str">
        <f t="shared" si="37"/>
        <v>Cumple</v>
      </c>
      <c r="T97" s="5">
        <f t="shared" si="34"/>
        <v>40000</v>
      </c>
      <c r="U97" s="5">
        <f t="shared" si="30"/>
        <v>50000</v>
      </c>
      <c r="V97" s="4">
        <f>+VLOOKUP(C97,Indicadores!B:S,18,FALSE)</f>
        <v>0.5</v>
      </c>
      <c r="W97" s="50" t="str">
        <f t="shared" si="21"/>
        <v>No Cumple</v>
      </c>
      <c r="X97" s="2">
        <f t="shared" si="31"/>
        <v>0</v>
      </c>
      <c r="Y97" s="5" t="str">
        <f t="shared" si="32"/>
        <v>SI</v>
      </c>
      <c r="Z97" s="5">
        <f t="shared" si="33"/>
        <v>190000</v>
      </c>
      <c r="AA97" s="1"/>
    </row>
    <row r="98" spans="2:27" x14ac:dyDescent="0.25">
      <c r="B98" s="1" t="s">
        <v>220</v>
      </c>
      <c r="C98" s="1" t="s">
        <v>102</v>
      </c>
      <c r="D98" s="1" t="s">
        <v>314</v>
      </c>
      <c r="E98" s="1" t="s">
        <v>322</v>
      </c>
      <c r="F98" s="1" t="s">
        <v>297</v>
      </c>
      <c r="G98" s="2">
        <f t="shared" si="22"/>
        <v>250000</v>
      </c>
      <c r="H98" s="4">
        <f>+VLOOKUP(C98,Indicadores!B:C,2,FALSE)</f>
        <v>1</v>
      </c>
      <c r="I98" s="1" t="str">
        <f t="shared" si="23"/>
        <v>Cumple</v>
      </c>
      <c r="J98" s="4">
        <f>+VLOOKUP(C98,Indicadores!B:F,5,FALSE)</f>
        <v>1</v>
      </c>
      <c r="K98" s="1" t="str">
        <f t="shared" si="24"/>
        <v>Cumple</v>
      </c>
      <c r="L98" s="77">
        <f t="shared" si="25"/>
        <v>1</v>
      </c>
      <c r="M98" s="11">
        <f t="shared" si="26"/>
        <v>150000</v>
      </c>
      <c r="N98" s="4">
        <f>+VLOOKUP(C98,Indicadores!B:M,12,FALSE)</f>
        <v>0.90792838874680315</v>
      </c>
      <c r="O98" s="1" t="str">
        <f t="shared" si="27"/>
        <v>Cumple</v>
      </c>
      <c r="P98" s="5">
        <f t="shared" si="28"/>
        <v>150000</v>
      </c>
      <c r="Q98" s="5">
        <f t="shared" si="29"/>
        <v>50000</v>
      </c>
      <c r="R98" s="84">
        <f>+IFERROR(VLOOKUP(C98,Indicadores!B:N,13,FALSE),0%)</f>
        <v>1.1447375313337351</v>
      </c>
      <c r="S98" s="5" t="str">
        <f t="shared" si="37"/>
        <v>Cumple</v>
      </c>
      <c r="T98" s="5">
        <f t="shared" si="34"/>
        <v>50000</v>
      </c>
      <c r="U98" s="5">
        <f t="shared" si="30"/>
        <v>50000</v>
      </c>
      <c r="V98" s="4">
        <f>+VLOOKUP(C98,Indicadores!B:S,18,FALSE)</f>
        <v>0.5</v>
      </c>
      <c r="W98" s="50" t="str">
        <f t="shared" si="21"/>
        <v>No Cumple</v>
      </c>
      <c r="X98" s="2">
        <f t="shared" si="31"/>
        <v>0</v>
      </c>
      <c r="Y98" s="5" t="str">
        <f t="shared" si="32"/>
        <v>SI</v>
      </c>
      <c r="Z98" s="5">
        <f t="shared" si="33"/>
        <v>200000</v>
      </c>
      <c r="AA98" s="1"/>
    </row>
    <row r="99" spans="2:27" x14ac:dyDescent="0.25">
      <c r="B99" s="1" t="s">
        <v>220</v>
      </c>
      <c r="C99" s="1" t="s">
        <v>103</v>
      </c>
      <c r="D99" s="1" t="s">
        <v>314</v>
      </c>
      <c r="E99" s="1" t="s">
        <v>322</v>
      </c>
      <c r="F99" s="1" t="s">
        <v>297</v>
      </c>
      <c r="G99" s="2">
        <f t="shared" si="22"/>
        <v>250000</v>
      </c>
      <c r="H99" s="4">
        <f>+VLOOKUP(C99,Indicadores!B:C,2,FALSE)</f>
        <v>1</v>
      </c>
      <c r="I99" s="1" t="str">
        <f t="shared" si="23"/>
        <v>Cumple</v>
      </c>
      <c r="J99" s="4">
        <f>+VLOOKUP(C99,Indicadores!B:F,5,FALSE)</f>
        <v>1</v>
      </c>
      <c r="K99" s="1" t="str">
        <f t="shared" si="24"/>
        <v>Cumple</v>
      </c>
      <c r="L99" s="77">
        <f t="shared" si="25"/>
        <v>1</v>
      </c>
      <c r="M99" s="11">
        <f t="shared" si="26"/>
        <v>150000</v>
      </c>
      <c r="N99" s="4">
        <f>+VLOOKUP(C99,Indicadores!B:M,12,FALSE)</f>
        <v>1</v>
      </c>
      <c r="O99" s="1" t="str">
        <f t="shared" si="27"/>
        <v>Cumple</v>
      </c>
      <c r="P99" s="5">
        <f t="shared" si="28"/>
        <v>150000</v>
      </c>
      <c r="Q99" s="5">
        <f t="shared" si="29"/>
        <v>50000</v>
      </c>
      <c r="R99" s="84">
        <f>+IFERROR(VLOOKUP(C99,Indicadores!B:N,13,FALSE),0%)</f>
        <v>1.1493266279893399</v>
      </c>
      <c r="S99" s="5" t="str">
        <f t="shared" si="37"/>
        <v>Cumple</v>
      </c>
      <c r="T99" s="5">
        <f t="shared" si="34"/>
        <v>50000</v>
      </c>
      <c r="U99" s="5">
        <f t="shared" si="30"/>
        <v>50000</v>
      </c>
      <c r="V99" s="4">
        <f>+VLOOKUP(C99,Indicadores!B:S,18,FALSE)</f>
        <v>1</v>
      </c>
      <c r="W99" s="50" t="str">
        <f t="shared" si="21"/>
        <v>Cumple</v>
      </c>
      <c r="X99" s="2">
        <f t="shared" si="31"/>
        <v>50000</v>
      </c>
      <c r="Y99" s="5" t="str">
        <f t="shared" si="32"/>
        <v>SI</v>
      </c>
      <c r="Z99" s="5">
        <f t="shared" si="33"/>
        <v>250000</v>
      </c>
      <c r="AA99" s="1"/>
    </row>
    <row r="100" spans="2:27" x14ac:dyDescent="0.25">
      <c r="B100" s="1" t="s">
        <v>220</v>
      </c>
      <c r="C100" s="1" t="s">
        <v>104</v>
      </c>
      <c r="D100" s="1" t="s">
        <v>314</v>
      </c>
      <c r="E100" s="1" t="s">
        <v>322</v>
      </c>
      <c r="F100" s="1" t="s">
        <v>297</v>
      </c>
      <c r="G100" s="2">
        <f t="shared" si="22"/>
        <v>250000</v>
      </c>
      <c r="H100" s="4">
        <f>+VLOOKUP(C100,Indicadores!B:C,2,FALSE)</f>
        <v>0.85416666666666663</v>
      </c>
      <c r="I100" s="1" t="str">
        <f t="shared" si="23"/>
        <v>Cumple</v>
      </c>
      <c r="J100" s="4">
        <f>+VLOOKUP(C100,Indicadores!B:F,5,FALSE)</f>
        <v>0.875</v>
      </c>
      <c r="K100" s="1" t="str">
        <f t="shared" si="24"/>
        <v>Cumple</v>
      </c>
      <c r="L100" s="77">
        <f t="shared" si="25"/>
        <v>0.86458333333333326</v>
      </c>
      <c r="M100" s="11">
        <f t="shared" si="26"/>
        <v>150000</v>
      </c>
      <c r="N100" s="4">
        <f>+VLOOKUP(C100,Indicadores!B:M,12,FALSE)</f>
        <v>0.65489130434782605</v>
      </c>
      <c r="O100" s="1" t="str">
        <f t="shared" si="27"/>
        <v>Cumple</v>
      </c>
      <c r="P100" s="5">
        <f t="shared" si="28"/>
        <v>90000</v>
      </c>
      <c r="Q100" s="5">
        <f t="shared" si="29"/>
        <v>50000</v>
      </c>
      <c r="R100" s="84">
        <f>+IFERROR(VLOOKUP(C100,Indicadores!B:N,13,FALSE),0%)</f>
        <v>1.3067737668463437</v>
      </c>
      <c r="S100" s="5" t="str">
        <f t="shared" si="37"/>
        <v>Cumple</v>
      </c>
      <c r="T100" s="5">
        <f t="shared" si="34"/>
        <v>50000</v>
      </c>
      <c r="U100" s="5">
        <f t="shared" si="30"/>
        <v>50000</v>
      </c>
      <c r="V100" s="4">
        <f>+VLOOKUP(C100,Indicadores!B:S,18,FALSE)</f>
        <v>0.4375</v>
      </c>
      <c r="W100" s="50" t="str">
        <f t="shared" si="21"/>
        <v>No Cumple</v>
      </c>
      <c r="X100" s="2">
        <f t="shared" si="31"/>
        <v>0</v>
      </c>
      <c r="Y100" s="5" t="str">
        <f t="shared" si="32"/>
        <v>SI</v>
      </c>
      <c r="Z100" s="5">
        <f t="shared" si="33"/>
        <v>140000</v>
      </c>
      <c r="AA100" s="1"/>
    </row>
    <row r="101" spans="2:27" x14ac:dyDescent="0.25">
      <c r="B101" s="1" t="s">
        <v>220</v>
      </c>
      <c r="C101" s="1" t="s">
        <v>105</v>
      </c>
      <c r="D101" s="1" t="s">
        <v>314</v>
      </c>
      <c r="E101" s="1" t="s">
        <v>322</v>
      </c>
      <c r="F101" s="1" t="s">
        <v>297</v>
      </c>
      <c r="G101" s="2">
        <f t="shared" si="22"/>
        <v>250000</v>
      </c>
      <c r="H101" s="4">
        <f>+VLOOKUP(C101,Indicadores!B:C,2,FALSE)</f>
        <v>1</v>
      </c>
      <c r="I101" s="1" t="str">
        <f t="shared" si="23"/>
        <v>Cumple</v>
      </c>
      <c r="J101" s="4">
        <f>+VLOOKUP(C101,Indicadores!B:F,5,FALSE)</f>
        <v>1</v>
      </c>
      <c r="K101" s="1" t="str">
        <f t="shared" si="24"/>
        <v>Cumple</v>
      </c>
      <c r="L101" s="77">
        <f t="shared" si="25"/>
        <v>1</v>
      </c>
      <c r="M101" s="11">
        <f t="shared" si="26"/>
        <v>150000</v>
      </c>
      <c r="N101" s="4">
        <f>+VLOOKUP(C101,Indicadores!B:M,12,FALSE)</f>
        <v>0.98611111111111116</v>
      </c>
      <c r="O101" s="1" t="str">
        <f t="shared" si="27"/>
        <v>Cumple</v>
      </c>
      <c r="P101" s="5">
        <f t="shared" si="28"/>
        <v>150000</v>
      </c>
      <c r="Q101" s="5">
        <f t="shared" si="29"/>
        <v>50000</v>
      </c>
      <c r="R101" s="84">
        <f>+IFERROR(VLOOKUP(C101,Indicadores!B:N,13,FALSE),0%)</f>
        <v>0.94401310881686262</v>
      </c>
      <c r="S101" s="5" t="str">
        <f t="shared" si="37"/>
        <v>Cumple</v>
      </c>
      <c r="T101" s="5">
        <f t="shared" si="34"/>
        <v>45000</v>
      </c>
      <c r="U101" s="5">
        <f t="shared" si="30"/>
        <v>50000</v>
      </c>
      <c r="V101" s="4">
        <f>+VLOOKUP(C101,Indicadores!B:S,18,FALSE)</f>
        <v>0.5</v>
      </c>
      <c r="W101" s="50" t="str">
        <f t="shared" si="21"/>
        <v>No Cumple</v>
      </c>
      <c r="X101" s="2">
        <f t="shared" si="31"/>
        <v>0</v>
      </c>
      <c r="Y101" s="5" t="str">
        <f t="shared" si="32"/>
        <v>SI</v>
      </c>
      <c r="Z101" s="5">
        <f t="shared" si="33"/>
        <v>195000</v>
      </c>
      <c r="AA101" s="1"/>
    </row>
    <row r="102" spans="2:27" x14ac:dyDescent="0.25">
      <c r="B102" s="1" t="s">
        <v>220</v>
      </c>
      <c r="C102" s="1" t="s">
        <v>106</v>
      </c>
      <c r="D102" s="1" t="s">
        <v>314</v>
      </c>
      <c r="E102" s="1" t="s">
        <v>322</v>
      </c>
      <c r="F102" s="1" t="s">
        <v>297</v>
      </c>
      <c r="G102" s="2">
        <f t="shared" si="22"/>
        <v>250000</v>
      </c>
      <c r="H102" s="4">
        <f>+VLOOKUP(C102,Indicadores!B:C,2,FALSE)</f>
        <v>0.94117647058823517</v>
      </c>
      <c r="I102" s="1" t="str">
        <f t="shared" si="23"/>
        <v>Cumple</v>
      </c>
      <c r="J102" s="4">
        <f>+VLOOKUP(C102,Indicadores!B:F,5,FALSE)</f>
        <v>0.94117647058823528</v>
      </c>
      <c r="K102" s="1" t="str">
        <f t="shared" si="24"/>
        <v>Cumple</v>
      </c>
      <c r="L102" s="77">
        <f t="shared" si="25"/>
        <v>0.94117647058823528</v>
      </c>
      <c r="M102" s="11">
        <f t="shared" si="26"/>
        <v>150000</v>
      </c>
      <c r="N102" s="4">
        <f>+VLOOKUP(C102,Indicadores!B:M,12,FALSE)</f>
        <v>0.94887955182072836</v>
      </c>
      <c r="O102" s="1" t="str">
        <f t="shared" si="27"/>
        <v>Cumple</v>
      </c>
      <c r="P102" s="5">
        <f t="shared" si="28"/>
        <v>150000</v>
      </c>
      <c r="Q102" s="5">
        <f t="shared" si="29"/>
        <v>50000</v>
      </c>
      <c r="R102" s="84">
        <f>+IFERROR(VLOOKUP(C102,Indicadores!B:N,13,FALSE),0%)</f>
        <v>1.0083755259182861</v>
      </c>
      <c r="S102" s="5" t="str">
        <f t="shared" si="37"/>
        <v>Cumple</v>
      </c>
      <c r="T102" s="5">
        <f t="shared" si="34"/>
        <v>50000</v>
      </c>
      <c r="U102" s="5">
        <f t="shared" si="30"/>
        <v>50000</v>
      </c>
      <c r="V102" s="4">
        <f>+VLOOKUP(C102,Indicadores!B:S,18,FALSE)</f>
        <v>0.47058823529411764</v>
      </c>
      <c r="W102" s="50" t="str">
        <f t="shared" si="21"/>
        <v>No Cumple</v>
      </c>
      <c r="X102" s="2">
        <f t="shared" si="31"/>
        <v>0</v>
      </c>
      <c r="Y102" s="5" t="str">
        <f t="shared" si="32"/>
        <v>SI</v>
      </c>
      <c r="Z102" s="5">
        <f t="shared" si="33"/>
        <v>200000</v>
      </c>
      <c r="AA102" s="1"/>
    </row>
    <row r="103" spans="2:27" x14ac:dyDescent="0.25">
      <c r="B103" s="1" t="s">
        <v>220</v>
      </c>
      <c r="C103" s="1" t="s">
        <v>107</v>
      </c>
      <c r="D103" s="1" t="s">
        <v>314</v>
      </c>
      <c r="E103" s="1" t="s">
        <v>322</v>
      </c>
      <c r="F103" s="1" t="s">
        <v>297</v>
      </c>
      <c r="G103" s="2">
        <f t="shared" si="22"/>
        <v>250000</v>
      </c>
      <c r="H103" s="4">
        <f>+VLOOKUP(C103,Indicadores!B:C,2,FALSE)</f>
        <v>0.875</v>
      </c>
      <c r="I103" s="1" t="str">
        <f t="shared" si="23"/>
        <v>Cumple</v>
      </c>
      <c r="J103" s="4">
        <f>+VLOOKUP(C103,Indicadores!B:F,5,FALSE)</f>
        <v>0.875</v>
      </c>
      <c r="K103" s="1" t="str">
        <f t="shared" si="24"/>
        <v>Cumple</v>
      </c>
      <c r="L103" s="77">
        <f t="shared" si="25"/>
        <v>0.875</v>
      </c>
      <c r="M103" s="11">
        <f t="shared" si="26"/>
        <v>150000</v>
      </c>
      <c r="N103" s="4">
        <f>+VLOOKUP(C103,Indicadores!B:M,12,FALSE)</f>
        <v>0.75378787878787878</v>
      </c>
      <c r="O103" s="1" t="str">
        <f t="shared" si="27"/>
        <v>Cumple</v>
      </c>
      <c r="P103" s="5">
        <f t="shared" si="28"/>
        <v>90000</v>
      </c>
      <c r="Q103" s="5">
        <f t="shared" si="29"/>
        <v>50000</v>
      </c>
      <c r="R103" s="84">
        <f>+IFERROR(VLOOKUP(C103,Indicadores!B:N,13,FALSE),0%)</f>
        <v>1.0708685338085906</v>
      </c>
      <c r="S103" s="5" t="str">
        <f t="shared" si="37"/>
        <v>Cumple</v>
      </c>
      <c r="T103" s="5">
        <f t="shared" si="34"/>
        <v>50000</v>
      </c>
      <c r="U103" s="5">
        <f t="shared" si="30"/>
        <v>50000</v>
      </c>
      <c r="V103" s="4">
        <f>+VLOOKUP(C103,Indicadores!B:S,18,FALSE)</f>
        <v>0.875</v>
      </c>
      <c r="W103" s="50" t="str">
        <f t="shared" si="21"/>
        <v>No Cumple</v>
      </c>
      <c r="X103" s="2">
        <f t="shared" si="31"/>
        <v>0</v>
      </c>
      <c r="Y103" s="5" t="str">
        <f t="shared" si="32"/>
        <v>SI</v>
      </c>
      <c r="Z103" s="5">
        <f t="shared" si="33"/>
        <v>140000</v>
      </c>
      <c r="AA103" s="1"/>
    </row>
    <row r="104" spans="2:27" x14ac:dyDescent="0.25">
      <c r="B104" s="1" t="s">
        <v>220</v>
      </c>
      <c r="C104" s="1" t="s">
        <v>108</v>
      </c>
      <c r="D104" s="1" t="s">
        <v>314</v>
      </c>
      <c r="E104" s="1" t="s">
        <v>322</v>
      </c>
      <c r="F104" s="1" t="s">
        <v>297</v>
      </c>
      <c r="G104" s="2">
        <f t="shared" si="22"/>
        <v>250000</v>
      </c>
      <c r="H104" s="4">
        <f>+VLOOKUP(C104,Indicadores!B:C,2,FALSE)</f>
        <v>1</v>
      </c>
      <c r="I104" s="1" t="str">
        <f t="shared" si="23"/>
        <v>Cumple</v>
      </c>
      <c r="J104" s="4">
        <f>+VLOOKUP(C104,Indicadores!B:F,5,FALSE)</f>
        <v>1</v>
      </c>
      <c r="K104" s="1" t="str">
        <f t="shared" si="24"/>
        <v>Cumple</v>
      </c>
      <c r="L104" s="77">
        <f t="shared" si="25"/>
        <v>1</v>
      </c>
      <c r="M104" s="11">
        <f t="shared" si="26"/>
        <v>150000</v>
      </c>
      <c r="N104" s="4">
        <f>+VLOOKUP(C104,Indicadores!B:M,12,FALSE)</f>
        <v>0.86134691567628752</v>
      </c>
      <c r="O104" s="1" t="str">
        <f t="shared" si="27"/>
        <v>Cumple</v>
      </c>
      <c r="P104" s="5">
        <f t="shared" si="28"/>
        <v>150000</v>
      </c>
      <c r="Q104" s="5">
        <f t="shared" si="29"/>
        <v>50000</v>
      </c>
      <c r="R104" s="84">
        <f>+IFERROR(VLOOKUP(C104,Indicadores!B:N,13,FALSE),0%)</f>
        <v>1.1008927290991777</v>
      </c>
      <c r="S104" s="5" t="str">
        <f t="shared" si="37"/>
        <v>Cumple</v>
      </c>
      <c r="T104" s="5">
        <f t="shared" si="34"/>
        <v>50000</v>
      </c>
      <c r="U104" s="5">
        <f t="shared" si="30"/>
        <v>50000</v>
      </c>
      <c r="V104" s="4">
        <f>+VLOOKUP(C104,Indicadores!B:S,18,FALSE)</f>
        <v>0.5</v>
      </c>
      <c r="W104" s="50" t="str">
        <f t="shared" si="21"/>
        <v>No Cumple</v>
      </c>
      <c r="X104" s="2">
        <f t="shared" si="31"/>
        <v>0</v>
      </c>
      <c r="Y104" s="5" t="str">
        <f t="shared" si="32"/>
        <v>SI</v>
      </c>
      <c r="Z104" s="5">
        <f t="shared" si="33"/>
        <v>200000</v>
      </c>
      <c r="AA104" s="1"/>
    </row>
    <row r="105" spans="2:27" x14ac:dyDescent="0.25">
      <c r="B105" s="1" t="s">
        <v>220</v>
      </c>
      <c r="C105" s="1" t="s">
        <v>109</v>
      </c>
      <c r="D105" s="1" t="s">
        <v>314</v>
      </c>
      <c r="E105" s="1" t="s">
        <v>322</v>
      </c>
      <c r="F105" s="1" t="s">
        <v>297</v>
      </c>
      <c r="G105" s="2">
        <f t="shared" si="22"/>
        <v>250000</v>
      </c>
      <c r="H105" s="4">
        <f>+VLOOKUP(C105,Indicadores!B:C,2,FALSE)</f>
        <v>0.96969696969696972</v>
      </c>
      <c r="I105" s="1" t="str">
        <f t="shared" si="23"/>
        <v>Cumple</v>
      </c>
      <c r="J105" s="4">
        <f>+VLOOKUP(C105,Indicadores!B:F,5,FALSE)</f>
        <v>1</v>
      </c>
      <c r="K105" s="1" t="str">
        <f t="shared" si="24"/>
        <v>Cumple</v>
      </c>
      <c r="L105" s="77">
        <f t="shared" si="25"/>
        <v>0.98484848484848486</v>
      </c>
      <c r="M105" s="11">
        <f t="shared" si="26"/>
        <v>150000</v>
      </c>
      <c r="N105" s="4">
        <f>+VLOOKUP(C105,Indicadores!B:M,12,FALSE)</f>
        <v>0.91161616161616166</v>
      </c>
      <c r="O105" s="1" t="str">
        <f t="shared" si="27"/>
        <v>Cumple</v>
      </c>
      <c r="P105" s="5">
        <f t="shared" si="28"/>
        <v>150000</v>
      </c>
      <c r="Q105" s="5">
        <f t="shared" si="29"/>
        <v>50000</v>
      </c>
      <c r="R105" s="84">
        <f>+IFERROR(VLOOKUP(C105,Indicadores!B:N,13,FALSE),0%)</f>
        <v>1.1204991879236526</v>
      </c>
      <c r="S105" s="5" t="str">
        <f t="shared" si="37"/>
        <v>Cumple</v>
      </c>
      <c r="T105" s="5">
        <f t="shared" si="34"/>
        <v>50000</v>
      </c>
      <c r="U105" s="5">
        <f t="shared" si="30"/>
        <v>50000</v>
      </c>
      <c r="V105" s="4">
        <f>+VLOOKUP(C105,Indicadores!B:S,18,FALSE)</f>
        <v>0.95454545454545459</v>
      </c>
      <c r="W105" s="50" t="str">
        <f t="shared" si="21"/>
        <v>No Cumple</v>
      </c>
      <c r="X105" s="2">
        <f t="shared" si="31"/>
        <v>0</v>
      </c>
      <c r="Y105" s="5" t="str">
        <f t="shared" si="32"/>
        <v>SI</v>
      </c>
      <c r="Z105" s="5">
        <f t="shared" si="33"/>
        <v>200000</v>
      </c>
      <c r="AA105" s="1"/>
    </row>
    <row r="106" spans="2:27" x14ac:dyDescent="0.25">
      <c r="B106" s="1" t="s">
        <v>221</v>
      </c>
      <c r="C106" s="1" t="s">
        <v>110</v>
      </c>
      <c r="D106" s="1" t="s">
        <v>315</v>
      </c>
      <c r="E106" s="1" t="s">
        <v>322</v>
      </c>
      <c r="F106" s="1" t="s">
        <v>323</v>
      </c>
      <c r="G106" s="2">
        <f t="shared" si="22"/>
        <v>250000</v>
      </c>
      <c r="H106" s="4">
        <f>+VLOOKUP(C106,Indicadores!B:C,2,FALSE)</f>
        <v>0.92307692307692302</v>
      </c>
      <c r="I106" s="1" t="str">
        <f t="shared" si="23"/>
        <v>Cumple</v>
      </c>
      <c r="J106" s="4">
        <f>+VLOOKUP(C106,Indicadores!B:F,5,FALSE)</f>
        <v>0.92307692307692313</v>
      </c>
      <c r="K106" s="1" t="str">
        <f t="shared" si="24"/>
        <v>Cumple</v>
      </c>
      <c r="L106" s="77">
        <f t="shared" si="25"/>
        <v>0.92307692307692313</v>
      </c>
      <c r="M106" s="11">
        <f t="shared" si="26"/>
        <v>150000</v>
      </c>
      <c r="N106" s="4">
        <f>+VLOOKUP(C106,Indicadores!B:M,12,FALSE)</f>
        <v>0.65538461538461545</v>
      </c>
      <c r="O106" s="1" t="str">
        <f t="shared" si="27"/>
        <v>Cumple</v>
      </c>
      <c r="P106" s="5">
        <f t="shared" si="28"/>
        <v>90000</v>
      </c>
      <c r="Q106" s="5">
        <f t="shared" si="29"/>
        <v>50000</v>
      </c>
      <c r="R106" s="84">
        <f>+IFERROR(VLOOKUP(C106,Indicadores!B:N,13,FALSE),0%)</f>
        <v>1.1763410763039355</v>
      </c>
      <c r="S106" s="5" t="str">
        <f t="shared" si="37"/>
        <v>Cumple</v>
      </c>
      <c r="T106" s="5">
        <f t="shared" si="34"/>
        <v>50000</v>
      </c>
      <c r="U106" s="5">
        <f t="shared" si="30"/>
        <v>50000</v>
      </c>
      <c r="V106" s="4">
        <f>+VLOOKUP(C106,Indicadores!B:S,18,FALSE)</f>
        <v>0.92307692307692313</v>
      </c>
      <c r="W106" s="50" t="str">
        <f t="shared" si="21"/>
        <v>No Cumple</v>
      </c>
      <c r="X106" s="2">
        <f t="shared" si="31"/>
        <v>0</v>
      </c>
      <c r="Y106" s="5" t="str">
        <f t="shared" si="32"/>
        <v>SI</v>
      </c>
      <c r="Z106" s="5">
        <f t="shared" si="33"/>
        <v>140000</v>
      </c>
      <c r="AA106" s="1"/>
    </row>
    <row r="107" spans="2:27" x14ac:dyDescent="0.25">
      <c r="B107" s="1" t="s">
        <v>221</v>
      </c>
      <c r="C107" s="1" t="s">
        <v>111</v>
      </c>
      <c r="D107" s="1" t="s">
        <v>315</v>
      </c>
      <c r="E107" s="1" t="s">
        <v>322</v>
      </c>
      <c r="F107" s="1" t="s">
        <v>323</v>
      </c>
      <c r="G107" s="2">
        <f t="shared" si="22"/>
        <v>250000</v>
      </c>
      <c r="H107" s="4">
        <f>+VLOOKUP(C107,Indicadores!B:C,2,FALSE)</f>
        <v>1</v>
      </c>
      <c r="I107" s="1" t="str">
        <f t="shared" si="23"/>
        <v>Cumple</v>
      </c>
      <c r="J107" s="4">
        <f>+VLOOKUP(C107,Indicadores!B:F,5,FALSE)</f>
        <v>1</v>
      </c>
      <c r="K107" s="1" t="str">
        <f t="shared" si="24"/>
        <v>Cumple</v>
      </c>
      <c r="L107" s="77">
        <f t="shared" si="25"/>
        <v>1</v>
      </c>
      <c r="M107" s="11">
        <f t="shared" si="26"/>
        <v>150000</v>
      </c>
      <c r="N107" s="4">
        <f>+VLOOKUP(C107,Indicadores!B:M,12,FALSE)</f>
        <v>1</v>
      </c>
      <c r="O107" s="1" t="str">
        <f t="shared" si="27"/>
        <v>Cumple</v>
      </c>
      <c r="P107" s="5">
        <f t="shared" si="28"/>
        <v>150000</v>
      </c>
      <c r="Q107" s="5">
        <f t="shared" si="29"/>
        <v>50000</v>
      </c>
      <c r="R107" s="84">
        <f>+IFERROR(VLOOKUP(C107,Indicadores!B:N,13,FALSE),0%)</f>
        <v>1.1824442925514564</v>
      </c>
      <c r="S107" s="5" t="str">
        <f t="shared" si="37"/>
        <v>Cumple</v>
      </c>
      <c r="T107" s="5">
        <f t="shared" si="34"/>
        <v>50000</v>
      </c>
      <c r="U107" s="5">
        <f t="shared" si="30"/>
        <v>50000</v>
      </c>
      <c r="V107" s="4">
        <f>+VLOOKUP(C107,Indicadores!B:S,18,FALSE)</f>
        <v>1</v>
      </c>
      <c r="W107" s="50" t="str">
        <f t="shared" si="21"/>
        <v>Cumple</v>
      </c>
      <c r="X107" s="2">
        <f t="shared" si="31"/>
        <v>50000</v>
      </c>
      <c r="Y107" s="5" t="str">
        <f t="shared" si="32"/>
        <v>SI</v>
      </c>
      <c r="Z107" s="5">
        <f t="shared" si="33"/>
        <v>250000</v>
      </c>
      <c r="AA107" s="1"/>
    </row>
    <row r="108" spans="2:27" x14ac:dyDescent="0.25">
      <c r="B108" s="1" t="s">
        <v>221</v>
      </c>
      <c r="C108" s="1" t="s">
        <v>112</v>
      </c>
      <c r="D108" s="1" t="s">
        <v>315</v>
      </c>
      <c r="E108" s="1" t="s">
        <v>322</v>
      </c>
      <c r="F108" s="1" t="s">
        <v>323</v>
      </c>
      <c r="G108" s="2">
        <f t="shared" si="22"/>
        <v>250000</v>
      </c>
      <c r="H108" s="4">
        <f>+VLOOKUP(C108,Indicadores!B:C,2,FALSE)</f>
        <v>0.97222222222222221</v>
      </c>
      <c r="I108" s="1" t="str">
        <f t="shared" si="23"/>
        <v>Cumple</v>
      </c>
      <c r="J108" s="4">
        <f>+VLOOKUP(C108,Indicadores!B:F,5,FALSE)</f>
        <v>1</v>
      </c>
      <c r="K108" s="1" t="str">
        <f t="shared" si="24"/>
        <v>Cumple</v>
      </c>
      <c r="L108" s="77">
        <f t="shared" si="25"/>
        <v>0.98611111111111116</v>
      </c>
      <c r="M108" s="11">
        <f t="shared" si="26"/>
        <v>150000</v>
      </c>
      <c r="N108" s="4">
        <f>+VLOOKUP(C108,Indicadores!B:M,12,FALSE)</f>
        <v>0.75793650793650791</v>
      </c>
      <c r="O108" s="1" t="str">
        <f t="shared" si="27"/>
        <v>Cumple</v>
      </c>
      <c r="P108" s="5">
        <f t="shared" si="28"/>
        <v>90000</v>
      </c>
      <c r="Q108" s="5">
        <f t="shared" si="29"/>
        <v>50000</v>
      </c>
      <c r="R108" s="84">
        <f>+IFERROR(VLOOKUP(C108,Indicadores!B:N,13,FALSE),0%)</f>
        <v>1.0891887767904904</v>
      </c>
      <c r="S108" s="5" t="str">
        <f t="shared" si="37"/>
        <v>Cumple</v>
      </c>
      <c r="T108" s="5">
        <f t="shared" si="34"/>
        <v>50000</v>
      </c>
      <c r="U108" s="5">
        <f t="shared" si="30"/>
        <v>50000</v>
      </c>
      <c r="V108" s="4">
        <f>+VLOOKUP(C108,Indicadores!B:S,18,FALSE)</f>
        <v>0.45833333333333331</v>
      </c>
      <c r="W108" s="50" t="str">
        <f t="shared" si="21"/>
        <v>No Cumple</v>
      </c>
      <c r="X108" s="2">
        <f t="shared" si="31"/>
        <v>0</v>
      </c>
      <c r="Y108" s="5" t="str">
        <f t="shared" si="32"/>
        <v>SI</v>
      </c>
      <c r="Z108" s="5">
        <f t="shared" si="33"/>
        <v>140000</v>
      </c>
      <c r="AA108" s="1"/>
    </row>
    <row r="109" spans="2:27" x14ac:dyDescent="0.25">
      <c r="B109" s="1" t="s">
        <v>221</v>
      </c>
      <c r="C109" s="1" t="s">
        <v>113</v>
      </c>
      <c r="D109" s="1" t="s">
        <v>315</v>
      </c>
      <c r="E109" s="1" t="s">
        <v>322</v>
      </c>
      <c r="F109" s="1" t="s">
        <v>323</v>
      </c>
      <c r="G109" s="2">
        <f t="shared" si="22"/>
        <v>250000</v>
      </c>
      <c r="H109" s="4">
        <f>+VLOOKUP(C109,Indicadores!B:C,2,FALSE)</f>
        <v>0.83333333333333337</v>
      </c>
      <c r="I109" s="1" t="str">
        <f t="shared" si="23"/>
        <v>Cumple</v>
      </c>
      <c r="J109" s="4">
        <f>+VLOOKUP(C109,Indicadores!B:F,5,FALSE)</f>
        <v>0.83333333333333337</v>
      </c>
      <c r="K109" s="1" t="str">
        <f t="shared" si="24"/>
        <v>Cumple</v>
      </c>
      <c r="L109" s="77">
        <f t="shared" si="25"/>
        <v>0.83333333333333337</v>
      </c>
      <c r="M109" s="11">
        <f t="shared" si="26"/>
        <v>150000</v>
      </c>
      <c r="N109" s="4">
        <f>+VLOOKUP(C109,Indicadores!B:M,12,FALSE)</f>
        <v>0.59941520467836262</v>
      </c>
      <c r="O109" s="1" t="str">
        <f t="shared" si="27"/>
        <v>No Cumple</v>
      </c>
      <c r="P109" s="5">
        <f t="shared" si="28"/>
        <v>0</v>
      </c>
      <c r="Q109" s="5">
        <f t="shared" si="29"/>
        <v>50000</v>
      </c>
      <c r="R109" s="84">
        <f>+IFERROR(VLOOKUP(C109,Indicadores!B:N,13,FALSE),0%)</f>
        <v>0.87401666017216106</v>
      </c>
      <c r="S109" s="5" t="str">
        <f t="shared" si="37"/>
        <v>Cumple</v>
      </c>
      <c r="T109" s="5">
        <f t="shared" si="34"/>
        <v>40000</v>
      </c>
      <c r="U109" s="5">
        <f t="shared" si="30"/>
        <v>50000</v>
      </c>
      <c r="V109" s="4">
        <f>+VLOOKUP(C109,Indicadores!B:S,18,FALSE)</f>
        <v>0.83333333333333337</v>
      </c>
      <c r="W109" s="50" t="str">
        <f t="shared" si="21"/>
        <v>No Cumple</v>
      </c>
      <c r="X109" s="2">
        <f t="shared" si="31"/>
        <v>0</v>
      </c>
      <c r="Y109" s="5" t="str">
        <f t="shared" si="32"/>
        <v>SI</v>
      </c>
      <c r="Z109" s="5">
        <f t="shared" si="33"/>
        <v>40000</v>
      </c>
      <c r="AA109" s="1"/>
    </row>
    <row r="110" spans="2:27" x14ac:dyDescent="0.25">
      <c r="B110" s="1" t="s">
        <v>221</v>
      </c>
      <c r="C110" s="1" t="s">
        <v>114</v>
      </c>
      <c r="D110" s="1" t="s">
        <v>316</v>
      </c>
      <c r="E110" s="1" t="s">
        <v>322</v>
      </c>
      <c r="F110" s="1" t="s">
        <v>323</v>
      </c>
      <c r="G110" s="2">
        <f t="shared" si="22"/>
        <v>250000</v>
      </c>
      <c r="H110" s="4">
        <f>+VLOOKUP(C110,Indicadores!B:C,2,FALSE)</f>
        <v>1</v>
      </c>
      <c r="I110" s="1" t="str">
        <f t="shared" si="23"/>
        <v>Cumple</v>
      </c>
      <c r="J110" s="4">
        <f>+VLOOKUP(C110,Indicadores!B:F,5,FALSE)</f>
        <v>1</v>
      </c>
      <c r="K110" s="1" t="str">
        <f t="shared" si="24"/>
        <v>Cumple</v>
      </c>
      <c r="L110" s="77">
        <f t="shared" si="25"/>
        <v>1</v>
      </c>
      <c r="M110" s="11">
        <f t="shared" si="26"/>
        <v>150000</v>
      </c>
      <c r="N110" s="4">
        <f>+VLOOKUP(C110,Indicadores!B:M,12,FALSE)</f>
        <v>0.7142857142857143</v>
      </c>
      <c r="O110" s="1" t="str">
        <f t="shared" si="27"/>
        <v>Cumple</v>
      </c>
      <c r="P110" s="5">
        <f t="shared" si="28"/>
        <v>90000</v>
      </c>
      <c r="Q110" s="5">
        <f t="shared" si="29"/>
        <v>50000</v>
      </c>
      <c r="R110" s="84">
        <v>0.95</v>
      </c>
      <c r="S110" s="5" t="str">
        <f t="shared" si="37"/>
        <v>Cumple</v>
      </c>
      <c r="T110" s="5">
        <f>IF(R110=80%,Q110*70%,IF(AND(R110&gt;=81%,R110&lt;=90%),Q110*80%,IF(AND(R110&gt;=91%,R110&lt;=95.9%),Q110*90%,IF(R110&gt;=96%,Q110*96%,IF(R110&gt;=97%,Q110*97%,IF(R110&gt;=98%,Q110*98%,IF(R110=99%,Q110*99%,IF(R110&gt;=100%,Q110,0))))))))</f>
        <v>45000</v>
      </c>
      <c r="U110" s="5">
        <f t="shared" si="30"/>
        <v>50000</v>
      </c>
      <c r="V110" s="4">
        <f>+VLOOKUP(C110,Indicadores!B:S,18,FALSE)</f>
        <v>1</v>
      </c>
      <c r="W110" s="50" t="str">
        <f t="shared" si="21"/>
        <v>Cumple</v>
      </c>
      <c r="X110" s="2">
        <f t="shared" si="31"/>
        <v>50000</v>
      </c>
      <c r="Y110" s="5" t="str">
        <f t="shared" si="32"/>
        <v>SI</v>
      </c>
      <c r="Z110" s="5">
        <f t="shared" si="33"/>
        <v>185000</v>
      </c>
      <c r="AA110" s="1"/>
    </row>
    <row r="111" spans="2:27" x14ac:dyDescent="0.25">
      <c r="B111" s="1" t="s">
        <v>221</v>
      </c>
      <c r="C111" s="1" t="s">
        <v>115</v>
      </c>
      <c r="D111" s="1" t="s">
        <v>315</v>
      </c>
      <c r="E111" s="1" t="s">
        <v>322</v>
      </c>
      <c r="F111" s="1" t="s">
        <v>323</v>
      </c>
      <c r="G111" s="2">
        <f t="shared" si="22"/>
        <v>250000</v>
      </c>
      <c r="H111" s="4">
        <f>+VLOOKUP(C111,Indicadores!B:C,2,FALSE)</f>
        <v>1</v>
      </c>
      <c r="I111" s="1" t="str">
        <f t="shared" si="23"/>
        <v>Cumple</v>
      </c>
      <c r="J111" s="4">
        <f>+VLOOKUP(C111,Indicadores!B:F,5,FALSE)</f>
        <v>1</v>
      </c>
      <c r="K111" s="1" t="str">
        <f t="shared" si="24"/>
        <v>Cumple</v>
      </c>
      <c r="L111" s="77">
        <f t="shared" si="25"/>
        <v>1</v>
      </c>
      <c r="M111" s="11">
        <f t="shared" si="26"/>
        <v>150000</v>
      </c>
      <c r="N111" s="4">
        <v>0.79</v>
      </c>
      <c r="O111" s="1" t="str">
        <f t="shared" si="27"/>
        <v>Cumple</v>
      </c>
      <c r="P111" s="5">
        <f t="shared" si="28"/>
        <v>90000</v>
      </c>
      <c r="Q111" s="5">
        <f t="shared" si="29"/>
        <v>50000</v>
      </c>
      <c r="R111" s="84">
        <f>+IFERROR(VLOOKUP(C111,Indicadores!B:N,13,FALSE),0%)</f>
        <v>0.79624000083991209</v>
      </c>
      <c r="S111" s="5" t="str">
        <f t="shared" si="35"/>
        <v>No Cumple</v>
      </c>
      <c r="T111" s="5">
        <f>IF(R111&gt;=70%,Q111*70%,IF(AND(R111&gt;=81%,R111&lt;=90%),Q111*80%,IF(AND(R111&gt;=91%,R111&lt;=95%),Q111*90%,IF(R111=96%,Q111*96%,IF(R111=97%,Q111*97%,IF(R111=98%,Q111*98%,IF(R111=99%,Q111*99%,IF(R111&gt;=100%,Q111,0))))))))</f>
        <v>35000</v>
      </c>
      <c r="U111" s="5">
        <f t="shared" si="30"/>
        <v>50000</v>
      </c>
      <c r="V111" s="4">
        <f>+VLOOKUP(C111,Indicadores!B:S,18,FALSE)</f>
        <v>0.5</v>
      </c>
      <c r="W111" s="50" t="str">
        <f t="shared" si="21"/>
        <v>No Cumple</v>
      </c>
      <c r="X111" s="2">
        <f t="shared" si="31"/>
        <v>0</v>
      </c>
      <c r="Y111" s="5" t="str">
        <f t="shared" si="32"/>
        <v>SI</v>
      </c>
      <c r="Z111" s="5">
        <f t="shared" si="33"/>
        <v>125000</v>
      </c>
      <c r="AA111" s="1"/>
    </row>
    <row r="112" spans="2:27" x14ac:dyDescent="0.25">
      <c r="B112" s="1" t="s">
        <v>221</v>
      </c>
      <c r="C112" s="1" t="s">
        <v>116</v>
      </c>
      <c r="D112" s="1" t="s">
        <v>315</v>
      </c>
      <c r="E112" s="1" t="s">
        <v>322</v>
      </c>
      <c r="F112" s="1" t="s">
        <v>323</v>
      </c>
      <c r="G112" s="2">
        <f t="shared" si="22"/>
        <v>250000</v>
      </c>
      <c r="H112" s="4">
        <f>+VLOOKUP(C112,Indicadores!B:C,2,FALSE)</f>
        <v>1</v>
      </c>
      <c r="I112" s="1" t="str">
        <f t="shared" si="23"/>
        <v>Cumple</v>
      </c>
      <c r="J112" s="4">
        <f>+VLOOKUP(C112,Indicadores!B:F,5,FALSE)</f>
        <v>1</v>
      </c>
      <c r="K112" s="1" t="str">
        <f t="shared" si="24"/>
        <v>Cumple</v>
      </c>
      <c r="L112" s="77">
        <f t="shared" si="25"/>
        <v>1</v>
      </c>
      <c r="M112" s="11">
        <f t="shared" si="26"/>
        <v>150000</v>
      </c>
      <c r="N112" s="4">
        <f>+VLOOKUP(C112,Indicadores!B:M,12,FALSE)</f>
        <v>0.78315412186379929</v>
      </c>
      <c r="O112" s="1" t="str">
        <f t="shared" si="27"/>
        <v>Cumple</v>
      </c>
      <c r="P112" s="5">
        <f t="shared" si="28"/>
        <v>90000</v>
      </c>
      <c r="Q112" s="5">
        <f t="shared" si="29"/>
        <v>50000</v>
      </c>
      <c r="R112" s="84">
        <f>+IFERROR(VLOOKUP(C112,Indicadores!B:N,13,FALSE),0%)</f>
        <v>1.3897614823678393</v>
      </c>
      <c r="S112" s="5" t="str">
        <f t="shared" ref="S112:S136" si="38">IF(R112&gt;=70%,"Cumple","No Cumple")</f>
        <v>Cumple</v>
      </c>
      <c r="T112" s="5">
        <f t="shared" si="34"/>
        <v>50000</v>
      </c>
      <c r="U112" s="5">
        <f t="shared" si="30"/>
        <v>50000</v>
      </c>
      <c r="V112" s="4">
        <f>+VLOOKUP(C112,Indicadores!B:S,18,FALSE)</f>
        <v>1</v>
      </c>
      <c r="W112" s="50" t="str">
        <f t="shared" si="21"/>
        <v>Cumple</v>
      </c>
      <c r="X112" s="2">
        <f t="shared" si="31"/>
        <v>50000</v>
      </c>
      <c r="Y112" s="5" t="str">
        <f t="shared" si="32"/>
        <v>SI</v>
      </c>
      <c r="Z112" s="5">
        <f t="shared" si="33"/>
        <v>190000</v>
      </c>
      <c r="AA112" s="1"/>
    </row>
    <row r="113" spans="2:27" x14ac:dyDescent="0.25">
      <c r="B113" s="1" t="s">
        <v>221</v>
      </c>
      <c r="C113" s="1" t="s">
        <v>117</v>
      </c>
      <c r="D113" s="1" t="s">
        <v>315</v>
      </c>
      <c r="E113" s="1" t="s">
        <v>322</v>
      </c>
      <c r="F113" s="1" t="s">
        <v>323</v>
      </c>
      <c r="G113" s="2">
        <f t="shared" si="22"/>
        <v>250000</v>
      </c>
      <c r="H113" s="4">
        <f>+VLOOKUP(C113,Indicadores!B:C,2,FALSE)</f>
        <v>1</v>
      </c>
      <c r="I113" s="1" t="str">
        <f t="shared" si="23"/>
        <v>Cumple</v>
      </c>
      <c r="J113" s="4">
        <f>+VLOOKUP(C113,Indicadores!B:F,5,FALSE)</f>
        <v>1</v>
      </c>
      <c r="K113" s="1" t="str">
        <f t="shared" si="24"/>
        <v>Cumple</v>
      </c>
      <c r="L113" s="77">
        <f t="shared" si="25"/>
        <v>1</v>
      </c>
      <c r="M113" s="11">
        <f t="shared" si="26"/>
        <v>150000</v>
      </c>
      <c r="N113" s="4">
        <f>+VLOOKUP(C113,Indicadores!B:M,12,FALSE)</f>
        <v>0.93333333333333324</v>
      </c>
      <c r="O113" s="1" t="str">
        <f t="shared" si="27"/>
        <v>Cumple</v>
      </c>
      <c r="P113" s="5">
        <f t="shared" si="28"/>
        <v>150000</v>
      </c>
      <c r="Q113" s="5">
        <f t="shared" si="29"/>
        <v>50000</v>
      </c>
      <c r="R113" s="84">
        <f>+IFERROR(VLOOKUP(C113,Indicadores!B:N,13,FALSE),0%)</f>
        <v>1.4431576605462948</v>
      </c>
      <c r="S113" s="5" t="str">
        <f t="shared" si="38"/>
        <v>Cumple</v>
      </c>
      <c r="T113" s="5">
        <f t="shared" si="34"/>
        <v>50000</v>
      </c>
      <c r="U113" s="5">
        <f t="shared" si="30"/>
        <v>50000</v>
      </c>
      <c r="V113" s="4">
        <f>+VLOOKUP(C113,Indicadores!B:S,18,FALSE)</f>
        <v>1</v>
      </c>
      <c r="W113" s="50" t="str">
        <f t="shared" si="21"/>
        <v>Cumple</v>
      </c>
      <c r="X113" s="2">
        <f t="shared" si="31"/>
        <v>50000</v>
      </c>
      <c r="Y113" s="5" t="str">
        <f t="shared" si="32"/>
        <v>SI</v>
      </c>
      <c r="Z113" s="5">
        <f t="shared" si="33"/>
        <v>250000</v>
      </c>
      <c r="AA113" s="1"/>
    </row>
    <row r="114" spans="2:27" x14ac:dyDescent="0.25">
      <c r="B114" s="1" t="s">
        <v>221</v>
      </c>
      <c r="C114" s="1" t="s">
        <v>118</v>
      </c>
      <c r="D114" s="1" t="s">
        <v>315</v>
      </c>
      <c r="E114" s="1" t="s">
        <v>322</v>
      </c>
      <c r="F114" s="1" t="s">
        <v>323</v>
      </c>
      <c r="G114" s="2">
        <f t="shared" si="22"/>
        <v>250000</v>
      </c>
      <c r="H114" s="4">
        <f>+VLOOKUP(C114,Indicadores!B:C,2,FALSE)</f>
        <v>1</v>
      </c>
      <c r="I114" s="1" t="str">
        <f t="shared" si="23"/>
        <v>Cumple</v>
      </c>
      <c r="J114" s="4">
        <f>+VLOOKUP(C114,Indicadores!B:F,5,FALSE)</f>
        <v>1</v>
      </c>
      <c r="K114" s="1" t="str">
        <f t="shared" si="24"/>
        <v>Cumple</v>
      </c>
      <c r="L114" s="77">
        <f t="shared" si="25"/>
        <v>1</v>
      </c>
      <c r="M114" s="11">
        <f t="shared" si="26"/>
        <v>150000</v>
      </c>
      <c r="N114" s="4">
        <f>+VLOOKUP(C114,Indicadores!B:M,12,FALSE)</f>
        <v>0.33333333333333331</v>
      </c>
      <c r="O114" s="1" t="str">
        <f t="shared" si="27"/>
        <v>No Cumple</v>
      </c>
      <c r="P114" s="5">
        <f t="shared" si="28"/>
        <v>0</v>
      </c>
      <c r="Q114" s="5">
        <f t="shared" si="29"/>
        <v>50000</v>
      </c>
      <c r="R114" s="84">
        <f>+IFERROR(VLOOKUP(C114,Indicadores!B:N,13,FALSE),0%)</f>
        <v>1.1169145560930267</v>
      </c>
      <c r="S114" s="5" t="str">
        <f t="shared" si="38"/>
        <v>Cumple</v>
      </c>
      <c r="T114" s="5">
        <f t="shared" si="34"/>
        <v>50000</v>
      </c>
      <c r="U114" s="5">
        <f t="shared" si="30"/>
        <v>50000</v>
      </c>
      <c r="V114" s="4">
        <f>+VLOOKUP(C114,Indicadores!B:S,18,FALSE)</f>
        <v>1</v>
      </c>
      <c r="W114" s="50" t="str">
        <f t="shared" si="21"/>
        <v>Cumple</v>
      </c>
      <c r="X114" s="2">
        <f t="shared" si="31"/>
        <v>50000</v>
      </c>
      <c r="Y114" s="5" t="str">
        <f t="shared" si="32"/>
        <v>SI</v>
      </c>
      <c r="Z114" s="5">
        <f t="shared" si="33"/>
        <v>100000</v>
      </c>
      <c r="AA114" s="10"/>
    </row>
    <row r="115" spans="2:27" x14ac:dyDescent="0.25">
      <c r="B115" s="1" t="s">
        <v>221</v>
      </c>
      <c r="C115" s="1" t="s">
        <v>119</v>
      </c>
      <c r="D115" s="1" t="s">
        <v>315</v>
      </c>
      <c r="E115" s="1" t="s">
        <v>322</v>
      </c>
      <c r="F115" s="1" t="s">
        <v>323</v>
      </c>
      <c r="G115" s="2">
        <f t="shared" ref="G115:G134" si="39">IF(L115&gt;=80%,250000,IF(AND(L115&gt;=60%,L115&lt;80%),150000,0))</f>
        <v>250000</v>
      </c>
      <c r="H115" s="4">
        <f>+VLOOKUP(C115,Indicadores!B:C,2,FALSE)</f>
        <v>1</v>
      </c>
      <c r="I115" s="1" t="str">
        <f t="shared" si="23"/>
        <v>Cumple</v>
      </c>
      <c r="J115" s="4">
        <f>+VLOOKUP(C115,Indicadores!B:F,5,FALSE)</f>
        <v>1</v>
      </c>
      <c r="K115" s="1" t="str">
        <f t="shared" si="24"/>
        <v>Cumple</v>
      </c>
      <c r="L115" s="77">
        <f t="shared" si="25"/>
        <v>1</v>
      </c>
      <c r="M115" s="11">
        <f t="shared" si="26"/>
        <v>150000</v>
      </c>
      <c r="N115" s="4">
        <f>+VLOOKUP(C115,Indicadores!B:M,12,FALSE)</f>
        <v>0.80645161290322587</v>
      </c>
      <c r="O115" s="1" t="str">
        <f t="shared" si="27"/>
        <v>Cumple</v>
      </c>
      <c r="P115" s="5">
        <f t="shared" si="28"/>
        <v>150000</v>
      </c>
      <c r="Q115" s="5">
        <f t="shared" si="29"/>
        <v>50000</v>
      </c>
      <c r="R115" s="84">
        <f>+IFERROR(VLOOKUP(C115,Indicadores!B:N,13,FALSE),0%)</f>
        <v>1.0510409952502668</v>
      </c>
      <c r="S115" s="5" t="str">
        <f t="shared" si="38"/>
        <v>Cumple</v>
      </c>
      <c r="T115" s="5">
        <f t="shared" si="34"/>
        <v>50000</v>
      </c>
      <c r="U115" s="5">
        <f t="shared" si="30"/>
        <v>50000</v>
      </c>
      <c r="V115" s="4">
        <f>+VLOOKUP(C115,Indicadores!B:S,18,FALSE)</f>
        <v>1</v>
      </c>
      <c r="W115" s="50" t="str">
        <f t="shared" si="21"/>
        <v>Cumple</v>
      </c>
      <c r="X115" s="2">
        <f t="shared" si="31"/>
        <v>50000</v>
      </c>
      <c r="Y115" s="5" t="str">
        <f t="shared" si="32"/>
        <v>SI</v>
      </c>
      <c r="Z115" s="5">
        <f t="shared" si="33"/>
        <v>250000</v>
      </c>
      <c r="AA115" s="1"/>
    </row>
    <row r="116" spans="2:27" x14ac:dyDescent="0.25">
      <c r="B116" s="1" t="s">
        <v>221</v>
      </c>
      <c r="C116" s="1" t="s">
        <v>120</v>
      </c>
      <c r="D116" s="1" t="s">
        <v>315</v>
      </c>
      <c r="E116" s="1" t="s">
        <v>322</v>
      </c>
      <c r="F116" s="1" t="s">
        <v>323</v>
      </c>
      <c r="G116" s="2">
        <f>IF(L116&gt;=80%,250000,IF(AND(L116&gt;=60%,L116&lt;80%),150000,0))</f>
        <v>150000</v>
      </c>
      <c r="H116" s="4">
        <f>+VLOOKUP(C116,Indicadores!B:C,2,FALSE)</f>
        <v>0.72222222222222221</v>
      </c>
      <c r="I116" s="1" t="str">
        <f t="shared" si="23"/>
        <v>Cumple</v>
      </c>
      <c r="J116" s="4">
        <f>+VLOOKUP(C116,Indicadores!B:F,5,FALSE)</f>
        <v>0.72222222222222221</v>
      </c>
      <c r="K116" s="1" t="str">
        <f t="shared" si="24"/>
        <v>Cumple</v>
      </c>
      <c r="L116" s="77">
        <f t="shared" si="25"/>
        <v>0.72222222222222221</v>
      </c>
      <c r="M116" s="11">
        <f t="shared" si="26"/>
        <v>90000</v>
      </c>
      <c r="N116" s="4">
        <f>+VLOOKUP(C116,Indicadores!B:M,12,FALSE)</f>
        <v>0.5634920634920636</v>
      </c>
      <c r="O116" s="1" t="str">
        <f t="shared" si="27"/>
        <v>No Cumple</v>
      </c>
      <c r="P116" s="5">
        <f t="shared" si="28"/>
        <v>0</v>
      </c>
      <c r="Q116" s="5">
        <f t="shared" si="29"/>
        <v>50000</v>
      </c>
      <c r="R116" s="84">
        <f>+IFERROR(VLOOKUP(C116,Indicadores!B:N,13,FALSE),0%)</f>
        <v>1.034293934846366</v>
      </c>
      <c r="S116" s="5" t="str">
        <f t="shared" si="38"/>
        <v>Cumple</v>
      </c>
      <c r="T116" s="5">
        <f t="shared" si="34"/>
        <v>50000</v>
      </c>
      <c r="U116" s="5">
        <f t="shared" si="30"/>
        <v>30000</v>
      </c>
      <c r="V116" s="4">
        <f>+VLOOKUP(C116,Indicadores!B:S,18,FALSE)</f>
        <v>0.3611111111111111</v>
      </c>
      <c r="W116" s="50" t="str">
        <f t="shared" si="21"/>
        <v>No Cumple</v>
      </c>
      <c r="X116" s="2">
        <f t="shared" si="31"/>
        <v>0</v>
      </c>
      <c r="Y116" s="5" t="str">
        <f t="shared" si="32"/>
        <v>SI</v>
      </c>
      <c r="Z116" s="5">
        <f t="shared" si="33"/>
        <v>50000</v>
      </c>
      <c r="AA116" s="1"/>
    </row>
    <row r="117" spans="2:27" s="82" customFormat="1" x14ac:dyDescent="0.25">
      <c r="B117" s="78" t="s">
        <v>221</v>
      </c>
      <c r="C117" s="78" t="s">
        <v>121</v>
      </c>
      <c r="D117" s="1" t="s">
        <v>315</v>
      </c>
      <c r="E117" s="1" t="s">
        <v>322</v>
      </c>
      <c r="F117" s="1" t="s">
        <v>323</v>
      </c>
      <c r="G117" s="79">
        <f t="shared" si="39"/>
        <v>250000</v>
      </c>
      <c r="H117" s="4">
        <f>+VLOOKUP(C117,Indicadores!B:C,2,FALSE)</f>
        <v>0.88888888888888884</v>
      </c>
      <c r="I117" s="1" t="str">
        <f t="shared" si="23"/>
        <v>Cumple</v>
      </c>
      <c r="J117" s="4">
        <f>+VLOOKUP(C117,Indicadores!B:F,5,FALSE)</f>
        <v>0.83333333333333337</v>
      </c>
      <c r="K117" s="1" t="str">
        <f t="shared" si="24"/>
        <v>Cumple</v>
      </c>
      <c r="L117" s="77">
        <f t="shared" si="25"/>
        <v>0.86111111111111116</v>
      </c>
      <c r="M117" s="11">
        <f t="shared" si="26"/>
        <v>150000</v>
      </c>
      <c r="N117" s="4">
        <v>0.8</v>
      </c>
      <c r="O117" s="1" t="str">
        <f t="shared" si="27"/>
        <v>Cumple</v>
      </c>
      <c r="P117" s="5">
        <f>IF(N117&gt;=80%,M117*100%,IF(AND(N117&gt;=60%,N117&lt;=79%),M117*60%,0))</f>
        <v>150000</v>
      </c>
      <c r="Q117" s="5">
        <f t="shared" si="29"/>
        <v>50000</v>
      </c>
      <c r="R117" s="84">
        <f>+IFERROR(VLOOKUP(C117,Indicadores!B:N,13,FALSE),0%)</f>
        <v>1.4395204244963393</v>
      </c>
      <c r="S117" s="5" t="str">
        <f t="shared" si="38"/>
        <v>Cumple</v>
      </c>
      <c r="T117" s="5">
        <f t="shared" si="34"/>
        <v>50000</v>
      </c>
      <c r="U117" s="80">
        <f t="shared" si="30"/>
        <v>50000</v>
      </c>
      <c r="V117" s="4">
        <f>+VLOOKUP(C117,Indicadores!B:S,18,FALSE)</f>
        <v>0</v>
      </c>
      <c r="W117" s="81" t="str">
        <f t="shared" si="21"/>
        <v>No Cumple</v>
      </c>
      <c r="X117" s="2">
        <f t="shared" si="31"/>
        <v>0</v>
      </c>
      <c r="Y117" s="5" t="str">
        <f t="shared" si="32"/>
        <v>SI</v>
      </c>
      <c r="Z117" s="5">
        <f t="shared" si="33"/>
        <v>200000</v>
      </c>
      <c r="AA117" s="78"/>
    </row>
    <row r="118" spans="2:27" x14ac:dyDescent="0.25">
      <c r="B118" s="1" t="s">
        <v>221</v>
      </c>
      <c r="C118" s="1" t="s">
        <v>122</v>
      </c>
      <c r="D118" s="1" t="s">
        <v>315</v>
      </c>
      <c r="E118" s="1" t="s">
        <v>322</v>
      </c>
      <c r="F118" s="1" t="s">
        <v>323</v>
      </c>
      <c r="G118" s="2">
        <f t="shared" si="39"/>
        <v>250000</v>
      </c>
      <c r="H118" s="4">
        <f>+VLOOKUP(C118,Indicadores!B:C,2,FALSE)</f>
        <v>1</v>
      </c>
      <c r="I118" s="1" t="str">
        <f t="shared" si="23"/>
        <v>Cumple</v>
      </c>
      <c r="J118" s="4">
        <f>+VLOOKUP(C118,Indicadores!B:F,5,FALSE)</f>
        <v>1</v>
      </c>
      <c r="K118" s="1" t="str">
        <f t="shared" si="24"/>
        <v>Cumple</v>
      </c>
      <c r="L118" s="77">
        <f t="shared" si="25"/>
        <v>1</v>
      </c>
      <c r="M118" s="11">
        <f t="shared" si="26"/>
        <v>150000</v>
      </c>
      <c r="N118" s="4">
        <f>+VLOOKUP(C118,Indicadores!B:M,12,FALSE)</f>
        <v>0.66666666666666663</v>
      </c>
      <c r="O118" s="1" t="str">
        <f t="shared" si="27"/>
        <v>Cumple</v>
      </c>
      <c r="P118" s="5">
        <f t="shared" si="28"/>
        <v>90000</v>
      </c>
      <c r="Q118" s="5">
        <f t="shared" si="29"/>
        <v>50000</v>
      </c>
      <c r="R118" s="84">
        <f>+IFERROR(VLOOKUP(C118,Indicadores!B:N,13,FALSE),0%)</f>
        <v>1.1109339735251027</v>
      </c>
      <c r="S118" s="5" t="str">
        <f t="shared" si="38"/>
        <v>Cumple</v>
      </c>
      <c r="T118" s="5">
        <f t="shared" si="34"/>
        <v>50000</v>
      </c>
      <c r="U118" s="5">
        <f t="shared" si="30"/>
        <v>50000</v>
      </c>
      <c r="V118" s="4">
        <f>+VLOOKUP(C118,Indicadores!B:S,18,FALSE)</f>
        <v>1</v>
      </c>
      <c r="W118" s="50" t="str">
        <f t="shared" si="21"/>
        <v>Cumple</v>
      </c>
      <c r="X118" s="2">
        <f t="shared" si="31"/>
        <v>50000</v>
      </c>
      <c r="Y118" s="5" t="str">
        <f t="shared" si="32"/>
        <v>SI</v>
      </c>
      <c r="Z118" s="5">
        <f t="shared" si="33"/>
        <v>190000</v>
      </c>
      <c r="AA118" s="1"/>
    </row>
    <row r="119" spans="2:27" x14ac:dyDescent="0.25">
      <c r="B119" s="1" t="s">
        <v>215</v>
      </c>
      <c r="C119" s="1" t="s">
        <v>123</v>
      </c>
      <c r="D119" s="1" t="s">
        <v>308</v>
      </c>
      <c r="E119" s="1" t="s">
        <v>223</v>
      </c>
      <c r="F119" s="1" t="s">
        <v>293</v>
      </c>
      <c r="G119" s="2">
        <f t="shared" si="39"/>
        <v>250000</v>
      </c>
      <c r="H119" s="4">
        <f>+VLOOKUP(C119,Indicadores!B:C,2,FALSE)</f>
        <v>1</v>
      </c>
      <c r="I119" s="1" t="str">
        <f t="shared" si="23"/>
        <v>Cumple</v>
      </c>
      <c r="J119" s="4">
        <f>+VLOOKUP(C119,Indicadores!B:F,5,FALSE)</f>
        <v>1</v>
      </c>
      <c r="K119" s="1" t="str">
        <f t="shared" si="24"/>
        <v>Cumple</v>
      </c>
      <c r="L119" s="77">
        <f t="shared" si="25"/>
        <v>1</v>
      </c>
      <c r="M119" s="11">
        <f t="shared" si="26"/>
        <v>150000</v>
      </c>
      <c r="N119" s="4">
        <f>+VLOOKUP(C119,Indicadores!B:M,12,FALSE)</f>
        <v>0.92592592592592593</v>
      </c>
      <c r="O119" s="1" t="str">
        <f t="shared" si="27"/>
        <v>Cumple</v>
      </c>
      <c r="P119" s="5">
        <f t="shared" si="28"/>
        <v>150000</v>
      </c>
      <c r="Q119" s="5">
        <f t="shared" si="29"/>
        <v>50000</v>
      </c>
      <c r="R119" s="84">
        <f>+IFERROR(VLOOKUP(C119,Indicadores!B:N,13,FALSE),0%)</f>
        <v>1.107484829258496</v>
      </c>
      <c r="S119" s="5" t="str">
        <f t="shared" si="38"/>
        <v>Cumple</v>
      </c>
      <c r="T119" s="5">
        <f t="shared" si="34"/>
        <v>50000</v>
      </c>
      <c r="U119" s="5">
        <f t="shared" si="30"/>
        <v>50000</v>
      </c>
      <c r="V119" s="4">
        <f>+VLOOKUP(C119,Indicadores!B:S,18,FALSE)</f>
        <v>1</v>
      </c>
      <c r="W119" s="50" t="str">
        <f t="shared" si="21"/>
        <v>Cumple</v>
      </c>
      <c r="X119" s="2">
        <f t="shared" si="31"/>
        <v>50000</v>
      </c>
      <c r="Y119" s="5" t="str">
        <f t="shared" si="32"/>
        <v>SI</v>
      </c>
      <c r="Z119" s="5">
        <f t="shared" si="33"/>
        <v>250000</v>
      </c>
      <c r="AA119" s="1"/>
    </row>
    <row r="120" spans="2:27" x14ac:dyDescent="0.25">
      <c r="B120" s="1" t="s">
        <v>215</v>
      </c>
      <c r="C120" s="1" t="s">
        <v>124</v>
      </c>
      <c r="D120" s="1" t="s">
        <v>308</v>
      </c>
      <c r="E120" s="1" t="s">
        <v>223</v>
      </c>
      <c r="F120" s="1" t="s">
        <v>293</v>
      </c>
      <c r="G120" s="2">
        <f t="shared" si="39"/>
        <v>250000</v>
      </c>
      <c r="H120" s="4">
        <f>+VLOOKUP(C120,Indicadores!B:C,2,FALSE)</f>
        <v>1</v>
      </c>
      <c r="I120" s="1" t="str">
        <f t="shared" si="23"/>
        <v>Cumple</v>
      </c>
      <c r="J120" s="4">
        <f>+VLOOKUP(C120,Indicadores!B:F,5,FALSE)</f>
        <v>1</v>
      </c>
      <c r="K120" s="1" t="str">
        <f t="shared" si="24"/>
        <v>Cumple</v>
      </c>
      <c r="L120" s="77">
        <f t="shared" si="25"/>
        <v>1</v>
      </c>
      <c r="M120" s="11">
        <f t="shared" si="26"/>
        <v>150000</v>
      </c>
      <c r="N120" s="4">
        <f>+VLOOKUP(C120,Indicadores!B:M,12,FALSE)</f>
        <v>1</v>
      </c>
      <c r="O120" s="1" t="str">
        <f t="shared" si="27"/>
        <v>Cumple</v>
      </c>
      <c r="P120" s="5">
        <f t="shared" si="28"/>
        <v>150000</v>
      </c>
      <c r="Q120" s="5">
        <f t="shared" si="29"/>
        <v>50000</v>
      </c>
      <c r="R120" s="84">
        <f>+IFERROR(VLOOKUP(C120,Indicadores!B:N,13,FALSE),0%)</f>
        <v>1.155425221120038</v>
      </c>
      <c r="S120" s="5" t="str">
        <f t="shared" si="38"/>
        <v>Cumple</v>
      </c>
      <c r="T120" s="5">
        <f t="shared" si="34"/>
        <v>50000</v>
      </c>
      <c r="U120" s="5">
        <f t="shared" si="30"/>
        <v>50000</v>
      </c>
      <c r="V120" s="4">
        <f>+VLOOKUP(C120,Indicadores!B:S,18,FALSE)</f>
        <v>0.5</v>
      </c>
      <c r="W120" s="50" t="str">
        <f t="shared" si="21"/>
        <v>No Cumple</v>
      </c>
      <c r="X120" s="2">
        <f t="shared" si="31"/>
        <v>0</v>
      </c>
      <c r="Y120" s="5" t="str">
        <f t="shared" si="32"/>
        <v>SI</v>
      </c>
      <c r="Z120" s="5">
        <f t="shared" si="33"/>
        <v>200000</v>
      </c>
      <c r="AA120" s="1"/>
    </row>
    <row r="121" spans="2:27" x14ac:dyDescent="0.25">
      <c r="B121" s="1" t="s">
        <v>215</v>
      </c>
      <c r="C121" s="1" t="s">
        <v>125</v>
      </c>
      <c r="D121" s="1" t="s">
        <v>308</v>
      </c>
      <c r="E121" s="1" t="s">
        <v>223</v>
      </c>
      <c r="F121" s="1" t="s">
        <v>293</v>
      </c>
      <c r="G121" s="2">
        <f t="shared" si="39"/>
        <v>250000</v>
      </c>
      <c r="H121" s="4">
        <f>+VLOOKUP(C121,Indicadores!B:C,2,FALSE)</f>
        <v>1</v>
      </c>
      <c r="I121" s="1" t="str">
        <f t="shared" si="23"/>
        <v>Cumple</v>
      </c>
      <c r="J121" s="4">
        <f>+VLOOKUP(C121,Indicadores!B:F,5,FALSE)</f>
        <v>1</v>
      </c>
      <c r="K121" s="1" t="str">
        <f t="shared" si="24"/>
        <v>Cumple</v>
      </c>
      <c r="L121" s="77">
        <f t="shared" si="25"/>
        <v>1</v>
      </c>
      <c r="M121" s="11">
        <f t="shared" si="26"/>
        <v>150000</v>
      </c>
      <c r="N121" s="4">
        <f>+VLOOKUP(C121,Indicadores!B:M,12,FALSE)</f>
        <v>1</v>
      </c>
      <c r="O121" s="1" t="str">
        <f t="shared" si="27"/>
        <v>Cumple</v>
      </c>
      <c r="P121" s="5">
        <f t="shared" si="28"/>
        <v>150000</v>
      </c>
      <c r="Q121" s="5">
        <f t="shared" si="29"/>
        <v>50000</v>
      </c>
      <c r="R121" s="84">
        <f>+IFERROR(VLOOKUP(C121,Indicadores!B:N,13,FALSE),0%)</f>
        <v>1.0321854163662751</v>
      </c>
      <c r="S121" s="5" t="str">
        <f t="shared" si="38"/>
        <v>Cumple</v>
      </c>
      <c r="T121" s="5">
        <f t="shared" si="34"/>
        <v>50000</v>
      </c>
      <c r="U121" s="5">
        <f t="shared" si="30"/>
        <v>50000</v>
      </c>
      <c r="V121" s="4">
        <f>+VLOOKUP(C121,Indicadores!B:S,18,FALSE)</f>
        <v>1</v>
      </c>
      <c r="W121" s="50" t="str">
        <f t="shared" si="21"/>
        <v>Cumple</v>
      </c>
      <c r="X121" s="2">
        <f t="shared" si="31"/>
        <v>50000</v>
      </c>
      <c r="Y121" s="5" t="str">
        <f t="shared" si="32"/>
        <v>SI</v>
      </c>
      <c r="Z121" s="5">
        <f t="shared" si="33"/>
        <v>250000</v>
      </c>
      <c r="AA121" s="1"/>
    </row>
    <row r="122" spans="2:27" x14ac:dyDescent="0.25">
      <c r="B122" s="1" t="s">
        <v>215</v>
      </c>
      <c r="C122" s="1" t="s">
        <v>126</v>
      </c>
      <c r="D122" s="1" t="s">
        <v>308</v>
      </c>
      <c r="E122" s="1" t="s">
        <v>223</v>
      </c>
      <c r="F122" s="1" t="s">
        <v>274</v>
      </c>
      <c r="G122" s="2">
        <f t="shared" si="39"/>
        <v>250000</v>
      </c>
      <c r="H122" s="4">
        <f>+VLOOKUP(C122,Indicadores!B:C,2,FALSE)</f>
        <v>0.66666666666666663</v>
      </c>
      <c r="I122" s="1" t="str">
        <f t="shared" si="23"/>
        <v>Cumple</v>
      </c>
      <c r="J122" s="4">
        <f>+VLOOKUP(C122,Indicadores!B:F,5,FALSE)</f>
        <v>1</v>
      </c>
      <c r="K122" s="1" t="str">
        <f t="shared" si="24"/>
        <v>Cumple</v>
      </c>
      <c r="L122" s="77">
        <f t="shared" si="25"/>
        <v>0.83333333333333326</v>
      </c>
      <c r="M122" s="11">
        <f t="shared" si="26"/>
        <v>150000</v>
      </c>
      <c r="N122" s="4">
        <f>+VLOOKUP(C122,Indicadores!B:M,12,FALSE)</f>
        <v>0.66666666666666663</v>
      </c>
      <c r="O122" s="1" t="str">
        <f t="shared" si="27"/>
        <v>Cumple</v>
      </c>
      <c r="P122" s="5">
        <f t="shared" si="28"/>
        <v>90000</v>
      </c>
      <c r="Q122" s="5">
        <f t="shared" si="29"/>
        <v>50000</v>
      </c>
      <c r="R122" s="84">
        <v>0.91249999999999998</v>
      </c>
      <c r="S122" s="5" t="str">
        <f t="shared" si="38"/>
        <v>Cumple</v>
      </c>
      <c r="T122" s="5">
        <f t="shared" si="34"/>
        <v>45000</v>
      </c>
      <c r="U122" s="5">
        <f t="shared" si="30"/>
        <v>50000</v>
      </c>
      <c r="V122" s="4">
        <f>+VLOOKUP(C122,Indicadores!B:S,18,FALSE)</f>
        <v>1</v>
      </c>
      <c r="W122" s="50" t="str">
        <f t="shared" si="21"/>
        <v>Cumple</v>
      </c>
      <c r="X122" s="2">
        <f t="shared" si="31"/>
        <v>50000</v>
      </c>
      <c r="Y122" s="5" t="str">
        <f t="shared" si="32"/>
        <v>SI</v>
      </c>
      <c r="Z122" s="5">
        <f t="shared" si="33"/>
        <v>185000</v>
      </c>
      <c r="AA122" s="1"/>
    </row>
    <row r="123" spans="2:27" x14ac:dyDescent="0.25">
      <c r="B123" s="1" t="s">
        <v>215</v>
      </c>
      <c r="C123" s="1" t="s">
        <v>127</v>
      </c>
      <c r="D123" s="1" t="s">
        <v>308</v>
      </c>
      <c r="E123" s="1" t="s">
        <v>223</v>
      </c>
      <c r="F123" s="1" t="s">
        <v>293</v>
      </c>
      <c r="G123" s="2">
        <f t="shared" si="39"/>
        <v>250000</v>
      </c>
      <c r="H123" s="4">
        <f>+VLOOKUP(C123,Indicadores!B:C,2,FALSE)</f>
        <v>1</v>
      </c>
      <c r="I123" s="1" t="str">
        <f t="shared" si="23"/>
        <v>Cumple</v>
      </c>
      <c r="J123" s="4">
        <f>+VLOOKUP(C123,Indicadores!B:F,5,FALSE)</f>
        <v>1</v>
      </c>
      <c r="K123" s="1" t="str">
        <f t="shared" si="24"/>
        <v>Cumple</v>
      </c>
      <c r="L123" s="77">
        <f t="shared" si="25"/>
        <v>1</v>
      </c>
      <c r="M123" s="11">
        <f t="shared" si="26"/>
        <v>150000</v>
      </c>
      <c r="N123" s="4">
        <f>+VLOOKUP(C123,Indicadores!B:M,12,FALSE)</f>
        <v>1</v>
      </c>
      <c r="O123" s="1" t="str">
        <f t="shared" si="27"/>
        <v>Cumple</v>
      </c>
      <c r="P123" s="5">
        <f t="shared" si="28"/>
        <v>150000</v>
      </c>
      <c r="Q123" s="5">
        <f t="shared" si="29"/>
        <v>50000</v>
      </c>
      <c r="R123" s="84">
        <f>+IFERROR(VLOOKUP(C123,Indicadores!B:N,13,FALSE),0%)</f>
        <v>0.84050479864072258</v>
      </c>
      <c r="S123" s="5" t="str">
        <f t="shared" si="38"/>
        <v>Cumple</v>
      </c>
      <c r="T123" s="5">
        <f t="shared" si="34"/>
        <v>40000</v>
      </c>
      <c r="U123" s="5">
        <f t="shared" si="30"/>
        <v>50000</v>
      </c>
      <c r="V123" s="4">
        <f>+VLOOKUP(C123,Indicadores!B:S,18,FALSE)</f>
        <v>1</v>
      </c>
      <c r="W123" s="50" t="str">
        <f t="shared" si="21"/>
        <v>Cumple</v>
      </c>
      <c r="X123" s="2">
        <f t="shared" si="31"/>
        <v>50000</v>
      </c>
      <c r="Y123" s="5" t="str">
        <f t="shared" si="32"/>
        <v>SI</v>
      </c>
      <c r="Z123" s="5">
        <f t="shared" si="33"/>
        <v>240000</v>
      </c>
      <c r="AA123" s="1"/>
    </row>
    <row r="124" spans="2:27" x14ac:dyDescent="0.25">
      <c r="B124" s="1" t="s">
        <v>215</v>
      </c>
      <c r="C124" s="1" t="s">
        <v>128</v>
      </c>
      <c r="D124" s="1" t="s">
        <v>308</v>
      </c>
      <c r="E124" s="1" t="s">
        <v>223</v>
      </c>
      <c r="F124" s="1" t="s">
        <v>293</v>
      </c>
      <c r="G124" s="2">
        <f t="shared" si="39"/>
        <v>250000</v>
      </c>
      <c r="H124" s="4">
        <f>+VLOOKUP(C124,Indicadores!B:C,2,FALSE)</f>
        <v>1</v>
      </c>
      <c r="I124" s="1" t="str">
        <f t="shared" si="23"/>
        <v>Cumple</v>
      </c>
      <c r="J124" s="4">
        <f>+VLOOKUP(C124,Indicadores!B:F,5,FALSE)</f>
        <v>1</v>
      </c>
      <c r="K124" s="1" t="str">
        <f t="shared" si="24"/>
        <v>Cumple</v>
      </c>
      <c r="L124" s="77">
        <f t="shared" si="25"/>
        <v>1</v>
      </c>
      <c r="M124" s="11">
        <f t="shared" si="26"/>
        <v>150000</v>
      </c>
      <c r="N124" s="4">
        <f>+VLOOKUP(C124,Indicadores!B:M,12,FALSE)</f>
        <v>0.95138888888888884</v>
      </c>
      <c r="O124" s="1" t="str">
        <f t="shared" si="27"/>
        <v>Cumple</v>
      </c>
      <c r="P124" s="5">
        <f t="shared" si="28"/>
        <v>150000</v>
      </c>
      <c r="Q124" s="5">
        <f t="shared" si="29"/>
        <v>50000</v>
      </c>
      <c r="R124" s="84">
        <f>+IFERROR(VLOOKUP(C124,Indicadores!B:N,13,FALSE),0%)</f>
        <v>0.91164539539946576</v>
      </c>
      <c r="S124" s="5" t="str">
        <f t="shared" si="38"/>
        <v>Cumple</v>
      </c>
      <c r="T124" s="5">
        <f t="shared" si="34"/>
        <v>45000</v>
      </c>
      <c r="U124" s="5">
        <f t="shared" si="30"/>
        <v>50000</v>
      </c>
      <c r="V124" s="4">
        <f>+VLOOKUP(C124,Indicadores!B:S,18,FALSE)</f>
        <v>0.5</v>
      </c>
      <c r="W124" s="50" t="str">
        <f t="shared" si="21"/>
        <v>No Cumple</v>
      </c>
      <c r="X124" s="2">
        <f t="shared" si="31"/>
        <v>0</v>
      </c>
      <c r="Y124" s="5" t="str">
        <f t="shared" si="32"/>
        <v>SI</v>
      </c>
      <c r="Z124" s="5">
        <f t="shared" si="33"/>
        <v>195000</v>
      </c>
      <c r="AA124" s="1"/>
    </row>
    <row r="125" spans="2:27" x14ac:dyDescent="0.25">
      <c r="B125" s="1" t="s">
        <v>215</v>
      </c>
      <c r="C125" s="1" t="s">
        <v>129</v>
      </c>
      <c r="D125" s="1" t="s">
        <v>308</v>
      </c>
      <c r="E125" s="1" t="s">
        <v>223</v>
      </c>
      <c r="F125" s="1" t="s">
        <v>293</v>
      </c>
      <c r="G125" s="2">
        <f t="shared" si="39"/>
        <v>250000</v>
      </c>
      <c r="H125" s="4">
        <f>+VLOOKUP(C125,Indicadores!B:C,2,FALSE)</f>
        <v>1</v>
      </c>
      <c r="I125" s="1" t="str">
        <f t="shared" si="23"/>
        <v>Cumple</v>
      </c>
      <c r="J125" s="4">
        <f>+VLOOKUP(C125,Indicadores!B:F,5,FALSE)</f>
        <v>1</v>
      </c>
      <c r="K125" s="1" t="str">
        <f t="shared" si="24"/>
        <v>Cumple</v>
      </c>
      <c r="L125" s="77">
        <f t="shared" si="25"/>
        <v>1</v>
      </c>
      <c r="M125" s="11">
        <f t="shared" si="26"/>
        <v>150000</v>
      </c>
      <c r="N125" s="4">
        <f>+VLOOKUP(C125,Indicadores!B:M,12,FALSE)</f>
        <v>0.94871794871794879</v>
      </c>
      <c r="O125" s="1" t="str">
        <f t="shared" si="27"/>
        <v>Cumple</v>
      </c>
      <c r="P125" s="5">
        <f t="shared" si="28"/>
        <v>150000</v>
      </c>
      <c r="Q125" s="5">
        <f t="shared" si="29"/>
        <v>50000</v>
      </c>
      <c r="R125" s="84">
        <v>0.9</v>
      </c>
      <c r="S125" s="5" t="str">
        <f t="shared" si="38"/>
        <v>Cumple</v>
      </c>
      <c r="T125" s="5">
        <f>IF(R125=80%,Q125*70%,IF(AND(R125&gt;=81%,R125&lt;=90%),Q125*80%,IF(AND(R125&gt;=91%,R125&lt;=95%),Q125*90%,IF(R125&gt;=96%,Q125*96%,IF(R125&gt;=97%,Q125*97%,IF(R125&gt;=98%,Q125*98%,IF(R125=99%,Q125*99%,IF(R125&gt;=100%,Q125,0))))))))</f>
        <v>40000</v>
      </c>
      <c r="U125" s="5">
        <f t="shared" si="30"/>
        <v>50000</v>
      </c>
      <c r="V125" s="4">
        <f>+VLOOKUP(C125,Indicadores!B:S,18,FALSE)</f>
        <v>1</v>
      </c>
      <c r="W125" s="50" t="str">
        <f t="shared" si="21"/>
        <v>Cumple</v>
      </c>
      <c r="X125" s="2">
        <f t="shared" si="31"/>
        <v>50000</v>
      </c>
      <c r="Y125" s="5" t="str">
        <f t="shared" si="32"/>
        <v>SI</v>
      </c>
      <c r="Z125" s="5">
        <f t="shared" si="33"/>
        <v>240000</v>
      </c>
      <c r="AA125" s="1"/>
    </row>
    <row r="126" spans="2:27" x14ac:dyDescent="0.25">
      <c r="B126" s="1" t="s">
        <v>215</v>
      </c>
      <c r="C126" s="1" t="s">
        <v>130</v>
      </c>
      <c r="D126" s="1" t="s">
        <v>308</v>
      </c>
      <c r="E126" s="1" t="s">
        <v>223</v>
      </c>
      <c r="F126" s="1" t="s">
        <v>293</v>
      </c>
      <c r="G126" s="2">
        <f t="shared" si="39"/>
        <v>250000</v>
      </c>
      <c r="H126" s="4">
        <f>+VLOOKUP(C126,Indicadores!B:C,2,FALSE)</f>
        <v>1</v>
      </c>
      <c r="I126" s="1" t="str">
        <f t="shared" si="23"/>
        <v>Cumple</v>
      </c>
      <c r="J126" s="4">
        <f>+VLOOKUP(C126,Indicadores!B:F,5,FALSE)</f>
        <v>1</v>
      </c>
      <c r="K126" s="1" t="str">
        <f t="shared" si="24"/>
        <v>Cumple</v>
      </c>
      <c r="L126" s="77">
        <f t="shared" si="25"/>
        <v>1</v>
      </c>
      <c r="M126" s="11">
        <f t="shared" si="26"/>
        <v>150000</v>
      </c>
      <c r="N126" s="4">
        <f>+VLOOKUP(C126,Indicadores!B:M,12,FALSE)</f>
        <v>1</v>
      </c>
      <c r="O126" s="1" t="str">
        <f t="shared" si="27"/>
        <v>Cumple</v>
      </c>
      <c r="P126" s="5">
        <f t="shared" si="28"/>
        <v>150000</v>
      </c>
      <c r="Q126" s="5">
        <f t="shared" si="29"/>
        <v>50000</v>
      </c>
      <c r="R126" s="84">
        <f>+IFERROR(VLOOKUP(C126,Indicadores!B:N,13,FALSE),0%)</f>
        <v>0.86907068519083575</v>
      </c>
      <c r="S126" s="5" t="str">
        <f t="shared" si="38"/>
        <v>Cumple</v>
      </c>
      <c r="T126" s="5">
        <f t="shared" si="34"/>
        <v>40000</v>
      </c>
      <c r="U126" s="5">
        <f t="shared" si="30"/>
        <v>50000</v>
      </c>
      <c r="V126" s="4">
        <f>+VLOOKUP(C126,Indicadores!B:S,18,FALSE)</f>
        <v>1</v>
      </c>
      <c r="W126" s="50" t="str">
        <f t="shared" si="21"/>
        <v>Cumple</v>
      </c>
      <c r="X126" s="2">
        <f t="shared" si="31"/>
        <v>50000</v>
      </c>
      <c r="Y126" s="5" t="str">
        <f t="shared" si="32"/>
        <v>SI</v>
      </c>
      <c r="Z126" s="5">
        <f t="shared" si="33"/>
        <v>240000</v>
      </c>
      <c r="AA126" s="1"/>
    </row>
    <row r="127" spans="2:27" x14ac:dyDescent="0.25">
      <c r="B127" s="1" t="s">
        <v>215</v>
      </c>
      <c r="C127" s="1" t="s">
        <v>131</v>
      </c>
      <c r="D127" s="1" t="s">
        <v>308</v>
      </c>
      <c r="E127" s="1" t="s">
        <v>223</v>
      </c>
      <c r="F127" s="1" t="s">
        <v>293</v>
      </c>
      <c r="G127" s="2">
        <f t="shared" si="39"/>
        <v>250000</v>
      </c>
      <c r="H127" s="4">
        <f>+VLOOKUP(C127,Indicadores!B:C,2,FALSE)</f>
        <v>1</v>
      </c>
      <c r="I127" s="1" t="str">
        <f t="shared" si="23"/>
        <v>Cumple</v>
      </c>
      <c r="J127" s="4">
        <f>+VLOOKUP(C127,Indicadores!B:F,5,FALSE)</f>
        <v>1</v>
      </c>
      <c r="K127" s="1" t="str">
        <f t="shared" si="24"/>
        <v>Cumple</v>
      </c>
      <c r="L127" s="77">
        <f t="shared" si="25"/>
        <v>1</v>
      </c>
      <c r="M127" s="11">
        <f t="shared" si="26"/>
        <v>150000</v>
      </c>
      <c r="N127" s="4">
        <f>+VLOOKUP(C127,Indicadores!B:M,12,FALSE)</f>
        <v>0.96969696969696972</v>
      </c>
      <c r="O127" s="1" t="str">
        <f t="shared" si="27"/>
        <v>Cumple</v>
      </c>
      <c r="P127" s="5">
        <f t="shared" si="28"/>
        <v>150000</v>
      </c>
      <c r="Q127" s="5">
        <f t="shared" si="29"/>
        <v>50000</v>
      </c>
      <c r="R127" s="84">
        <f>+IFERROR(VLOOKUP(C127,Indicadores!B:N,13,FALSE),0%)</f>
        <v>1.1709952060900224</v>
      </c>
      <c r="S127" s="5" t="str">
        <f t="shared" si="38"/>
        <v>Cumple</v>
      </c>
      <c r="T127" s="5">
        <f t="shared" si="34"/>
        <v>50000</v>
      </c>
      <c r="U127" s="5">
        <f t="shared" si="30"/>
        <v>50000</v>
      </c>
      <c r="V127" s="4">
        <f>+VLOOKUP(C127,Indicadores!B:S,18,FALSE)</f>
        <v>1</v>
      </c>
      <c r="W127" s="50" t="str">
        <f t="shared" si="21"/>
        <v>Cumple</v>
      </c>
      <c r="X127" s="2">
        <f t="shared" si="31"/>
        <v>50000</v>
      </c>
      <c r="Y127" s="5" t="str">
        <f t="shared" si="32"/>
        <v>SI</v>
      </c>
      <c r="Z127" s="5">
        <f t="shared" si="33"/>
        <v>250000</v>
      </c>
      <c r="AA127" s="1"/>
    </row>
    <row r="128" spans="2:27" x14ac:dyDescent="0.25">
      <c r="B128" s="1" t="s">
        <v>215</v>
      </c>
      <c r="C128" s="1" t="s">
        <v>132</v>
      </c>
      <c r="D128" s="1" t="s">
        <v>308</v>
      </c>
      <c r="E128" s="1" t="s">
        <v>223</v>
      </c>
      <c r="F128" s="1" t="s">
        <v>293</v>
      </c>
      <c r="G128" s="2">
        <f t="shared" si="39"/>
        <v>250000</v>
      </c>
      <c r="H128" s="4">
        <f>+VLOOKUP(C128,Indicadores!B:C,2,FALSE)</f>
        <v>1</v>
      </c>
      <c r="I128" s="1" t="str">
        <f t="shared" si="23"/>
        <v>Cumple</v>
      </c>
      <c r="J128" s="4">
        <f>+VLOOKUP(C128,Indicadores!B:F,5,FALSE)</f>
        <v>1</v>
      </c>
      <c r="K128" s="1" t="str">
        <f t="shared" si="24"/>
        <v>Cumple</v>
      </c>
      <c r="L128" s="77">
        <f t="shared" si="25"/>
        <v>1</v>
      </c>
      <c r="M128" s="11">
        <f t="shared" si="26"/>
        <v>150000</v>
      </c>
      <c r="N128" s="4">
        <f>+VLOOKUP(C128,Indicadores!B:M,12,FALSE)</f>
        <v>0.98611111111111116</v>
      </c>
      <c r="O128" s="1" t="str">
        <f t="shared" si="27"/>
        <v>Cumple</v>
      </c>
      <c r="P128" s="5">
        <f t="shared" si="28"/>
        <v>150000</v>
      </c>
      <c r="Q128" s="5">
        <f t="shared" si="29"/>
        <v>50000</v>
      </c>
      <c r="R128" s="84">
        <f>+IFERROR(VLOOKUP(C128,Indicadores!B:N,13,FALSE),0%)</f>
        <v>1.0399837664439522</v>
      </c>
      <c r="S128" s="5" t="str">
        <f t="shared" si="38"/>
        <v>Cumple</v>
      </c>
      <c r="T128" s="5">
        <f t="shared" si="34"/>
        <v>50000</v>
      </c>
      <c r="U128" s="5">
        <f t="shared" si="30"/>
        <v>50000</v>
      </c>
      <c r="V128" s="4">
        <f>+VLOOKUP(C128,Indicadores!B:S,18,FALSE)</f>
        <v>1</v>
      </c>
      <c r="W128" s="50" t="str">
        <f t="shared" si="21"/>
        <v>Cumple</v>
      </c>
      <c r="X128" s="2">
        <f t="shared" si="31"/>
        <v>50000</v>
      </c>
      <c r="Y128" s="5" t="str">
        <f t="shared" si="32"/>
        <v>SI</v>
      </c>
      <c r="Z128" s="5">
        <f t="shared" si="33"/>
        <v>250000</v>
      </c>
      <c r="AA128" s="1"/>
    </row>
    <row r="129" spans="2:27" x14ac:dyDescent="0.25">
      <c r="B129" s="1" t="s">
        <v>215</v>
      </c>
      <c r="C129" s="1" t="s">
        <v>133</v>
      </c>
      <c r="D129" s="1" t="s">
        <v>308</v>
      </c>
      <c r="E129" s="1" t="s">
        <v>223</v>
      </c>
      <c r="F129" s="1" t="s">
        <v>293</v>
      </c>
      <c r="G129" s="2">
        <f t="shared" si="39"/>
        <v>250000</v>
      </c>
      <c r="H129" s="4">
        <f>+VLOOKUP(C129,Indicadores!B:C,2,FALSE)</f>
        <v>1</v>
      </c>
      <c r="I129" s="1" t="str">
        <f t="shared" si="23"/>
        <v>Cumple</v>
      </c>
      <c r="J129" s="4">
        <f>+VLOOKUP(C129,Indicadores!B:F,5,FALSE)</f>
        <v>1</v>
      </c>
      <c r="K129" s="1" t="str">
        <f t="shared" si="24"/>
        <v>Cumple</v>
      </c>
      <c r="L129" s="77">
        <f t="shared" si="25"/>
        <v>1</v>
      </c>
      <c r="M129" s="11">
        <f t="shared" si="26"/>
        <v>150000</v>
      </c>
      <c r="N129" s="4">
        <f>+VLOOKUP(C129,Indicadores!B:M,12,FALSE)</f>
        <v>1</v>
      </c>
      <c r="O129" s="1" t="str">
        <f t="shared" si="27"/>
        <v>Cumple</v>
      </c>
      <c r="P129" s="5">
        <f t="shared" si="28"/>
        <v>150000</v>
      </c>
      <c r="Q129" s="5">
        <f t="shared" si="29"/>
        <v>50000</v>
      </c>
      <c r="R129" s="84">
        <f>+IFERROR(VLOOKUP(C129,Indicadores!B:N,13,FALSE),0%)</f>
        <v>0.92064876646167726</v>
      </c>
      <c r="S129" s="5" t="str">
        <f t="shared" si="38"/>
        <v>Cumple</v>
      </c>
      <c r="T129" s="5">
        <f t="shared" si="34"/>
        <v>45000</v>
      </c>
      <c r="U129" s="5">
        <f t="shared" si="30"/>
        <v>50000</v>
      </c>
      <c r="V129" s="4">
        <f>+VLOOKUP(C129,Indicadores!B:S,18,FALSE)</f>
        <v>0.5</v>
      </c>
      <c r="W129" s="50" t="str">
        <f t="shared" si="21"/>
        <v>No Cumple</v>
      </c>
      <c r="X129" s="2">
        <f t="shared" si="31"/>
        <v>0</v>
      </c>
      <c r="Y129" s="5" t="str">
        <f t="shared" si="32"/>
        <v>SI</v>
      </c>
      <c r="Z129" s="5">
        <f t="shared" si="33"/>
        <v>195000</v>
      </c>
      <c r="AA129" s="1"/>
    </row>
    <row r="130" spans="2:27" x14ac:dyDescent="0.25">
      <c r="B130" s="1" t="s">
        <v>215</v>
      </c>
      <c r="C130" s="1" t="s">
        <v>134</v>
      </c>
      <c r="D130" s="1" t="s">
        <v>308</v>
      </c>
      <c r="E130" s="1" t="s">
        <v>223</v>
      </c>
      <c r="F130" s="1" t="s">
        <v>293</v>
      </c>
      <c r="G130" s="2">
        <f t="shared" si="39"/>
        <v>250000</v>
      </c>
      <c r="H130" s="4">
        <f>+VLOOKUP(C130,Indicadores!B:C,2,FALSE)</f>
        <v>1</v>
      </c>
      <c r="I130" s="1" t="str">
        <f t="shared" si="23"/>
        <v>Cumple</v>
      </c>
      <c r="J130" s="4">
        <f>+VLOOKUP(C130,Indicadores!B:F,5,FALSE)</f>
        <v>1</v>
      </c>
      <c r="K130" s="1" t="str">
        <f t="shared" si="24"/>
        <v>Cumple</v>
      </c>
      <c r="L130" s="77">
        <f t="shared" si="25"/>
        <v>1</v>
      </c>
      <c r="M130" s="11">
        <f t="shared" si="26"/>
        <v>150000</v>
      </c>
      <c r="N130" s="4">
        <f>+VLOOKUP(C130,Indicadores!B:M,12,FALSE)</f>
        <v>0.95833333333333337</v>
      </c>
      <c r="O130" s="1" t="str">
        <f t="shared" si="27"/>
        <v>Cumple</v>
      </c>
      <c r="P130" s="5">
        <f t="shared" si="28"/>
        <v>150000</v>
      </c>
      <c r="Q130" s="5">
        <f t="shared" si="29"/>
        <v>50000</v>
      </c>
      <c r="R130" s="84">
        <f>+IFERROR(VLOOKUP(C130,Indicadores!B:N,13,FALSE),0%)</f>
        <v>1.0394563581635836</v>
      </c>
      <c r="S130" s="5" t="str">
        <f t="shared" si="38"/>
        <v>Cumple</v>
      </c>
      <c r="T130" s="5">
        <f t="shared" si="34"/>
        <v>50000</v>
      </c>
      <c r="U130" s="5">
        <f t="shared" si="30"/>
        <v>50000</v>
      </c>
      <c r="V130" s="4">
        <f>+VLOOKUP(C130,Indicadores!B:S,18,FALSE)</f>
        <v>1</v>
      </c>
      <c r="W130" s="50" t="str">
        <f t="shared" si="21"/>
        <v>Cumple</v>
      </c>
      <c r="X130" s="2">
        <f t="shared" si="31"/>
        <v>50000</v>
      </c>
      <c r="Y130" s="5" t="str">
        <f t="shared" si="32"/>
        <v>SI</v>
      </c>
      <c r="Z130" s="5">
        <f t="shared" si="33"/>
        <v>250000</v>
      </c>
      <c r="AA130" s="1"/>
    </row>
    <row r="131" spans="2:27" x14ac:dyDescent="0.25">
      <c r="B131" s="1" t="s">
        <v>215</v>
      </c>
      <c r="C131" s="1" t="s">
        <v>135</v>
      </c>
      <c r="D131" s="1" t="s">
        <v>308</v>
      </c>
      <c r="E131" s="1" t="s">
        <v>223</v>
      </c>
      <c r="F131" s="1" t="s">
        <v>293</v>
      </c>
      <c r="G131" s="2">
        <f t="shared" si="39"/>
        <v>250000</v>
      </c>
      <c r="H131" s="4">
        <f>+VLOOKUP(C131,Indicadores!B:C,2,FALSE)</f>
        <v>1</v>
      </c>
      <c r="I131" s="1" t="str">
        <f t="shared" si="23"/>
        <v>Cumple</v>
      </c>
      <c r="J131" s="4">
        <f>+VLOOKUP(C131,Indicadores!B:F,5,FALSE)</f>
        <v>1</v>
      </c>
      <c r="K131" s="1" t="str">
        <f t="shared" si="24"/>
        <v>Cumple</v>
      </c>
      <c r="L131" s="77">
        <f t="shared" si="25"/>
        <v>1</v>
      </c>
      <c r="M131" s="11">
        <f t="shared" si="26"/>
        <v>150000</v>
      </c>
      <c r="N131" s="4">
        <f>+VLOOKUP(C131,Indicadores!B:M,12,FALSE)</f>
        <v>0.97619047619047628</v>
      </c>
      <c r="O131" s="1" t="str">
        <f t="shared" si="27"/>
        <v>Cumple</v>
      </c>
      <c r="P131" s="5">
        <f t="shared" si="28"/>
        <v>150000</v>
      </c>
      <c r="Q131" s="5">
        <f t="shared" si="29"/>
        <v>50000</v>
      </c>
      <c r="R131" s="84">
        <f>+IFERROR(VLOOKUP(C131,Indicadores!B:N,13,FALSE),0%)</f>
        <v>1.2520587138640025</v>
      </c>
      <c r="S131" s="5" t="str">
        <f t="shared" si="38"/>
        <v>Cumple</v>
      </c>
      <c r="T131" s="5">
        <f t="shared" si="34"/>
        <v>50000</v>
      </c>
      <c r="U131" s="5">
        <f t="shared" si="30"/>
        <v>50000</v>
      </c>
      <c r="V131" s="4">
        <f>+VLOOKUP(C131,Indicadores!B:S,18,FALSE)</f>
        <v>1</v>
      </c>
      <c r="W131" s="50" t="str">
        <f t="shared" si="21"/>
        <v>Cumple</v>
      </c>
      <c r="X131" s="2">
        <f t="shared" si="31"/>
        <v>50000</v>
      </c>
      <c r="Y131" s="5" t="str">
        <f t="shared" si="32"/>
        <v>SI</v>
      </c>
      <c r="Z131" s="5">
        <f t="shared" si="33"/>
        <v>250000</v>
      </c>
      <c r="AA131" s="10"/>
    </row>
    <row r="132" spans="2:27" x14ac:dyDescent="0.25">
      <c r="B132" s="1" t="s">
        <v>215</v>
      </c>
      <c r="C132" s="1" t="s">
        <v>136</v>
      </c>
      <c r="D132" s="1" t="s">
        <v>308</v>
      </c>
      <c r="E132" s="1" t="s">
        <v>223</v>
      </c>
      <c r="F132" s="1" t="s">
        <v>293</v>
      </c>
      <c r="G132" s="2">
        <f t="shared" si="39"/>
        <v>250000</v>
      </c>
      <c r="H132" s="4">
        <f>+VLOOKUP(C132,Indicadores!B:C,2,FALSE)</f>
        <v>1</v>
      </c>
      <c r="I132" s="1" t="str">
        <f t="shared" si="23"/>
        <v>Cumple</v>
      </c>
      <c r="J132" s="4">
        <f>+VLOOKUP(C132,Indicadores!B:F,5,FALSE)</f>
        <v>1</v>
      </c>
      <c r="K132" s="1" t="str">
        <f t="shared" si="24"/>
        <v>Cumple</v>
      </c>
      <c r="L132" s="77">
        <f t="shared" si="25"/>
        <v>1</v>
      </c>
      <c r="M132" s="11">
        <f t="shared" si="26"/>
        <v>150000</v>
      </c>
      <c r="N132" s="4">
        <f>+VLOOKUP(C132,Indicadores!B:M,12,FALSE)</f>
        <v>1</v>
      </c>
      <c r="O132" s="1" t="str">
        <f t="shared" si="27"/>
        <v>Cumple</v>
      </c>
      <c r="P132" s="5">
        <f t="shared" si="28"/>
        <v>150000</v>
      </c>
      <c r="Q132" s="5">
        <f t="shared" si="29"/>
        <v>50000</v>
      </c>
      <c r="R132" s="84">
        <f>+IFERROR(VLOOKUP(C132,Indicadores!B:N,13,FALSE),0%)</f>
        <v>1.0112697311902084</v>
      </c>
      <c r="S132" s="5" t="str">
        <f t="shared" si="38"/>
        <v>Cumple</v>
      </c>
      <c r="T132" s="5">
        <f t="shared" si="34"/>
        <v>50000</v>
      </c>
      <c r="U132" s="5">
        <f t="shared" si="30"/>
        <v>50000</v>
      </c>
      <c r="V132" s="4">
        <f>+VLOOKUP(C132,Indicadores!B:S,18,FALSE)</f>
        <v>1</v>
      </c>
      <c r="W132" s="50" t="str">
        <f t="shared" si="21"/>
        <v>Cumple</v>
      </c>
      <c r="X132" s="2">
        <f t="shared" si="31"/>
        <v>50000</v>
      </c>
      <c r="Y132" s="5" t="str">
        <f t="shared" si="32"/>
        <v>SI</v>
      </c>
      <c r="Z132" s="5">
        <f t="shared" si="33"/>
        <v>250000</v>
      </c>
      <c r="AA132" s="1"/>
    </row>
    <row r="133" spans="2:27" x14ac:dyDescent="0.25">
      <c r="B133" s="1" t="s">
        <v>215</v>
      </c>
      <c r="C133" s="1" t="s">
        <v>137</v>
      </c>
      <c r="D133" s="1" t="s">
        <v>308</v>
      </c>
      <c r="E133" s="1" t="s">
        <v>223</v>
      </c>
      <c r="F133" s="1" t="s">
        <v>293</v>
      </c>
      <c r="G133" s="2">
        <f t="shared" si="39"/>
        <v>250000</v>
      </c>
      <c r="H133" s="4">
        <f>+VLOOKUP(C133,Indicadores!B:C,2,FALSE)</f>
        <v>1</v>
      </c>
      <c r="I133" s="1" t="str">
        <f t="shared" si="23"/>
        <v>Cumple</v>
      </c>
      <c r="J133" s="4">
        <f>+VLOOKUP(C133,Indicadores!B:F,5,FALSE)</f>
        <v>1</v>
      </c>
      <c r="K133" s="1" t="str">
        <f t="shared" si="24"/>
        <v>Cumple</v>
      </c>
      <c r="L133" s="77">
        <f t="shared" si="25"/>
        <v>1</v>
      </c>
      <c r="M133" s="11">
        <f t="shared" si="26"/>
        <v>150000</v>
      </c>
      <c r="N133" s="4">
        <f>+VLOOKUP(C133,Indicadores!B:M,12,FALSE)</f>
        <v>0.88888888888888884</v>
      </c>
      <c r="O133" s="1" t="str">
        <f t="shared" si="27"/>
        <v>Cumple</v>
      </c>
      <c r="P133" s="5">
        <f t="shared" si="28"/>
        <v>150000</v>
      </c>
      <c r="Q133" s="5">
        <f t="shared" si="29"/>
        <v>50000</v>
      </c>
      <c r="R133" s="84">
        <f>+IFERROR(VLOOKUP(C133,Indicadores!B:N,13,FALSE),0%)</f>
        <v>1.0301859149618855</v>
      </c>
      <c r="S133" s="5" t="str">
        <f t="shared" si="38"/>
        <v>Cumple</v>
      </c>
      <c r="T133" s="5">
        <f t="shared" si="34"/>
        <v>50000</v>
      </c>
      <c r="U133" s="5">
        <f t="shared" si="30"/>
        <v>50000</v>
      </c>
      <c r="V133" s="4">
        <f>+VLOOKUP(C133,Indicadores!B:S,18,FALSE)</f>
        <v>1</v>
      </c>
      <c r="W133" s="50" t="str">
        <f t="shared" si="21"/>
        <v>Cumple</v>
      </c>
      <c r="X133" s="2">
        <f t="shared" si="31"/>
        <v>50000</v>
      </c>
      <c r="Y133" s="5" t="str">
        <f t="shared" si="32"/>
        <v>SI</v>
      </c>
      <c r="Z133" s="5">
        <f t="shared" si="33"/>
        <v>250000</v>
      </c>
      <c r="AA133" s="1"/>
    </row>
    <row r="134" spans="2:27" x14ac:dyDescent="0.25">
      <c r="B134" s="1" t="s">
        <v>215</v>
      </c>
      <c r="C134" s="1" t="s">
        <v>138</v>
      </c>
      <c r="D134" s="1" t="s">
        <v>308</v>
      </c>
      <c r="E134" s="1" t="s">
        <v>223</v>
      </c>
      <c r="F134" s="1" t="s">
        <v>293</v>
      </c>
      <c r="G134" s="2">
        <f t="shared" si="39"/>
        <v>250000</v>
      </c>
      <c r="H134" s="4">
        <f>+VLOOKUP(C134,Indicadores!B:C,2,FALSE)</f>
        <v>1</v>
      </c>
      <c r="I134" s="1" t="str">
        <f t="shared" si="23"/>
        <v>Cumple</v>
      </c>
      <c r="J134" s="4">
        <f>+VLOOKUP(C134,Indicadores!B:F,5,FALSE)</f>
        <v>1</v>
      </c>
      <c r="K134" s="1" t="str">
        <f t="shared" si="24"/>
        <v>Cumple</v>
      </c>
      <c r="L134" s="77">
        <f t="shared" si="25"/>
        <v>1</v>
      </c>
      <c r="M134" s="11">
        <f t="shared" si="26"/>
        <v>150000</v>
      </c>
      <c r="N134" s="4">
        <f>+VLOOKUP(C134,Indicadores!B:M,12,FALSE)</f>
        <v>1</v>
      </c>
      <c r="O134" s="1" t="str">
        <f t="shared" si="27"/>
        <v>Cumple</v>
      </c>
      <c r="P134" s="5">
        <f t="shared" si="28"/>
        <v>150000</v>
      </c>
      <c r="Q134" s="5">
        <f t="shared" si="29"/>
        <v>50000</v>
      </c>
      <c r="R134" s="84">
        <f>+IFERROR(VLOOKUP(C134,Indicadores!B:N,13,FALSE),0%)</f>
        <v>1.0544136251055842</v>
      </c>
      <c r="S134" s="5" t="str">
        <f t="shared" si="38"/>
        <v>Cumple</v>
      </c>
      <c r="T134" s="5">
        <f t="shared" si="34"/>
        <v>50000</v>
      </c>
      <c r="U134" s="5">
        <f t="shared" si="30"/>
        <v>50000</v>
      </c>
      <c r="V134" s="4">
        <f>+VLOOKUP(C134,Indicadores!B:S,18,FALSE)</f>
        <v>1</v>
      </c>
      <c r="W134" s="50" t="str">
        <f t="shared" ref="W134:W193" si="40">IF(V134&gt;=100%,"Cumple","No Cumple")</f>
        <v>Cumple</v>
      </c>
      <c r="X134" s="2">
        <f t="shared" si="31"/>
        <v>50000</v>
      </c>
      <c r="Y134" s="5" t="str">
        <f t="shared" si="32"/>
        <v>SI</v>
      </c>
      <c r="Z134" s="5">
        <f t="shared" si="33"/>
        <v>250000</v>
      </c>
      <c r="AA134" s="1"/>
    </row>
    <row r="135" spans="2:27" x14ac:dyDescent="0.25">
      <c r="B135" s="1" t="s">
        <v>215</v>
      </c>
      <c r="C135" s="1" t="s">
        <v>139</v>
      </c>
      <c r="D135" s="1" t="s">
        <v>308</v>
      </c>
      <c r="E135" s="1" t="s">
        <v>223</v>
      </c>
      <c r="F135" s="1" t="s">
        <v>293</v>
      </c>
      <c r="G135" s="2">
        <f t="shared" ref="G135:G155" si="41">IF(L135&gt;=80%,250000,IF(AND(L135&gt;=60%,L135&lt;80%),150000,0))</f>
        <v>250000</v>
      </c>
      <c r="H135" s="4">
        <f>+VLOOKUP(C135,Indicadores!B:C,2,FALSE)</f>
        <v>1</v>
      </c>
      <c r="I135" s="1" t="str">
        <f t="shared" ref="I135:I193" si="42">IF(H135&gt;=60%,"Cumple","No Cumple")</f>
        <v>Cumple</v>
      </c>
      <c r="J135" s="4">
        <f>+VLOOKUP(C135,Indicadores!B:F,5,FALSE)</f>
        <v>1</v>
      </c>
      <c r="K135" s="1" t="str">
        <f t="shared" ref="K135:K193" si="43">IF(J135&gt;=60%,"Cumple","No Cumple")</f>
        <v>Cumple</v>
      </c>
      <c r="L135" s="77">
        <f t="shared" ref="L135:L193" si="44">+AVERAGE(H135,J135)</f>
        <v>1</v>
      </c>
      <c r="M135" s="11">
        <f t="shared" ref="M135:M193" si="45">+G135*$M$3</f>
        <v>150000</v>
      </c>
      <c r="N135" s="4">
        <f>+VLOOKUP(C135,Indicadores!B:M,12,FALSE)</f>
        <v>1</v>
      </c>
      <c r="O135" s="1" t="str">
        <f t="shared" ref="O135:O193" si="46">IF(N135&gt;=60%,"Cumple","No Cumple")</f>
        <v>Cumple</v>
      </c>
      <c r="P135" s="5">
        <f t="shared" ref="P135:P193" si="47">IF(N135&gt;80%,M135*100%,IF(AND(N135&gt;=60%,N135&lt;=79%),M135*60%,0))</f>
        <v>150000</v>
      </c>
      <c r="Q135" s="5">
        <f t="shared" ref="Q135:Q193" si="48">+$G$6*$Q$3</f>
        <v>50000</v>
      </c>
      <c r="R135" s="84">
        <f>+IFERROR(VLOOKUP(C135,Indicadores!B:N,13,FALSE),0%)</f>
        <v>1.2316437290617255</v>
      </c>
      <c r="S135" s="5" t="str">
        <f t="shared" si="38"/>
        <v>Cumple</v>
      </c>
      <c r="T135" s="5">
        <f t="shared" ref="T135:T193" si="49">IF(R135=80%,Q135*70%,IF(AND(R135&gt;=81%,R135&lt;=90%),Q135*80%,IF(AND(R135&gt;=91%,R135&lt;=95%),Q135*90%,IF(R135=96%,Q135*96%,IF(R135=97%,Q135*97%,IF(R135=98%,Q135*98%,IF(R135=99%,Q135*99%,IF(R135&gt;=100%,Q135,0))))))))</f>
        <v>50000</v>
      </c>
      <c r="U135" s="5">
        <f t="shared" ref="U135:U193" si="50">+G135*$U$3</f>
        <v>50000</v>
      </c>
      <c r="V135" s="4">
        <f>+VLOOKUP(C135,Indicadores!B:S,18,FALSE)</f>
        <v>0.5</v>
      </c>
      <c r="W135" s="50" t="str">
        <f t="shared" si="40"/>
        <v>No Cumple</v>
      </c>
      <c r="X135" s="2">
        <f t="shared" ref="X135:X193" si="51">+IF(V135=100%,U135,0)</f>
        <v>0</v>
      </c>
      <c r="Y135" s="5" t="str">
        <f t="shared" ref="Y135:Y193" si="52">IF(L135&gt;=60%,"SI","NO")</f>
        <v>SI</v>
      </c>
      <c r="Z135" s="5">
        <f t="shared" ref="Z135:Z193" si="53">+IF(Y135="SI",P135+T135+X135,0)</f>
        <v>200000</v>
      </c>
      <c r="AA135" s="1"/>
    </row>
    <row r="136" spans="2:27" x14ac:dyDescent="0.25">
      <c r="B136" s="1" t="s">
        <v>215</v>
      </c>
      <c r="C136" s="1" t="s">
        <v>140</v>
      </c>
      <c r="D136" s="1" t="s">
        <v>308</v>
      </c>
      <c r="E136" s="1" t="s">
        <v>223</v>
      </c>
      <c r="F136" s="1" t="s">
        <v>293</v>
      </c>
      <c r="G136" s="2">
        <f t="shared" si="41"/>
        <v>250000</v>
      </c>
      <c r="H136" s="4">
        <f>+VLOOKUP(C136,Indicadores!B:C,2,FALSE)</f>
        <v>1</v>
      </c>
      <c r="I136" s="1" t="str">
        <f t="shared" si="42"/>
        <v>Cumple</v>
      </c>
      <c r="J136" s="4">
        <f>+VLOOKUP(C136,Indicadores!B:F,5,FALSE)</f>
        <v>1</v>
      </c>
      <c r="K136" s="1" t="str">
        <f t="shared" si="43"/>
        <v>Cumple</v>
      </c>
      <c r="L136" s="77">
        <f t="shared" si="44"/>
        <v>1</v>
      </c>
      <c r="M136" s="11">
        <f t="shared" si="45"/>
        <v>150000</v>
      </c>
      <c r="N136" s="4">
        <f>+VLOOKUP(C136,Indicadores!B:M,12,FALSE)</f>
        <v>1</v>
      </c>
      <c r="O136" s="1" t="str">
        <f t="shared" si="46"/>
        <v>Cumple</v>
      </c>
      <c r="P136" s="5">
        <f t="shared" si="47"/>
        <v>150000</v>
      </c>
      <c r="Q136" s="5">
        <f t="shared" si="48"/>
        <v>50000</v>
      </c>
      <c r="R136" s="84">
        <f>+IFERROR(VLOOKUP(C136,Indicadores!B:N,13,FALSE),0%)</f>
        <v>1.3021513679069516</v>
      </c>
      <c r="S136" s="5" t="str">
        <f t="shared" si="38"/>
        <v>Cumple</v>
      </c>
      <c r="T136" s="5">
        <f t="shared" si="49"/>
        <v>50000</v>
      </c>
      <c r="U136" s="5">
        <f t="shared" si="50"/>
        <v>50000</v>
      </c>
      <c r="V136" s="4">
        <f>+VLOOKUP(C136,Indicadores!B:S,18,FALSE)</f>
        <v>0.5</v>
      </c>
      <c r="W136" s="50" t="str">
        <f t="shared" si="40"/>
        <v>No Cumple</v>
      </c>
      <c r="X136" s="2">
        <f t="shared" si="51"/>
        <v>0</v>
      </c>
      <c r="Y136" s="5" t="str">
        <f t="shared" si="52"/>
        <v>SI</v>
      </c>
      <c r="Z136" s="5">
        <f t="shared" si="53"/>
        <v>200000</v>
      </c>
      <c r="AA136" s="1"/>
    </row>
    <row r="137" spans="2:27" x14ac:dyDescent="0.25">
      <c r="B137" s="1" t="s">
        <v>222</v>
      </c>
      <c r="C137" s="1" t="s">
        <v>141</v>
      </c>
      <c r="D137" s="1" t="s">
        <v>317</v>
      </c>
      <c r="E137" s="1" t="s">
        <v>320</v>
      </c>
      <c r="F137" s="1" t="s">
        <v>298</v>
      </c>
      <c r="G137" s="2">
        <f t="shared" si="41"/>
        <v>250000</v>
      </c>
      <c r="H137" s="4">
        <f>+VLOOKUP(C137,Indicadores!B:C,2,FALSE)</f>
        <v>1</v>
      </c>
      <c r="I137" s="1" t="str">
        <f t="shared" si="42"/>
        <v>Cumple</v>
      </c>
      <c r="J137" s="4">
        <f>+VLOOKUP(C137,Indicadores!B:F,5,FALSE)</f>
        <v>0.8</v>
      </c>
      <c r="K137" s="1" t="str">
        <f t="shared" si="43"/>
        <v>Cumple</v>
      </c>
      <c r="L137" s="77">
        <f t="shared" si="44"/>
        <v>0.9</v>
      </c>
      <c r="M137" s="11">
        <f t="shared" si="45"/>
        <v>150000</v>
      </c>
      <c r="N137" s="4">
        <f>+VLOOKUP(C137,Indicadores!B:M,12,FALSE)</f>
        <v>0.87272727272727268</v>
      </c>
      <c r="O137" s="1" t="str">
        <f t="shared" si="46"/>
        <v>Cumple</v>
      </c>
      <c r="P137" s="5">
        <f t="shared" si="47"/>
        <v>150000</v>
      </c>
      <c r="Q137" s="5">
        <f t="shared" si="48"/>
        <v>50000</v>
      </c>
      <c r="R137" s="84">
        <v>0.97070000000000001</v>
      </c>
      <c r="S137" s="5" t="str">
        <f t="shared" ref="S137:S178" si="54">IF(R137&gt;=80%,"Cumple","No Cumple")</f>
        <v>Cumple</v>
      </c>
      <c r="T137" s="5">
        <f>+Q137*R137</f>
        <v>48535</v>
      </c>
      <c r="U137" s="5">
        <f t="shared" si="50"/>
        <v>50000</v>
      </c>
      <c r="V137" s="4">
        <f>+VLOOKUP(C137,Indicadores!B:S,18,FALSE)</f>
        <v>1</v>
      </c>
      <c r="W137" s="50" t="str">
        <f t="shared" si="40"/>
        <v>Cumple</v>
      </c>
      <c r="X137" s="2">
        <f t="shared" si="51"/>
        <v>50000</v>
      </c>
      <c r="Y137" s="5" t="str">
        <f t="shared" si="52"/>
        <v>SI</v>
      </c>
      <c r="Z137" s="5">
        <f t="shared" si="53"/>
        <v>248535</v>
      </c>
      <c r="AA137" s="1"/>
    </row>
    <row r="138" spans="2:27" x14ac:dyDescent="0.25">
      <c r="B138" s="1" t="s">
        <v>222</v>
      </c>
      <c r="C138" s="1" t="s">
        <v>142</v>
      </c>
      <c r="D138" s="1" t="s">
        <v>317</v>
      </c>
      <c r="E138" s="1" t="s">
        <v>320</v>
      </c>
      <c r="F138" s="1" t="s">
        <v>298</v>
      </c>
      <c r="G138" s="2">
        <f t="shared" si="41"/>
        <v>250000</v>
      </c>
      <c r="H138" s="4">
        <f>+VLOOKUP(C138,Indicadores!B:C,2,FALSE)</f>
        <v>1</v>
      </c>
      <c r="I138" s="1" t="str">
        <f t="shared" si="42"/>
        <v>Cumple</v>
      </c>
      <c r="J138" s="4">
        <f>+VLOOKUP(C138,Indicadores!B:F,5,FALSE)</f>
        <v>1</v>
      </c>
      <c r="K138" s="1" t="str">
        <f t="shared" si="43"/>
        <v>Cumple</v>
      </c>
      <c r="L138" s="77">
        <f t="shared" si="44"/>
        <v>1</v>
      </c>
      <c r="M138" s="11">
        <f t="shared" si="45"/>
        <v>150000</v>
      </c>
      <c r="N138" s="4">
        <f>+VLOOKUP(C138,Indicadores!B:M,12,FALSE)</f>
        <v>1</v>
      </c>
      <c r="O138" s="1" t="str">
        <f t="shared" si="46"/>
        <v>Cumple</v>
      </c>
      <c r="P138" s="5">
        <f t="shared" si="47"/>
        <v>150000</v>
      </c>
      <c r="Q138" s="5">
        <f t="shared" si="48"/>
        <v>50000</v>
      </c>
      <c r="R138" s="84">
        <v>0.97070000000000001</v>
      </c>
      <c r="S138" s="5" t="str">
        <f t="shared" si="54"/>
        <v>Cumple</v>
      </c>
      <c r="T138" s="5">
        <f t="shared" ref="T138:T142" si="55">+Q138*R138</f>
        <v>48535</v>
      </c>
      <c r="U138" s="5">
        <f t="shared" si="50"/>
        <v>50000</v>
      </c>
      <c r="V138" s="4">
        <f>+VLOOKUP(C138,Indicadores!B:S,18,FALSE)</f>
        <v>1</v>
      </c>
      <c r="W138" s="50" t="str">
        <f t="shared" si="40"/>
        <v>Cumple</v>
      </c>
      <c r="X138" s="2">
        <f t="shared" si="51"/>
        <v>50000</v>
      </c>
      <c r="Y138" s="5" t="str">
        <f t="shared" si="52"/>
        <v>SI</v>
      </c>
      <c r="Z138" s="5">
        <f t="shared" si="53"/>
        <v>248535</v>
      </c>
      <c r="AA138" s="10"/>
    </row>
    <row r="139" spans="2:27" x14ac:dyDescent="0.25">
      <c r="B139" s="1" t="s">
        <v>222</v>
      </c>
      <c r="C139" s="1" t="s">
        <v>143</v>
      </c>
      <c r="D139" s="1" t="s">
        <v>317</v>
      </c>
      <c r="E139" s="1" t="s">
        <v>320</v>
      </c>
      <c r="F139" s="1" t="s">
        <v>298</v>
      </c>
      <c r="G139" s="2">
        <f t="shared" si="41"/>
        <v>250000</v>
      </c>
      <c r="H139" s="4">
        <f>+VLOOKUP(C139,Indicadores!B:C,2,FALSE)</f>
        <v>0.83333333333333337</v>
      </c>
      <c r="I139" s="1" t="str">
        <f t="shared" si="42"/>
        <v>Cumple</v>
      </c>
      <c r="J139" s="4">
        <f>+VLOOKUP(C139,Indicadores!B:F,5,FALSE)</f>
        <v>1</v>
      </c>
      <c r="K139" s="1" t="str">
        <f t="shared" si="43"/>
        <v>Cumple</v>
      </c>
      <c r="L139" s="77">
        <f t="shared" si="44"/>
        <v>0.91666666666666674</v>
      </c>
      <c r="M139" s="11">
        <f t="shared" si="45"/>
        <v>150000</v>
      </c>
      <c r="N139" s="4">
        <f>+VLOOKUP(C139,Indicadores!B:M,12,FALSE)</f>
        <v>0.83333333333333337</v>
      </c>
      <c r="O139" s="1" t="str">
        <f t="shared" si="46"/>
        <v>Cumple</v>
      </c>
      <c r="P139" s="5">
        <f t="shared" si="47"/>
        <v>150000</v>
      </c>
      <c r="Q139" s="5">
        <f t="shared" si="48"/>
        <v>50000</v>
      </c>
      <c r="R139" s="84">
        <v>0.97070000000000001</v>
      </c>
      <c r="S139" s="5" t="str">
        <f t="shared" si="54"/>
        <v>Cumple</v>
      </c>
      <c r="T139" s="5">
        <f t="shared" si="55"/>
        <v>48535</v>
      </c>
      <c r="U139" s="5">
        <f t="shared" si="50"/>
        <v>50000</v>
      </c>
      <c r="V139" s="4">
        <f>+VLOOKUP(C139,Indicadores!B:S,18,FALSE)</f>
        <v>0.875</v>
      </c>
      <c r="W139" s="50" t="str">
        <f t="shared" si="40"/>
        <v>No Cumple</v>
      </c>
      <c r="X139" s="2">
        <f>+IF(V139=100%,U139,0)</f>
        <v>0</v>
      </c>
      <c r="Y139" s="5" t="str">
        <f t="shared" si="52"/>
        <v>SI</v>
      </c>
      <c r="Z139" s="5">
        <f t="shared" si="53"/>
        <v>198535</v>
      </c>
      <c r="AA139" s="1"/>
    </row>
    <row r="140" spans="2:27" x14ac:dyDescent="0.25">
      <c r="B140" s="1" t="s">
        <v>222</v>
      </c>
      <c r="C140" s="1" t="s">
        <v>144</v>
      </c>
      <c r="D140" s="1" t="s">
        <v>317</v>
      </c>
      <c r="E140" s="1" t="s">
        <v>320</v>
      </c>
      <c r="F140" s="1" t="s">
        <v>298</v>
      </c>
      <c r="G140" s="2">
        <f t="shared" si="41"/>
        <v>250000</v>
      </c>
      <c r="H140" s="4">
        <f>+VLOOKUP(C140,Indicadores!B:C,2,FALSE)</f>
        <v>1</v>
      </c>
      <c r="I140" s="1" t="str">
        <f t="shared" si="42"/>
        <v>Cumple</v>
      </c>
      <c r="J140" s="4">
        <f>+VLOOKUP(C140,Indicadores!B:F,5,FALSE)</f>
        <v>1</v>
      </c>
      <c r="K140" s="1" t="str">
        <f t="shared" si="43"/>
        <v>Cumple</v>
      </c>
      <c r="L140" s="77">
        <f t="shared" si="44"/>
        <v>1</v>
      </c>
      <c r="M140" s="11">
        <f t="shared" si="45"/>
        <v>150000</v>
      </c>
      <c r="N140" s="4">
        <f>+VLOOKUP(C140,Indicadores!B:M,12,FALSE)</f>
        <v>0.80769230769230782</v>
      </c>
      <c r="O140" s="1" t="str">
        <f t="shared" si="46"/>
        <v>Cumple</v>
      </c>
      <c r="P140" s="5">
        <f t="shared" si="47"/>
        <v>150000</v>
      </c>
      <c r="Q140" s="5">
        <f t="shared" si="48"/>
        <v>50000</v>
      </c>
      <c r="R140" s="84">
        <v>0.97070000000000001</v>
      </c>
      <c r="S140" s="5" t="str">
        <f t="shared" si="54"/>
        <v>Cumple</v>
      </c>
      <c r="T140" s="5">
        <f t="shared" si="55"/>
        <v>48535</v>
      </c>
      <c r="U140" s="5">
        <f t="shared" si="50"/>
        <v>50000</v>
      </c>
      <c r="V140" s="4">
        <f>+VLOOKUP(C140,Indicadores!B:S,18,FALSE)</f>
        <v>1</v>
      </c>
      <c r="W140" s="50" t="str">
        <f t="shared" si="40"/>
        <v>Cumple</v>
      </c>
      <c r="X140" s="2">
        <f t="shared" si="51"/>
        <v>50000</v>
      </c>
      <c r="Y140" s="5" t="str">
        <f t="shared" si="52"/>
        <v>SI</v>
      </c>
      <c r="Z140" s="5">
        <f t="shared" si="53"/>
        <v>248535</v>
      </c>
      <c r="AA140" s="1"/>
    </row>
    <row r="141" spans="2:27" x14ac:dyDescent="0.25">
      <c r="B141" s="1" t="s">
        <v>222</v>
      </c>
      <c r="C141" s="1" t="s">
        <v>145</v>
      </c>
      <c r="D141" s="1" t="s">
        <v>317</v>
      </c>
      <c r="E141" s="1" t="s">
        <v>320</v>
      </c>
      <c r="F141" s="1" t="s">
        <v>298</v>
      </c>
      <c r="G141" s="2">
        <f t="shared" si="41"/>
        <v>250000</v>
      </c>
      <c r="H141" s="4">
        <f>+VLOOKUP(C141,Indicadores!B:C,2,FALSE)</f>
        <v>1</v>
      </c>
      <c r="I141" s="1" t="str">
        <f t="shared" si="42"/>
        <v>Cumple</v>
      </c>
      <c r="J141" s="4">
        <f>+VLOOKUP(C141,Indicadores!B:F,5,FALSE)</f>
        <v>1</v>
      </c>
      <c r="K141" s="1" t="str">
        <f t="shared" si="43"/>
        <v>Cumple</v>
      </c>
      <c r="L141" s="77">
        <f t="shared" si="44"/>
        <v>1</v>
      </c>
      <c r="M141" s="11">
        <f t="shared" si="45"/>
        <v>150000</v>
      </c>
      <c r="N141" s="4">
        <f>+VLOOKUP(C141,Indicadores!B:M,12,FALSE)</f>
        <v>1</v>
      </c>
      <c r="O141" s="1" t="str">
        <f t="shared" si="46"/>
        <v>Cumple</v>
      </c>
      <c r="P141" s="5">
        <f t="shared" si="47"/>
        <v>150000</v>
      </c>
      <c r="Q141" s="5">
        <f t="shared" si="48"/>
        <v>50000</v>
      </c>
      <c r="R141" s="84">
        <v>0.97070000000000001</v>
      </c>
      <c r="S141" s="5" t="str">
        <f t="shared" si="54"/>
        <v>Cumple</v>
      </c>
      <c r="T141" s="5">
        <f t="shared" si="55"/>
        <v>48535</v>
      </c>
      <c r="U141" s="5">
        <f t="shared" si="50"/>
        <v>50000</v>
      </c>
      <c r="V141" s="4">
        <f>+VLOOKUP(C141,Indicadores!B:S,18,FALSE)</f>
        <v>1</v>
      </c>
      <c r="W141" s="50" t="str">
        <f t="shared" si="40"/>
        <v>Cumple</v>
      </c>
      <c r="X141" s="2">
        <f t="shared" si="51"/>
        <v>50000</v>
      </c>
      <c r="Y141" s="5" t="str">
        <f t="shared" si="52"/>
        <v>SI</v>
      </c>
      <c r="Z141" s="5">
        <f t="shared" si="53"/>
        <v>248535</v>
      </c>
      <c r="AA141" s="1"/>
    </row>
    <row r="142" spans="2:27" x14ac:dyDescent="0.25">
      <c r="B142" s="1" t="s">
        <v>222</v>
      </c>
      <c r="C142" s="1" t="s">
        <v>146</v>
      </c>
      <c r="D142" s="1" t="s">
        <v>317</v>
      </c>
      <c r="E142" s="1" t="s">
        <v>320</v>
      </c>
      <c r="F142" s="1" t="s">
        <v>298</v>
      </c>
      <c r="G142" s="2">
        <f t="shared" si="41"/>
        <v>250000</v>
      </c>
      <c r="H142" s="4">
        <f>+VLOOKUP(C142,Indicadores!B:C,2,FALSE)</f>
        <v>0.85185185185185175</v>
      </c>
      <c r="I142" s="1" t="str">
        <f t="shared" si="42"/>
        <v>Cumple</v>
      </c>
      <c r="J142" s="4">
        <f>+VLOOKUP(C142,Indicadores!B:F,5,FALSE)</f>
        <v>1</v>
      </c>
      <c r="K142" s="1" t="str">
        <f t="shared" si="43"/>
        <v>Cumple</v>
      </c>
      <c r="L142" s="77">
        <f t="shared" si="44"/>
        <v>0.92592592592592582</v>
      </c>
      <c r="M142" s="11">
        <f t="shared" si="45"/>
        <v>150000</v>
      </c>
      <c r="N142" s="4">
        <f>+VLOOKUP(C142,Indicadores!B:M,12,FALSE)</f>
        <v>0.7240740740740742</v>
      </c>
      <c r="O142" s="1" t="str">
        <f t="shared" si="46"/>
        <v>Cumple</v>
      </c>
      <c r="P142" s="5">
        <f t="shared" si="47"/>
        <v>90000</v>
      </c>
      <c r="Q142" s="5">
        <f t="shared" si="48"/>
        <v>50000</v>
      </c>
      <c r="R142" s="84">
        <v>0.97070000000000001</v>
      </c>
      <c r="S142" s="5" t="str">
        <f t="shared" si="54"/>
        <v>Cumple</v>
      </c>
      <c r="T142" s="5">
        <f t="shared" si="55"/>
        <v>48535</v>
      </c>
      <c r="U142" s="5">
        <f t="shared" si="50"/>
        <v>50000</v>
      </c>
      <c r="V142" s="4">
        <f>+VLOOKUP(C142,Indicadores!B:S,18,FALSE)</f>
        <v>0.77777777777777779</v>
      </c>
      <c r="W142" s="50" t="str">
        <f t="shared" si="40"/>
        <v>No Cumple</v>
      </c>
      <c r="X142" s="2">
        <f t="shared" si="51"/>
        <v>0</v>
      </c>
      <c r="Y142" s="5" t="str">
        <f t="shared" si="52"/>
        <v>SI</v>
      </c>
      <c r="Z142" s="5">
        <f t="shared" si="53"/>
        <v>138535</v>
      </c>
      <c r="AA142" s="1"/>
    </row>
    <row r="143" spans="2:27" x14ac:dyDescent="0.25">
      <c r="B143" s="1" t="s">
        <v>222</v>
      </c>
      <c r="C143" s="1" t="s">
        <v>147</v>
      </c>
      <c r="D143" s="1" t="s">
        <v>317</v>
      </c>
      <c r="E143" s="1" t="s">
        <v>320</v>
      </c>
      <c r="F143" s="1" t="s">
        <v>298</v>
      </c>
      <c r="G143" s="2">
        <f t="shared" si="41"/>
        <v>250000</v>
      </c>
      <c r="H143" s="4">
        <f>+VLOOKUP(C143,Indicadores!B:C,2,FALSE)</f>
        <v>0.89743589743589747</v>
      </c>
      <c r="I143" s="1" t="str">
        <f t="shared" si="42"/>
        <v>Cumple</v>
      </c>
      <c r="J143" s="4">
        <f>+VLOOKUP(C143,Indicadores!B:F,5,FALSE)</f>
        <v>1</v>
      </c>
      <c r="K143" s="1" t="str">
        <f t="shared" si="43"/>
        <v>Cumple</v>
      </c>
      <c r="L143" s="77">
        <f t="shared" si="44"/>
        <v>0.94871794871794868</v>
      </c>
      <c r="M143" s="11">
        <f t="shared" si="45"/>
        <v>150000</v>
      </c>
      <c r="N143" s="4">
        <f>+VLOOKUP(C143,Indicadores!B:M,12,FALSE)</f>
        <v>0.94871794871794879</v>
      </c>
      <c r="O143" s="1" t="str">
        <f t="shared" si="46"/>
        <v>Cumple</v>
      </c>
      <c r="P143" s="5">
        <f t="shared" si="47"/>
        <v>150000</v>
      </c>
      <c r="Q143" s="5">
        <f t="shared" si="48"/>
        <v>50000</v>
      </c>
      <c r="R143" s="84">
        <f>+IFERROR(VLOOKUP(C143,Indicadores!B:N,13,FALSE),0%)</f>
        <v>0.87333085500152596</v>
      </c>
      <c r="S143" s="5" t="str">
        <f>IF(R143&gt;=70%,"Cumple","No Cumple")</f>
        <v>Cumple</v>
      </c>
      <c r="T143" s="5">
        <f t="shared" si="49"/>
        <v>40000</v>
      </c>
      <c r="U143" s="5">
        <f t="shared" si="50"/>
        <v>50000</v>
      </c>
      <c r="V143" s="4">
        <f>+VLOOKUP(C143,Indicadores!B:S,18,FALSE)</f>
        <v>0.92307692307692313</v>
      </c>
      <c r="W143" s="50" t="str">
        <f t="shared" si="40"/>
        <v>No Cumple</v>
      </c>
      <c r="X143" s="2">
        <f t="shared" si="51"/>
        <v>0</v>
      </c>
      <c r="Y143" s="5" t="str">
        <f t="shared" si="52"/>
        <v>SI</v>
      </c>
      <c r="Z143" s="5">
        <f t="shared" si="53"/>
        <v>190000</v>
      </c>
      <c r="AA143" s="1"/>
    </row>
    <row r="144" spans="2:27" x14ac:dyDescent="0.25">
      <c r="B144" s="1" t="s">
        <v>222</v>
      </c>
      <c r="C144" s="1" t="s">
        <v>148</v>
      </c>
      <c r="D144" s="1" t="s">
        <v>317</v>
      </c>
      <c r="E144" s="1" t="s">
        <v>320</v>
      </c>
      <c r="F144" s="1" t="s">
        <v>298</v>
      </c>
      <c r="G144" s="2">
        <f t="shared" si="41"/>
        <v>250000</v>
      </c>
      <c r="H144" s="4">
        <f>+VLOOKUP(C144,Indicadores!B:C,2,FALSE)</f>
        <v>0.87179487179487181</v>
      </c>
      <c r="I144" s="1" t="str">
        <f t="shared" si="42"/>
        <v>Cumple</v>
      </c>
      <c r="J144" s="4">
        <f>+VLOOKUP(C144,Indicadores!B:F,5,FALSE)</f>
        <v>1</v>
      </c>
      <c r="K144" s="1" t="str">
        <f t="shared" si="43"/>
        <v>Cumple</v>
      </c>
      <c r="L144" s="77">
        <f t="shared" si="44"/>
        <v>0.9358974358974359</v>
      </c>
      <c r="M144" s="11">
        <f t="shared" si="45"/>
        <v>150000</v>
      </c>
      <c r="N144" s="4">
        <f>+VLOOKUP(C144,Indicadores!B:M,12,FALSE)</f>
        <v>0.94871794871794879</v>
      </c>
      <c r="O144" s="1" t="str">
        <f t="shared" si="46"/>
        <v>Cumple</v>
      </c>
      <c r="P144" s="5">
        <f t="shared" si="47"/>
        <v>150000</v>
      </c>
      <c r="Q144" s="5">
        <f t="shared" si="48"/>
        <v>50000</v>
      </c>
      <c r="R144" s="84">
        <v>0.97070000000000001</v>
      </c>
      <c r="S144" s="5" t="str">
        <f t="shared" si="54"/>
        <v>Cumple</v>
      </c>
      <c r="T144" s="5">
        <f t="shared" ref="T144:T145" si="56">+Q144*R144</f>
        <v>48535</v>
      </c>
      <c r="U144" s="5">
        <f t="shared" si="50"/>
        <v>50000</v>
      </c>
      <c r="V144" s="4">
        <f>+VLOOKUP(C144,Indicadores!B:S,18,FALSE)</f>
        <v>0.88461538461538458</v>
      </c>
      <c r="W144" s="50" t="str">
        <f t="shared" si="40"/>
        <v>No Cumple</v>
      </c>
      <c r="X144" s="2">
        <f t="shared" si="51"/>
        <v>0</v>
      </c>
      <c r="Y144" s="5" t="str">
        <f t="shared" si="52"/>
        <v>SI</v>
      </c>
      <c r="Z144" s="5">
        <f t="shared" si="53"/>
        <v>198535</v>
      </c>
      <c r="AA144" s="1"/>
    </row>
    <row r="145" spans="2:27" x14ac:dyDescent="0.25">
      <c r="B145" s="1" t="s">
        <v>222</v>
      </c>
      <c r="C145" s="1" t="s">
        <v>149</v>
      </c>
      <c r="D145" s="1" t="s">
        <v>317</v>
      </c>
      <c r="E145" s="1" t="s">
        <v>320</v>
      </c>
      <c r="F145" s="1" t="s">
        <v>298</v>
      </c>
      <c r="G145" s="2">
        <f t="shared" si="41"/>
        <v>250000</v>
      </c>
      <c r="H145" s="4">
        <f>+VLOOKUP(C145,Indicadores!B:C,2,FALSE)</f>
        <v>1</v>
      </c>
      <c r="I145" s="1" t="str">
        <f t="shared" si="42"/>
        <v>Cumple</v>
      </c>
      <c r="J145" s="4">
        <f>+VLOOKUP(C145,Indicadores!B:F,5,FALSE)</f>
        <v>1</v>
      </c>
      <c r="K145" s="1" t="str">
        <f t="shared" si="43"/>
        <v>Cumple</v>
      </c>
      <c r="L145" s="77">
        <f t="shared" si="44"/>
        <v>1</v>
      </c>
      <c r="M145" s="11">
        <f t="shared" si="45"/>
        <v>150000</v>
      </c>
      <c r="N145" s="4">
        <f>+VLOOKUP(C145,Indicadores!B:M,12,FALSE)</f>
        <v>0.87439613526570048</v>
      </c>
      <c r="O145" s="1" t="str">
        <f t="shared" si="46"/>
        <v>Cumple</v>
      </c>
      <c r="P145" s="5">
        <f t="shared" si="47"/>
        <v>150000</v>
      </c>
      <c r="Q145" s="5">
        <f t="shared" si="48"/>
        <v>50000</v>
      </c>
      <c r="R145" s="84">
        <v>0.97070000000000001</v>
      </c>
      <c r="S145" s="5" t="str">
        <f t="shared" si="54"/>
        <v>Cumple</v>
      </c>
      <c r="T145" s="5">
        <f t="shared" si="56"/>
        <v>48535</v>
      </c>
      <c r="U145" s="5">
        <f t="shared" si="50"/>
        <v>50000</v>
      </c>
      <c r="V145" s="4">
        <f>+VLOOKUP(C145,Indicadores!B:S,18,FALSE)</f>
        <v>1</v>
      </c>
      <c r="W145" s="50" t="str">
        <f t="shared" si="40"/>
        <v>Cumple</v>
      </c>
      <c r="X145" s="2">
        <f t="shared" si="51"/>
        <v>50000</v>
      </c>
      <c r="Y145" s="5" t="str">
        <f t="shared" si="52"/>
        <v>SI</v>
      </c>
      <c r="Z145" s="5">
        <f t="shared" si="53"/>
        <v>248535</v>
      </c>
      <c r="AA145" s="1"/>
    </row>
    <row r="146" spans="2:27" x14ac:dyDescent="0.25">
      <c r="B146" s="1" t="s">
        <v>222</v>
      </c>
      <c r="C146" s="1" t="s">
        <v>150</v>
      </c>
      <c r="D146" s="1" t="s">
        <v>317</v>
      </c>
      <c r="E146" s="1" t="s">
        <v>320</v>
      </c>
      <c r="F146" s="1" t="s">
        <v>298</v>
      </c>
      <c r="G146" s="2">
        <f t="shared" si="41"/>
        <v>250000</v>
      </c>
      <c r="H146" s="4">
        <f>+VLOOKUP(C146,Indicadores!B:C,2,FALSE)</f>
        <v>1</v>
      </c>
      <c r="I146" s="1" t="str">
        <f t="shared" si="42"/>
        <v>Cumple</v>
      </c>
      <c r="J146" s="4">
        <f>+VLOOKUP(C146,Indicadores!B:F,5,FALSE)</f>
        <v>1</v>
      </c>
      <c r="K146" s="1" t="str">
        <f t="shared" si="43"/>
        <v>Cumple</v>
      </c>
      <c r="L146" s="77">
        <f t="shared" si="44"/>
        <v>1</v>
      </c>
      <c r="M146" s="11">
        <f t="shared" si="45"/>
        <v>150000</v>
      </c>
      <c r="N146" s="4">
        <f>+VLOOKUP(C146,Indicadores!B:M,12,FALSE)</f>
        <v>1</v>
      </c>
      <c r="O146" s="1" t="str">
        <f t="shared" si="46"/>
        <v>Cumple</v>
      </c>
      <c r="P146" s="5">
        <f t="shared" si="47"/>
        <v>150000</v>
      </c>
      <c r="Q146" s="5">
        <f t="shared" si="48"/>
        <v>50000</v>
      </c>
      <c r="R146" s="84">
        <f>+IFERROR(VLOOKUP(C146,Indicadores!B:N,13,FALSE),0%)</f>
        <v>0.82558188918693898</v>
      </c>
      <c r="S146" s="5" t="str">
        <f>IF(R146&gt;=70%,"Cumple","No Cumple")</f>
        <v>Cumple</v>
      </c>
      <c r="T146" s="5">
        <f t="shared" si="49"/>
        <v>40000</v>
      </c>
      <c r="U146" s="5">
        <f t="shared" si="50"/>
        <v>50000</v>
      </c>
      <c r="V146" s="4">
        <f>+VLOOKUP(C146,Indicadores!B:S,18,FALSE)</f>
        <v>1</v>
      </c>
      <c r="W146" s="50" t="str">
        <f t="shared" si="40"/>
        <v>Cumple</v>
      </c>
      <c r="X146" s="2">
        <f t="shared" si="51"/>
        <v>50000</v>
      </c>
      <c r="Y146" s="5" t="str">
        <f t="shared" si="52"/>
        <v>SI</v>
      </c>
      <c r="Z146" s="5">
        <f t="shared" si="53"/>
        <v>240000</v>
      </c>
      <c r="AA146" s="1"/>
    </row>
    <row r="147" spans="2:27" x14ac:dyDescent="0.25">
      <c r="B147" s="1" t="s">
        <v>222</v>
      </c>
      <c r="C147" s="1" t="s">
        <v>151</v>
      </c>
      <c r="D147" s="1" t="s">
        <v>317</v>
      </c>
      <c r="E147" s="1" t="s">
        <v>320</v>
      </c>
      <c r="F147" s="1" t="s">
        <v>298</v>
      </c>
      <c r="G147" s="2">
        <f t="shared" si="41"/>
        <v>250000</v>
      </c>
      <c r="H147" s="4">
        <f>+VLOOKUP(C147,Indicadores!B:C,2,FALSE)</f>
        <v>0.93333333333333324</v>
      </c>
      <c r="I147" s="1" t="str">
        <f t="shared" si="42"/>
        <v>Cumple</v>
      </c>
      <c r="J147" s="4">
        <f>+VLOOKUP(C147,Indicadores!B:F,5,FALSE)</f>
        <v>1</v>
      </c>
      <c r="K147" s="1" t="str">
        <f t="shared" si="43"/>
        <v>Cumple</v>
      </c>
      <c r="L147" s="77">
        <f t="shared" si="44"/>
        <v>0.96666666666666656</v>
      </c>
      <c r="M147" s="11">
        <f t="shared" si="45"/>
        <v>150000</v>
      </c>
      <c r="N147" s="4">
        <f>+VLOOKUP(C147,Indicadores!B:M,12,FALSE)</f>
        <v>0.94912280701754381</v>
      </c>
      <c r="O147" s="1" t="str">
        <f t="shared" si="46"/>
        <v>Cumple</v>
      </c>
      <c r="P147" s="5">
        <f t="shared" si="47"/>
        <v>150000</v>
      </c>
      <c r="Q147" s="5">
        <f t="shared" si="48"/>
        <v>50000</v>
      </c>
      <c r="R147" s="84">
        <v>0.97070000000000001</v>
      </c>
      <c r="S147" s="5" t="str">
        <f t="shared" si="54"/>
        <v>Cumple</v>
      </c>
      <c r="T147" s="5">
        <f>+Q147*R147</f>
        <v>48535</v>
      </c>
      <c r="U147" s="5">
        <f t="shared" si="50"/>
        <v>50000</v>
      </c>
      <c r="V147" s="4">
        <f>+VLOOKUP(C147,Indicadores!B:S,18,FALSE)</f>
        <v>0.95</v>
      </c>
      <c r="W147" s="50" t="str">
        <f t="shared" si="40"/>
        <v>No Cumple</v>
      </c>
      <c r="X147" s="2">
        <f t="shared" si="51"/>
        <v>0</v>
      </c>
      <c r="Y147" s="5" t="str">
        <f t="shared" si="52"/>
        <v>SI</v>
      </c>
      <c r="Z147" s="5">
        <f t="shared" si="53"/>
        <v>198535</v>
      </c>
      <c r="AA147" s="1"/>
    </row>
    <row r="148" spans="2:27" x14ac:dyDescent="0.25">
      <c r="B148" s="1" t="s">
        <v>222</v>
      </c>
      <c r="C148" s="1" t="s">
        <v>152</v>
      </c>
      <c r="D148" s="1" t="s">
        <v>317</v>
      </c>
      <c r="E148" s="1" t="s">
        <v>320</v>
      </c>
      <c r="F148" s="1" t="s">
        <v>298</v>
      </c>
      <c r="G148" s="2">
        <f t="shared" si="41"/>
        <v>250000</v>
      </c>
      <c r="H148" s="4">
        <f>+VLOOKUP(C148,Indicadores!B:C,2,FALSE)</f>
        <v>1</v>
      </c>
      <c r="I148" s="1" t="str">
        <f t="shared" si="42"/>
        <v>Cumple</v>
      </c>
      <c r="J148" s="4">
        <f>+VLOOKUP(C148,Indicadores!B:F,5,FALSE)</f>
        <v>1</v>
      </c>
      <c r="K148" s="1" t="str">
        <f t="shared" si="43"/>
        <v>Cumple</v>
      </c>
      <c r="L148" s="77">
        <f t="shared" si="44"/>
        <v>1</v>
      </c>
      <c r="M148" s="11">
        <f t="shared" si="45"/>
        <v>150000</v>
      </c>
      <c r="N148" s="4">
        <f>+VLOOKUP(C148,Indicadores!B:M,12,FALSE)</f>
        <v>1</v>
      </c>
      <c r="O148" s="1" t="str">
        <f t="shared" si="46"/>
        <v>Cumple</v>
      </c>
      <c r="P148" s="5">
        <f t="shared" si="47"/>
        <v>150000</v>
      </c>
      <c r="Q148" s="5">
        <f t="shared" si="48"/>
        <v>50000</v>
      </c>
      <c r="R148" s="84">
        <f>+IFERROR(VLOOKUP(C148,Indicadores!B:N,13,FALSE),0%)</f>
        <v>1.0409142540651517</v>
      </c>
      <c r="S148" s="5" t="str">
        <f>IF(R148&gt;=70%,"Cumple","No Cumple")</f>
        <v>Cumple</v>
      </c>
      <c r="T148" s="5">
        <f t="shared" si="49"/>
        <v>50000</v>
      </c>
      <c r="U148" s="5">
        <f t="shared" si="50"/>
        <v>50000</v>
      </c>
      <c r="V148" s="4">
        <f>+VLOOKUP(C148,Indicadores!B:S,18,FALSE)</f>
        <v>1</v>
      </c>
      <c r="W148" s="50" t="str">
        <f t="shared" si="40"/>
        <v>Cumple</v>
      </c>
      <c r="X148" s="2">
        <f t="shared" si="51"/>
        <v>50000</v>
      </c>
      <c r="Y148" s="5" t="str">
        <f t="shared" si="52"/>
        <v>SI</v>
      </c>
      <c r="Z148" s="5">
        <f t="shared" si="53"/>
        <v>250000</v>
      </c>
      <c r="AA148" s="1"/>
    </row>
    <row r="149" spans="2:27" x14ac:dyDescent="0.25">
      <c r="B149" s="1" t="s">
        <v>222</v>
      </c>
      <c r="C149" s="1" t="s">
        <v>153</v>
      </c>
      <c r="D149" s="1" t="s">
        <v>317</v>
      </c>
      <c r="E149" s="1" t="s">
        <v>320</v>
      </c>
      <c r="F149" s="1" t="s">
        <v>298</v>
      </c>
      <c r="G149" s="2">
        <f t="shared" si="41"/>
        <v>250000</v>
      </c>
      <c r="H149" s="4">
        <f>+VLOOKUP(C149,Indicadores!B:C,2,FALSE)</f>
        <v>1</v>
      </c>
      <c r="I149" s="1" t="str">
        <f t="shared" si="42"/>
        <v>Cumple</v>
      </c>
      <c r="J149" s="4">
        <f>+VLOOKUP(C149,Indicadores!B:F,5,FALSE)</f>
        <v>1</v>
      </c>
      <c r="K149" s="1" t="str">
        <f t="shared" si="43"/>
        <v>Cumple</v>
      </c>
      <c r="L149" s="77">
        <f t="shared" si="44"/>
        <v>1</v>
      </c>
      <c r="M149" s="11">
        <f t="shared" si="45"/>
        <v>150000</v>
      </c>
      <c r="N149" s="4">
        <f>+VLOOKUP(C149,Indicadores!B:M,12,FALSE)</f>
        <v>1</v>
      </c>
      <c r="O149" s="1" t="str">
        <f t="shared" si="46"/>
        <v>Cumple</v>
      </c>
      <c r="P149" s="5">
        <f t="shared" si="47"/>
        <v>150000</v>
      </c>
      <c r="Q149" s="5">
        <f t="shared" si="48"/>
        <v>50000</v>
      </c>
      <c r="R149" s="84">
        <v>0.97070000000000001</v>
      </c>
      <c r="S149" s="5" t="str">
        <f t="shared" si="54"/>
        <v>Cumple</v>
      </c>
      <c r="T149" s="5">
        <f>+Q149*R149</f>
        <v>48535</v>
      </c>
      <c r="U149" s="5">
        <f t="shared" si="50"/>
        <v>50000</v>
      </c>
      <c r="V149" s="4">
        <f>+VLOOKUP(C149,Indicadores!B:S,18,FALSE)</f>
        <v>1</v>
      </c>
      <c r="W149" s="50" t="str">
        <f t="shared" si="40"/>
        <v>Cumple</v>
      </c>
      <c r="X149" s="2">
        <f t="shared" si="51"/>
        <v>50000</v>
      </c>
      <c r="Y149" s="5" t="str">
        <f t="shared" si="52"/>
        <v>SI</v>
      </c>
      <c r="Z149" s="5">
        <f t="shared" si="53"/>
        <v>248535</v>
      </c>
      <c r="AA149" s="1"/>
    </row>
    <row r="150" spans="2:27" x14ac:dyDescent="0.25">
      <c r="B150" s="1" t="s">
        <v>222</v>
      </c>
      <c r="C150" s="1" t="s">
        <v>154</v>
      </c>
      <c r="D150" s="1" t="s">
        <v>317</v>
      </c>
      <c r="E150" s="1" t="s">
        <v>320</v>
      </c>
      <c r="F150" s="1" t="s">
        <v>298</v>
      </c>
      <c r="G150" s="2">
        <f t="shared" si="41"/>
        <v>250000</v>
      </c>
      <c r="H150" s="4">
        <f>+VLOOKUP(C150,Indicadores!B:C,2,FALSE)</f>
        <v>1</v>
      </c>
      <c r="I150" s="1" t="str">
        <f t="shared" si="42"/>
        <v>Cumple</v>
      </c>
      <c r="J150" s="4">
        <f>+VLOOKUP(C150,Indicadores!B:F,5,FALSE)</f>
        <v>1</v>
      </c>
      <c r="K150" s="1" t="str">
        <f t="shared" si="43"/>
        <v>Cumple</v>
      </c>
      <c r="L150" s="77">
        <f t="shared" si="44"/>
        <v>1</v>
      </c>
      <c r="M150" s="11">
        <f t="shared" si="45"/>
        <v>150000</v>
      </c>
      <c r="N150" s="4">
        <f>+VLOOKUP(C150,Indicadores!B:M,12,FALSE)</f>
        <v>1</v>
      </c>
      <c r="O150" s="1" t="str">
        <f t="shared" si="46"/>
        <v>Cumple</v>
      </c>
      <c r="P150" s="5">
        <f t="shared" si="47"/>
        <v>150000</v>
      </c>
      <c r="Q150" s="5">
        <f t="shared" si="48"/>
        <v>50000</v>
      </c>
      <c r="R150" s="84">
        <v>0.95</v>
      </c>
      <c r="S150" s="5" t="str">
        <f t="shared" ref="S150:S151" si="57">IF(R150&gt;=70%,"Cumple","No Cumple")</f>
        <v>Cumple</v>
      </c>
      <c r="T150" s="5">
        <f>IF(R150=80%,Q150*70%,IF(AND(R150&gt;=81%,R150&lt;=90%),Q150*80%,IF(AND(R150&gt;=91%,R150&lt;=95.9%),Q150*90%,IF(R150&gt;=96%,Q150*96%,IF(R150&gt;=97%,Q150*97%,IF(R150&gt;=98%,Q150*98%,IF(R150=99%,Q150*99%,IF(R150&gt;=100%,Q150,0))))))))</f>
        <v>45000</v>
      </c>
      <c r="U150" s="5">
        <f t="shared" si="50"/>
        <v>50000</v>
      </c>
      <c r="V150" s="4">
        <f>+VLOOKUP(C150,Indicadores!B:S,18,FALSE)</f>
        <v>1</v>
      </c>
      <c r="W150" s="50" t="str">
        <f t="shared" si="40"/>
        <v>Cumple</v>
      </c>
      <c r="X150" s="2">
        <f t="shared" si="51"/>
        <v>50000</v>
      </c>
      <c r="Y150" s="5" t="str">
        <f t="shared" si="52"/>
        <v>SI</v>
      </c>
      <c r="Z150" s="5">
        <f t="shared" si="53"/>
        <v>245000</v>
      </c>
      <c r="AA150" s="1"/>
    </row>
    <row r="151" spans="2:27" x14ac:dyDescent="0.25">
      <c r="B151" s="1" t="s">
        <v>222</v>
      </c>
      <c r="C151" s="1" t="s">
        <v>155</v>
      </c>
      <c r="D151" s="1" t="s">
        <v>317</v>
      </c>
      <c r="E151" s="1" t="s">
        <v>320</v>
      </c>
      <c r="F151" s="1" t="s">
        <v>298</v>
      </c>
      <c r="G151" s="2">
        <f t="shared" si="41"/>
        <v>250000</v>
      </c>
      <c r="H151" s="4">
        <f>+VLOOKUP(C151,Indicadores!B:C,2,FALSE)</f>
        <v>1</v>
      </c>
      <c r="I151" s="1" t="str">
        <f t="shared" si="42"/>
        <v>Cumple</v>
      </c>
      <c r="J151" s="4">
        <f>+VLOOKUP(C151,Indicadores!B:F,5,FALSE)</f>
        <v>1</v>
      </c>
      <c r="K151" s="1" t="str">
        <f t="shared" si="43"/>
        <v>Cumple</v>
      </c>
      <c r="L151" s="77">
        <f t="shared" si="44"/>
        <v>1</v>
      </c>
      <c r="M151" s="11">
        <f t="shared" si="45"/>
        <v>150000</v>
      </c>
      <c r="N151" s="4">
        <f>+VLOOKUP(C151,Indicadores!B:M,12,FALSE)</f>
        <v>0.96666666666666667</v>
      </c>
      <c r="O151" s="1" t="str">
        <f t="shared" si="46"/>
        <v>Cumple</v>
      </c>
      <c r="P151" s="5">
        <f t="shared" si="47"/>
        <v>150000</v>
      </c>
      <c r="Q151" s="5">
        <f t="shared" si="48"/>
        <v>50000</v>
      </c>
      <c r="R151" s="84">
        <f>+IFERROR(VLOOKUP(C151,Indicadores!B:N,13,FALSE),0%)</f>
        <v>1.0236981651446115</v>
      </c>
      <c r="S151" s="5" t="str">
        <f t="shared" si="57"/>
        <v>Cumple</v>
      </c>
      <c r="T151" s="5">
        <f t="shared" si="49"/>
        <v>50000</v>
      </c>
      <c r="U151" s="5">
        <f t="shared" si="50"/>
        <v>50000</v>
      </c>
      <c r="V151" s="4">
        <f>+VLOOKUP(C151,Indicadores!B:S,18,FALSE)</f>
        <v>1</v>
      </c>
      <c r="W151" s="50" t="str">
        <f t="shared" si="40"/>
        <v>Cumple</v>
      </c>
      <c r="X151" s="2">
        <f t="shared" si="51"/>
        <v>50000</v>
      </c>
      <c r="Y151" s="5" t="str">
        <f t="shared" si="52"/>
        <v>SI</v>
      </c>
      <c r="Z151" s="5">
        <f t="shared" si="53"/>
        <v>250000</v>
      </c>
      <c r="AA151" s="1"/>
    </row>
    <row r="152" spans="2:27" x14ac:dyDescent="0.25">
      <c r="B152" s="1" t="s">
        <v>222</v>
      </c>
      <c r="C152" s="1" t="s">
        <v>156</v>
      </c>
      <c r="D152" s="1" t="s">
        <v>317</v>
      </c>
      <c r="E152" s="1" t="s">
        <v>320</v>
      </c>
      <c r="F152" s="1" t="s">
        <v>298</v>
      </c>
      <c r="G152" s="2">
        <f t="shared" si="41"/>
        <v>250000</v>
      </c>
      <c r="H152" s="4">
        <f>+VLOOKUP(C152,Indicadores!B:C,2,FALSE)</f>
        <v>1</v>
      </c>
      <c r="I152" s="1" t="str">
        <f t="shared" si="42"/>
        <v>Cumple</v>
      </c>
      <c r="J152" s="4">
        <f>+VLOOKUP(C152,Indicadores!B:F,5,FALSE)</f>
        <v>1</v>
      </c>
      <c r="K152" s="1" t="str">
        <f t="shared" si="43"/>
        <v>Cumple</v>
      </c>
      <c r="L152" s="77">
        <f t="shared" si="44"/>
        <v>1</v>
      </c>
      <c r="M152" s="11">
        <f t="shared" si="45"/>
        <v>150000</v>
      </c>
      <c r="N152" s="4">
        <f>+VLOOKUP(C152,Indicadores!B:M,12,FALSE)</f>
        <v>0.97333333333333327</v>
      </c>
      <c r="O152" s="1" t="str">
        <f t="shared" si="46"/>
        <v>Cumple</v>
      </c>
      <c r="P152" s="5">
        <f t="shared" si="47"/>
        <v>150000</v>
      </c>
      <c r="Q152" s="5">
        <f t="shared" si="48"/>
        <v>50000</v>
      </c>
      <c r="R152" s="84">
        <v>0.97070000000000001</v>
      </c>
      <c r="S152" s="5" t="str">
        <f t="shared" si="54"/>
        <v>Cumple</v>
      </c>
      <c r="T152" s="5">
        <f t="shared" ref="T152:T153" si="58">+Q152*R152</f>
        <v>48535</v>
      </c>
      <c r="U152" s="5">
        <f t="shared" si="50"/>
        <v>50000</v>
      </c>
      <c r="V152" s="4">
        <f>+VLOOKUP(C152,Indicadores!B:S,18,FALSE)</f>
        <v>1</v>
      </c>
      <c r="W152" s="50" t="str">
        <f t="shared" si="40"/>
        <v>Cumple</v>
      </c>
      <c r="X152" s="2">
        <f t="shared" si="51"/>
        <v>50000</v>
      </c>
      <c r="Y152" s="5" t="str">
        <f t="shared" si="52"/>
        <v>SI</v>
      </c>
      <c r="Z152" s="5">
        <f t="shared" si="53"/>
        <v>248535</v>
      </c>
      <c r="AA152" s="1"/>
    </row>
    <row r="153" spans="2:27" x14ac:dyDescent="0.25">
      <c r="B153" s="1" t="s">
        <v>222</v>
      </c>
      <c r="C153" s="1" t="s">
        <v>157</v>
      </c>
      <c r="D153" s="1" t="s">
        <v>317</v>
      </c>
      <c r="E153" s="1" t="s">
        <v>320</v>
      </c>
      <c r="F153" s="1" t="s">
        <v>298</v>
      </c>
      <c r="G153" s="2">
        <f t="shared" si="41"/>
        <v>250000</v>
      </c>
      <c r="H153" s="4">
        <f>+VLOOKUP(C153,Indicadores!B:C,2,FALSE)</f>
        <v>1</v>
      </c>
      <c r="I153" s="1" t="str">
        <f t="shared" si="42"/>
        <v>Cumple</v>
      </c>
      <c r="J153" s="4">
        <f>+VLOOKUP(C153,Indicadores!B:F,5,FALSE)</f>
        <v>1</v>
      </c>
      <c r="K153" s="1" t="str">
        <f t="shared" si="43"/>
        <v>Cumple</v>
      </c>
      <c r="L153" s="77">
        <f t="shared" si="44"/>
        <v>1</v>
      </c>
      <c r="M153" s="11">
        <f t="shared" si="45"/>
        <v>150000</v>
      </c>
      <c r="N153" s="4">
        <f>+VLOOKUP(C153,Indicadores!B:M,12,FALSE)</f>
        <v>0.97222222222222221</v>
      </c>
      <c r="O153" s="1" t="str">
        <f t="shared" si="46"/>
        <v>Cumple</v>
      </c>
      <c r="P153" s="5">
        <f t="shared" si="47"/>
        <v>150000</v>
      </c>
      <c r="Q153" s="5">
        <f t="shared" si="48"/>
        <v>50000</v>
      </c>
      <c r="R153" s="84">
        <v>0.97070000000000001</v>
      </c>
      <c r="S153" s="5" t="str">
        <f t="shared" si="54"/>
        <v>Cumple</v>
      </c>
      <c r="T153" s="5">
        <f t="shared" si="58"/>
        <v>48535</v>
      </c>
      <c r="U153" s="5">
        <f t="shared" si="50"/>
        <v>50000</v>
      </c>
      <c r="V153" s="4">
        <f>+VLOOKUP(C153,Indicadores!B:S,18,FALSE)</f>
        <v>1</v>
      </c>
      <c r="W153" s="50" t="str">
        <f t="shared" si="40"/>
        <v>Cumple</v>
      </c>
      <c r="X153" s="2">
        <f t="shared" si="51"/>
        <v>50000</v>
      </c>
      <c r="Y153" s="5" t="str">
        <f t="shared" si="52"/>
        <v>SI</v>
      </c>
      <c r="Z153" s="5">
        <f t="shared" si="53"/>
        <v>248535</v>
      </c>
      <c r="AA153" s="1"/>
    </row>
    <row r="154" spans="2:27" x14ac:dyDescent="0.25">
      <c r="B154" s="1" t="s">
        <v>221</v>
      </c>
      <c r="C154" s="1" t="s">
        <v>158</v>
      </c>
      <c r="D154" s="1" t="s">
        <v>316</v>
      </c>
      <c r="E154" s="1" t="s">
        <v>322</v>
      </c>
      <c r="F154" s="1" t="s">
        <v>321</v>
      </c>
      <c r="G154" s="2">
        <f t="shared" si="41"/>
        <v>250000</v>
      </c>
      <c r="H154" s="4">
        <f>+VLOOKUP(C154,Indicadores!B:C,2,FALSE)</f>
        <v>0.8571428571428571</v>
      </c>
      <c r="I154" s="1" t="str">
        <f t="shared" si="42"/>
        <v>Cumple</v>
      </c>
      <c r="J154" s="4">
        <f>+VLOOKUP(C154,Indicadores!B:F,5,FALSE)</f>
        <v>0.8571428571428571</v>
      </c>
      <c r="K154" s="1" t="str">
        <f t="shared" si="43"/>
        <v>Cumple</v>
      </c>
      <c r="L154" s="77">
        <f t="shared" si="44"/>
        <v>0.8571428571428571</v>
      </c>
      <c r="M154" s="11">
        <f t="shared" si="45"/>
        <v>150000</v>
      </c>
      <c r="N154" s="4">
        <f>+VLOOKUP(C154,Indicadores!B:M,12,FALSE)</f>
        <v>0.75091575091575091</v>
      </c>
      <c r="O154" s="1" t="str">
        <f t="shared" si="46"/>
        <v>Cumple</v>
      </c>
      <c r="P154" s="5">
        <f t="shared" si="47"/>
        <v>90000</v>
      </c>
      <c r="Q154" s="5">
        <f t="shared" si="48"/>
        <v>50000</v>
      </c>
      <c r="R154" s="84">
        <f>+IFERROR(VLOOKUP(C154,Indicadores!B:N,13,FALSE),0%)</f>
        <v>0.50399389459611477</v>
      </c>
      <c r="S154" s="5" t="str">
        <f t="shared" si="54"/>
        <v>No Cumple</v>
      </c>
      <c r="T154" s="5">
        <f t="shared" ref="T154" si="59">IF(R154&gt;=70%,Q154*70%,IF(AND(R154&gt;=81%,R154&lt;=90%),Q154*80%,IF(AND(R154&gt;=91%,R154&lt;=95%),Q154*90%,IF(R154=96%,Q154*96%,IF(R154=97%,Q154*97%,IF(R154=98%,Q154*98%,IF(R154=99%,Q154*99%,IF(R154&gt;=100%,Q154,0))))))))</f>
        <v>0</v>
      </c>
      <c r="U154" s="5">
        <f t="shared" si="50"/>
        <v>50000</v>
      </c>
      <c r="V154" s="4">
        <f>+VLOOKUP(C154,Indicadores!B:S,18,FALSE)</f>
        <v>0.42857142857142855</v>
      </c>
      <c r="W154" s="50" t="str">
        <f t="shared" si="40"/>
        <v>No Cumple</v>
      </c>
      <c r="X154" s="2">
        <f t="shared" si="51"/>
        <v>0</v>
      </c>
      <c r="Y154" s="5" t="str">
        <f t="shared" si="52"/>
        <v>SI</v>
      </c>
      <c r="Z154" s="5">
        <f t="shared" si="53"/>
        <v>90000</v>
      </c>
      <c r="AA154" s="1"/>
    </row>
    <row r="155" spans="2:27" x14ac:dyDescent="0.25">
      <c r="B155" s="1" t="s">
        <v>221</v>
      </c>
      <c r="C155" s="1" t="s">
        <v>159</v>
      </c>
      <c r="D155" s="1" t="s">
        <v>316</v>
      </c>
      <c r="E155" s="1" t="s">
        <v>322</v>
      </c>
      <c r="F155" s="1" t="s">
        <v>321</v>
      </c>
      <c r="G155" s="2">
        <f t="shared" si="41"/>
        <v>250000</v>
      </c>
      <c r="H155" s="4">
        <f>+VLOOKUP(C155,Indicadores!B:C,2,FALSE)</f>
        <v>1</v>
      </c>
      <c r="I155" s="1" t="str">
        <f t="shared" si="42"/>
        <v>Cumple</v>
      </c>
      <c r="J155" s="4">
        <f>+VLOOKUP(C155,Indicadores!B:F,5,FALSE)</f>
        <v>1</v>
      </c>
      <c r="K155" s="1" t="str">
        <f t="shared" si="43"/>
        <v>Cumple</v>
      </c>
      <c r="L155" s="77">
        <f t="shared" si="44"/>
        <v>1</v>
      </c>
      <c r="M155" s="11">
        <f t="shared" si="45"/>
        <v>150000</v>
      </c>
      <c r="N155" s="4">
        <f>+VLOOKUP(C155,Indicadores!B:M,12,FALSE)</f>
        <v>0.72981366459627328</v>
      </c>
      <c r="O155" s="1" t="str">
        <f t="shared" si="46"/>
        <v>Cumple</v>
      </c>
      <c r="P155" s="5">
        <f t="shared" si="47"/>
        <v>90000</v>
      </c>
      <c r="Q155" s="5">
        <f t="shared" si="48"/>
        <v>50000</v>
      </c>
      <c r="R155" s="84">
        <f>+IFERROR(VLOOKUP(C155,Indicadores!B:N,13,FALSE),0%)</f>
        <v>0.82308366756239282</v>
      </c>
      <c r="S155" s="5" t="str">
        <f t="shared" ref="S155:S159" si="60">IF(R155&gt;=70%,"Cumple","No Cumple")</f>
        <v>Cumple</v>
      </c>
      <c r="T155" s="5">
        <f t="shared" si="49"/>
        <v>40000</v>
      </c>
      <c r="U155" s="5">
        <f t="shared" si="50"/>
        <v>50000</v>
      </c>
      <c r="V155" s="4">
        <f>+VLOOKUP(C155,Indicadores!B:S,18,FALSE)</f>
        <v>0.5</v>
      </c>
      <c r="W155" s="50" t="str">
        <f t="shared" si="40"/>
        <v>No Cumple</v>
      </c>
      <c r="X155" s="2">
        <f t="shared" si="51"/>
        <v>0</v>
      </c>
      <c r="Y155" s="5" t="str">
        <f t="shared" si="52"/>
        <v>SI</v>
      </c>
      <c r="Z155" s="5">
        <f t="shared" si="53"/>
        <v>130000</v>
      </c>
      <c r="AA155" s="1"/>
    </row>
    <row r="156" spans="2:27" x14ac:dyDescent="0.25">
      <c r="B156" s="1" t="s">
        <v>221</v>
      </c>
      <c r="C156" s="1" t="s">
        <v>160</v>
      </c>
      <c r="D156" s="1" t="s">
        <v>316</v>
      </c>
      <c r="E156" s="1" t="s">
        <v>322</v>
      </c>
      <c r="F156" s="1" t="s">
        <v>321</v>
      </c>
      <c r="G156" s="2">
        <f t="shared" ref="G156:G193" si="61">IF(L156&gt;=80%,250000,IF(AND(L156&gt;=60%,L156&lt;80%),150000,0))</f>
        <v>250000</v>
      </c>
      <c r="H156" s="4">
        <f>+VLOOKUP(C156,Indicadores!B:C,2,FALSE)</f>
        <v>0.87878787878787878</v>
      </c>
      <c r="I156" s="1" t="str">
        <f t="shared" si="42"/>
        <v>Cumple</v>
      </c>
      <c r="J156" s="4">
        <f>+VLOOKUP(C156,Indicadores!B:F,5,FALSE)</f>
        <v>0.90909090909090906</v>
      </c>
      <c r="K156" s="1" t="str">
        <f t="shared" si="43"/>
        <v>Cumple</v>
      </c>
      <c r="L156" s="77">
        <f t="shared" si="44"/>
        <v>0.89393939393939392</v>
      </c>
      <c r="M156" s="11">
        <f t="shared" si="45"/>
        <v>150000</v>
      </c>
      <c r="N156" s="4">
        <f>+VLOOKUP(C156,Indicadores!B:M,12,FALSE)</f>
        <v>0.71055381400208983</v>
      </c>
      <c r="O156" s="1" t="str">
        <f t="shared" si="46"/>
        <v>Cumple</v>
      </c>
      <c r="P156" s="5">
        <f t="shared" si="47"/>
        <v>90000</v>
      </c>
      <c r="Q156" s="5">
        <f t="shared" si="48"/>
        <v>50000</v>
      </c>
      <c r="R156" s="84">
        <f>+IFERROR(VLOOKUP(C156,Indicadores!B:N,13,FALSE),0%)</f>
        <v>1.0820557115661762</v>
      </c>
      <c r="S156" s="5" t="str">
        <f t="shared" si="60"/>
        <v>Cumple</v>
      </c>
      <c r="T156" s="5">
        <f t="shared" si="49"/>
        <v>50000</v>
      </c>
      <c r="U156" s="5">
        <f t="shared" si="50"/>
        <v>50000</v>
      </c>
      <c r="V156" s="4">
        <f>+VLOOKUP(C156,Indicadores!B:S,18,FALSE)</f>
        <v>0.81818181818181823</v>
      </c>
      <c r="W156" s="50" t="str">
        <f t="shared" si="40"/>
        <v>No Cumple</v>
      </c>
      <c r="X156" s="2">
        <f t="shared" si="51"/>
        <v>0</v>
      </c>
      <c r="Y156" s="5" t="str">
        <f t="shared" si="52"/>
        <v>SI</v>
      </c>
      <c r="Z156" s="5">
        <f t="shared" si="53"/>
        <v>140000</v>
      </c>
      <c r="AA156" s="1"/>
    </row>
    <row r="157" spans="2:27" x14ac:dyDescent="0.25">
      <c r="B157" s="1" t="s">
        <v>221</v>
      </c>
      <c r="C157" s="1" t="s">
        <v>161</v>
      </c>
      <c r="D157" s="1" t="s">
        <v>316</v>
      </c>
      <c r="E157" s="1" t="s">
        <v>322</v>
      </c>
      <c r="F157" s="1" t="s">
        <v>321</v>
      </c>
      <c r="G157" s="2">
        <f t="shared" si="61"/>
        <v>250000</v>
      </c>
      <c r="H157" s="4">
        <f>+VLOOKUP(C157,Indicadores!B:C,2,FALSE)</f>
        <v>1</v>
      </c>
      <c r="I157" s="1" t="str">
        <f t="shared" si="42"/>
        <v>Cumple</v>
      </c>
      <c r="J157" s="4">
        <f>+VLOOKUP(C157,Indicadores!B:F,5,FALSE)</f>
        <v>1</v>
      </c>
      <c r="K157" s="1" t="str">
        <f t="shared" si="43"/>
        <v>Cumple</v>
      </c>
      <c r="L157" s="77">
        <f t="shared" si="44"/>
        <v>1</v>
      </c>
      <c r="M157" s="11">
        <f t="shared" si="45"/>
        <v>150000</v>
      </c>
      <c r="N157" s="4">
        <f>+VLOOKUP(C157,Indicadores!B:M,12,FALSE)</f>
        <v>0.66666666666666663</v>
      </c>
      <c r="O157" s="1" t="str">
        <f t="shared" si="46"/>
        <v>Cumple</v>
      </c>
      <c r="P157" s="5">
        <f t="shared" si="47"/>
        <v>90000</v>
      </c>
      <c r="Q157" s="5">
        <f t="shared" si="48"/>
        <v>50000</v>
      </c>
      <c r="R157" s="84">
        <f>+IFERROR(VLOOKUP(C157,Indicadores!B:N,13,FALSE),0%)</f>
        <v>0.86802055560423497</v>
      </c>
      <c r="S157" s="5" t="str">
        <f t="shared" si="60"/>
        <v>Cumple</v>
      </c>
      <c r="T157" s="5">
        <f t="shared" si="49"/>
        <v>40000</v>
      </c>
      <c r="U157" s="5">
        <f t="shared" si="50"/>
        <v>50000</v>
      </c>
      <c r="V157" s="4">
        <f>+VLOOKUP(C157,Indicadores!B:S,18,FALSE)</f>
        <v>1</v>
      </c>
      <c r="W157" s="50" t="str">
        <f t="shared" si="40"/>
        <v>Cumple</v>
      </c>
      <c r="X157" s="2">
        <f t="shared" si="51"/>
        <v>50000</v>
      </c>
      <c r="Y157" s="5" t="str">
        <f t="shared" si="52"/>
        <v>SI</v>
      </c>
      <c r="Z157" s="5">
        <f t="shared" si="53"/>
        <v>180000</v>
      </c>
      <c r="AA157" s="1"/>
    </row>
    <row r="158" spans="2:27" x14ac:dyDescent="0.25">
      <c r="B158" s="1" t="s">
        <v>221</v>
      </c>
      <c r="C158" s="1" t="s">
        <v>162</v>
      </c>
      <c r="D158" s="1" t="s">
        <v>316</v>
      </c>
      <c r="E158" s="1" t="s">
        <v>322</v>
      </c>
      <c r="F158" s="1" t="s">
        <v>321</v>
      </c>
      <c r="G158" s="2">
        <f t="shared" si="61"/>
        <v>250000</v>
      </c>
      <c r="H158" s="4">
        <f>+VLOOKUP(C158,Indicadores!B:C,2,FALSE)</f>
        <v>0.93333333333333324</v>
      </c>
      <c r="I158" s="1" t="str">
        <f t="shared" si="42"/>
        <v>Cumple</v>
      </c>
      <c r="J158" s="4">
        <f>+VLOOKUP(C158,Indicadores!B:F,5,FALSE)</f>
        <v>1</v>
      </c>
      <c r="K158" s="1" t="str">
        <f t="shared" si="43"/>
        <v>Cumple</v>
      </c>
      <c r="L158" s="77">
        <f t="shared" si="44"/>
        <v>0.96666666666666656</v>
      </c>
      <c r="M158" s="11">
        <f t="shared" si="45"/>
        <v>150000</v>
      </c>
      <c r="N158" s="4">
        <f>+VLOOKUP(C158,Indicadores!B:M,12,FALSE)</f>
        <v>0.75</v>
      </c>
      <c r="O158" s="1" t="str">
        <f t="shared" si="46"/>
        <v>Cumple</v>
      </c>
      <c r="P158" s="5">
        <f t="shared" si="47"/>
        <v>90000</v>
      </c>
      <c r="Q158" s="5">
        <f t="shared" si="48"/>
        <v>50000</v>
      </c>
      <c r="R158" s="84">
        <f>+IFERROR(VLOOKUP(C158,Indicadores!B:N,13,FALSE),0%)</f>
        <v>1.06010263677516</v>
      </c>
      <c r="S158" s="5" t="str">
        <f t="shared" si="60"/>
        <v>Cumple</v>
      </c>
      <c r="T158" s="5">
        <f t="shared" si="49"/>
        <v>50000</v>
      </c>
      <c r="U158" s="5">
        <f t="shared" si="50"/>
        <v>50000</v>
      </c>
      <c r="V158" s="4">
        <f>+VLOOKUP(C158,Indicadores!B:S,18,FALSE)</f>
        <v>0.9</v>
      </c>
      <c r="W158" s="50" t="str">
        <f t="shared" si="40"/>
        <v>No Cumple</v>
      </c>
      <c r="X158" s="2">
        <f t="shared" si="51"/>
        <v>0</v>
      </c>
      <c r="Y158" s="5" t="str">
        <f t="shared" si="52"/>
        <v>SI</v>
      </c>
      <c r="Z158" s="5">
        <f t="shared" si="53"/>
        <v>140000</v>
      </c>
      <c r="AA158" s="1"/>
    </row>
    <row r="159" spans="2:27" x14ac:dyDescent="0.25">
      <c r="B159" s="1" t="s">
        <v>221</v>
      </c>
      <c r="C159" s="1" t="s">
        <v>163</v>
      </c>
      <c r="D159" s="1" t="s">
        <v>316</v>
      </c>
      <c r="E159" s="1" t="s">
        <v>322</v>
      </c>
      <c r="F159" s="1" t="s">
        <v>321</v>
      </c>
      <c r="G159" s="2">
        <f t="shared" si="61"/>
        <v>250000</v>
      </c>
      <c r="H159" s="4">
        <f>+VLOOKUP(C159,Indicadores!B:C,2,FALSE)</f>
        <v>0.88888888888888884</v>
      </c>
      <c r="I159" s="1" t="str">
        <f t="shared" si="42"/>
        <v>Cumple</v>
      </c>
      <c r="J159" s="4">
        <f>+VLOOKUP(C159,Indicadores!B:F,5,FALSE)</f>
        <v>0.88888888888888884</v>
      </c>
      <c r="K159" s="1" t="str">
        <f t="shared" si="43"/>
        <v>Cumple</v>
      </c>
      <c r="L159" s="77">
        <f t="shared" si="44"/>
        <v>0.88888888888888884</v>
      </c>
      <c r="M159" s="11">
        <f t="shared" si="45"/>
        <v>150000</v>
      </c>
      <c r="N159" s="4">
        <f>+VLOOKUP(C159,Indicadores!B:M,12,FALSE)</f>
        <v>0.6507936507936507</v>
      </c>
      <c r="O159" s="1" t="str">
        <f t="shared" si="46"/>
        <v>Cumple</v>
      </c>
      <c r="P159" s="5">
        <f t="shared" si="47"/>
        <v>90000</v>
      </c>
      <c r="Q159" s="5">
        <f t="shared" si="48"/>
        <v>50000</v>
      </c>
      <c r="R159" s="84">
        <f>+IFERROR(VLOOKUP(C159,Indicadores!B:N,13,FALSE),0%)</f>
        <v>1.1540772081966257</v>
      </c>
      <c r="S159" s="5" t="str">
        <f t="shared" si="60"/>
        <v>Cumple</v>
      </c>
      <c r="T159" s="5">
        <f t="shared" si="49"/>
        <v>50000</v>
      </c>
      <c r="U159" s="5">
        <f t="shared" si="50"/>
        <v>50000</v>
      </c>
      <c r="V159" s="4">
        <f>+VLOOKUP(C159,Indicadores!B:S,18,FALSE)</f>
        <v>0.88888888888888884</v>
      </c>
      <c r="W159" s="50" t="str">
        <f t="shared" si="40"/>
        <v>No Cumple</v>
      </c>
      <c r="X159" s="2">
        <f t="shared" si="51"/>
        <v>0</v>
      </c>
      <c r="Y159" s="5" t="str">
        <f t="shared" si="52"/>
        <v>SI</v>
      </c>
      <c r="Z159" s="5">
        <f t="shared" si="53"/>
        <v>140000</v>
      </c>
      <c r="AA159" s="1"/>
    </row>
    <row r="160" spans="2:27" x14ac:dyDescent="0.25">
      <c r="B160" s="1" t="s">
        <v>221</v>
      </c>
      <c r="C160" s="1" t="s">
        <v>164</v>
      </c>
      <c r="D160" s="1" t="s">
        <v>316</v>
      </c>
      <c r="E160" s="1" t="s">
        <v>322</v>
      </c>
      <c r="F160" s="1" t="s">
        <v>321</v>
      </c>
      <c r="G160" s="2">
        <f t="shared" si="61"/>
        <v>250000</v>
      </c>
      <c r="H160" s="4">
        <f>+VLOOKUP(C160,Indicadores!B:C,2,FALSE)</f>
        <v>0.81818181818181823</v>
      </c>
      <c r="I160" s="1" t="str">
        <f t="shared" si="42"/>
        <v>Cumple</v>
      </c>
      <c r="J160" s="4">
        <f>+VLOOKUP(C160,Indicadores!B:F,5,FALSE)</f>
        <v>0.81818181818181823</v>
      </c>
      <c r="K160" s="1" t="str">
        <f t="shared" si="43"/>
        <v>Cumple</v>
      </c>
      <c r="L160" s="77">
        <f t="shared" si="44"/>
        <v>0.81818181818181823</v>
      </c>
      <c r="M160" s="11">
        <f t="shared" si="45"/>
        <v>150000</v>
      </c>
      <c r="N160" s="4">
        <f>+VLOOKUP(C160,Indicadores!B:M,12,FALSE)</f>
        <v>0.36044657097288679</v>
      </c>
      <c r="O160" s="1" t="str">
        <f t="shared" si="46"/>
        <v>No Cumple</v>
      </c>
      <c r="P160" s="5">
        <f t="shared" si="47"/>
        <v>0</v>
      </c>
      <c r="Q160" s="5">
        <f t="shared" si="48"/>
        <v>50000</v>
      </c>
      <c r="R160" s="84">
        <f>+IFERROR(VLOOKUP(C160,Indicadores!B:N,13,FALSE),0%)</f>
        <v>0.60295666626652511</v>
      </c>
      <c r="S160" s="5" t="str">
        <f t="shared" si="54"/>
        <v>No Cumple</v>
      </c>
      <c r="T160" s="5">
        <f>IF(R160&gt;=70%,Q160*70%,IF(AND(R160&gt;=81%,R160&lt;=90%),Q160*80%,IF(AND(R160&gt;=91%,R160&lt;=95%),Q160*90%,IF(R160=96%,Q160*96%,IF(R160=97%,Q160*97%,IF(R160=98%,Q160*98%,IF(R160=99%,Q160*99%,IF(R160&gt;=100%,Q160,0))))))))</f>
        <v>0</v>
      </c>
      <c r="U160" s="5">
        <f t="shared" si="50"/>
        <v>50000</v>
      </c>
      <c r="V160" s="4">
        <f>+VLOOKUP(C160,Indicadores!B:S,18,FALSE)</f>
        <v>0.81818181818181823</v>
      </c>
      <c r="W160" s="50" t="str">
        <f t="shared" si="40"/>
        <v>No Cumple</v>
      </c>
      <c r="X160" s="2">
        <f t="shared" si="51"/>
        <v>0</v>
      </c>
      <c r="Y160" s="5" t="str">
        <f t="shared" si="52"/>
        <v>SI</v>
      </c>
      <c r="Z160" s="5">
        <f t="shared" si="53"/>
        <v>0</v>
      </c>
      <c r="AA160" s="1"/>
    </row>
    <row r="161" spans="2:27" x14ac:dyDescent="0.25">
      <c r="B161" s="1" t="s">
        <v>221</v>
      </c>
      <c r="C161" s="1" t="s">
        <v>165</v>
      </c>
      <c r="D161" s="1" t="s">
        <v>316</v>
      </c>
      <c r="E161" s="1" t="s">
        <v>322</v>
      </c>
      <c r="F161" s="1" t="s">
        <v>321</v>
      </c>
      <c r="G161" s="2">
        <f t="shared" si="61"/>
        <v>250000</v>
      </c>
      <c r="H161" s="4">
        <f>+VLOOKUP(C161,Indicadores!B:C,2,FALSE)</f>
        <v>1</v>
      </c>
      <c r="I161" s="1" t="str">
        <f t="shared" si="42"/>
        <v>Cumple</v>
      </c>
      <c r="J161" s="4">
        <f>+VLOOKUP(C161,Indicadores!B:F,5,FALSE)</f>
        <v>1</v>
      </c>
      <c r="K161" s="1" t="str">
        <f t="shared" si="43"/>
        <v>Cumple</v>
      </c>
      <c r="L161" s="77">
        <f t="shared" si="44"/>
        <v>1</v>
      </c>
      <c r="M161" s="11">
        <f t="shared" si="45"/>
        <v>150000</v>
      </c>
      <c r="N161" s="4">
        <f>+VLOOKUP(C161,Indicadores!B:M,12,FALSE)</f>
        <v>0.3923611111111111</v>
      </c>
      <c r="O161" s="1" t="str">
        <f t="shared" si="46"/>
        <v>No Cumple</v>
      </c>
      <c r="P161" s="5">
        <f t="shared" si="47"/>
        <v>0</v>
      </c>
      <c r="Q161" s="5">
        <f t="shared" si="48"/>
        <v>50000</v>
      </c>
      <c r="R161" s="84">
        <f>+IFERROR(VLOOKUP(C161,Indicadores!B:N,13,FALSE),0%)</f>
        <v>2.0070681264414856</v>
      </c>
      <c r="S161" s="5" t="str">
        <f t="shared" ref="S161:S177" si="62">IF(R161&gt;=70%,"Cumple","No Cumple")</f>
        <v>Cumple</v>
      </c>
      <c r="T161" s="5">
        <f t="shared" si="49"/>
        <v>50000</v>
      </c>
      <c r="U161" s="5">
        <f t="shared" si="50"/>
        <v>50000</v>
      </c>
      <c r="V161" s="4">
        <f>+VLOOKUP(C161,Indicadores!B:S,18,FALSE)</f>
        <v>1</v>
      </c>
      <c r="W161" s="50" t="str">
        <f t="shared" si="40"/>
        <v>Cumple</v>
      </c>
      <c r="X161" s="2">
        <f t="shared" si="51"/>
        <v>50000</v>
      </c>
      <c r="Y161" s="5" t="str">
        <f t="shared" si="52"/>
        <v>SI</v>
      </c>
      <c r="Z161" s="5">
        <f t="shared" si="53"/>
        <v>100000</v>
      </c>
      <c r="AA161" s="1"/>
    </row>
    <row r="162" spans="2:27" x14ac:dyDescent="0.25">
      <c r="B162" s="1" t="s">
        <v>221</v>
      </c>
      <c r="C162" s="1" t="s">
        <v>166</v>
      </c>
      <c r="D162" s="1" t="s">
        <v>316</v>
      </c>
      <c r="E162" s="1" t="s">
        <v>322</v>
      </c>
      <c r="F162" s="1" t="s">
        <v>321</v>
      </c>
      <c r="G162" s="2">
        <f t="shared" si="61"/>
        <v>250000</v>
      </c>
      <c r="H162" s="4">
        <f>+VLOOKUP(C162,Indicadores!B:C,2,FALSE)</f>
        <v>0.91666666666666663</v>
      </c>
      <c r="I162" s="1" t="str">
        <f t="shared" si="42"/>
        <v>Cumple</v>
      </c>
      <c r="J162" s="4">
        <f>+VLOOKUP(C162,Indicadores!B:F,5,FALSE)</f>
        <v>0.91666666666666663</v>
      </c>
      <c r="K162" s="1" t="str">
        <f t="shared" si="43"/>
        <v>Cumple</v>
      </c>
      <c r="L162" s="77">
        <f t="shared" si="44"/>
        <v>0.91666666666666663</v>
      </c>
      <c r="M162" s="11">
        <f t="shared" si="45"/>
        <v>150000</v>
      </c>
      <c r="N162" s="4">
        <f>+VLOOKUP(C162,Indicadores!B:M,12,FALSE)</f>
        <v>0.8799283154121863</v>
      </c>
      <c r="O162" s="1" t="str">
        <f t="shared" si="46"/>
        <v>Cumple</v>
      </c>
      <c r="P162" s="5">
        <f t="shared" si="47"/>
        <v>150000</v>
      </c>
      <c r="Q162" s="5">
        <f t="shared" si="48"/>
        <v>50000</v>
      </c>
      <c r="R162" s="84">
        <f>+IFERROR(VLOOKUP(C162,Indicadores!B:N,13,FALSE),0%)</f>
        <v>0.92570134895493805</v>
      </c>
      <c r="S162" s="5" t="str">
        <f t="shared" si="62"/>
        <v>Cumple</v>
      </c>
      <c r="T162" s="5">
        <f t="shared" si="49"/>
        <v>45000</v>
      </c>
      <c r="U162" s="5">
        <f t="shared" si="50"/>
        <v>50000</v>
      </c>
      <c r="V162" s="4">
        <f>+VLOOKUP(C162,Indicadores!B:S,18,FALSE)</f>
        <v>0.45833333333333331</v>
      </c>
      <c r="W162" s="50" t="str">
        <f t="shared" si="40"/>
        <v>No Cumple</v>
      </c>
      <c r="X162" s="2">
        <f t="shared" si="51"/>
        <v>0</v>
      </c>
      <c r="Y162" s="5" t="str">
        <f t="shared" si="52"/>
        <v>SI</v>
      </c>
      <c r="Z162" s="5">
        <f t="shared" si="53"/>
        <v>195000</v>
      </c>
      <c r="AA162" s="1"/>
    </row>
    <row r="163" spans="2:27" x14ac:dyDescent="0.25">
      <c r="B163" s="1" t="s">
        <v>221</v>
      </c>
      <c r="C163" s="1" t="s">
        <v>167</v>
      </c>
      <c r="D163" s="1" t="s">
        <v>316</v>
      </c>
      <c r="E163" s="1" t="s">
        <v>322</v>
      </c>
      <c r="F163" s="1" t="s">
        <v>321</v>
      </c>
      <c r="G163" s="2">
        <f t="shared" si="61"/>
        <v>250000</v>
      </c>
      <c r="H163" s="4">
        <f>+VLOOKUP(C163,Indicadores!B:C,2,FALSE)</f>
        <v>1</v>
      </c>
      <c r="I163" s="1" t="str">
        <f t="shared" si="42"/>
        <v>Cumple</v>
      </c>
      <c r="J163" s="4">
        <f>+VLOOKUP(C163,Indicadores!B:F,5,FALSE)</f>
        <v>1</v>
      </c>
      <c r="K163" s="1" t="str">
        <f t="shared" si="43"/>
        <v>Cumple</v>
      </c>
      <c r="L163" s="77">
        <f t="shared" si="44"/>
        <v>1</v>
      </c>
      <c r="M163" s="11">
        <f t="shared" si="45"/>
        <v>150000</v>
      </c>
      <c r="N163" s="4">
        <f>+VLOOKUP(C163,Indicadores!B:M,12,FALSE)</f>
        <v>1</v>
      </c>
      <c r="O163" s="1" t="str">
        <f t="shared" si="46"/>
        <v>Cumple</v>
      </c>
      <c r="P163" s="5">
        <f t="shared" si="47"/>
        <v>150000</v>
      </c>
      <c r="Q163" s="5">
        <f t="shared" si="48"/>
        <v>50000</v>
      </c>
      <c r="R163" s="84">
        <f>+IFERROR(VLOOKUP(C163,Indicadores!B:N,13,FALSE),0%)</f>
        <v>1.161051542393333</v>
      </c>
      <c r="S163" s="5" t="str">
        <f t="shared" si="62"/>
        <v>Cumple</v>
      </c>
      <c r="T163" s="5">
        <f t="shared" si="49"/>
        <v>50000</v>
      </c>
      <c r="U163" s="5">
        <f t="shared" si="50"/>
        <v>50000</v>
      </c>
      <c r="V163" s="4">
        <f>+VLOOKUP(C163,Indicadores!B:S,18,FALSE)</f>
        <v>1</v>
      </c>
      <c r="W163" s="50" t="str">
        <f t="shared" si="40"/>
        <v>Cumple</v>
      </c>
      <c r="X163" s="2">
        <f t="shared" si="51"/>
        <v>50000</v>
      </c>
      <c r="Y163" s="5" t="str">
        <f t="shared" si="52"/>
        <v>SI</v>
      </c>
      <c r="Z163" s="5">
        <f t="shared" si="53"/>
        <v>250000</v>
      </c>
      <c r="AA163" s="1"/>
    </row>
    <row r="164" spans="2:27" x14ac:dyDescent="0.25">
      <c r="B164" s="1" t="s">
        <v>221</v>
      </c>
      <c r="C164" s="1" t="s">
        <v>168</v>
      </c>
      <c r="D164" s="1" t="s">
        <v>316</v>
      </c>
      <c r="E164" s="1" t="s">
        <v>322</v>
      </c>
      <c r="F164" s="1" t="s">
        <v>321</v>
      </c>
      <c r="G164" s="2">
        <f t="shared" si="61"/>
        <v>250000</v>
      </c>
      <c r="H164" s="4">
        <f>+VLOOKUP(C164,Indicadores!B:C,2,FALSE)</f>
        <v>0.92857142857142849</v>
      </c>
      <c r="I164" s="1" t="str">
        <f t="shared" si="42"/>
        <v>Cumple</v>
      </c>
      <c r="J164" s="4">
        <f>+VLOOKUP(C164,Indicadores!B:F,5,FALSE)</f>
        <v>0.9285714285714286</v>
      </c>
      <c r="K164" s="1" t="str">
        <f t="shared" si="43"/>
        <v>Cumple</v>
      </c>
      <c r="L164" s="77">
        <f t="shared" si="44"/>
        <v>0.9285714285714286</v>
      </c>
      <c r="M164" s="11">
        <f t="shared" si="45"/>
        <v>150000</v>
      </c>
      <c r="N164" s="4">
        <f>+VLOOKUP(C164,Indicadores!B:M,12,FALSE)</f>
        <v>0.81164021164021172</v>
      </c>
      <c r="O164" s="1" t="str">
        <f t="shared" si="46"/>
        <v>Cumple</v>
      </c>
      <c r="P164" s="5">
        <f t="shared" si="47"/>
        <v>150000</v>
      </c>
      <c r="Q164" s="5">
        <f t="shared" si="48"/>
        <v>50000</v>
      </c>
      <c r="R164" s="84">
        <f>+IFERROR(VLOOKUP(C164,Indicadores!B:N,13,FALSE),0%)</f>
        <v>1.1773537579672064</v>
      </c>
      <c r="S164" s="5" t="str">
        <f t="shared" si="62"/>
        <v>Cumple</v>
      </c>
      <c r="T164" s="5">
        <f t="shared" si="49"/>
        <v>50000</v>
      </c>
      <c r="U164" s="5">
        <f t="shared" si="50"/>
        <v>50000</v>
      </c>
      <c r="V164" s="4">
        <f>+VLOOKUP(C164,Indicadores!B:S,18,FALSE)</f>
        <v>0.4642857142857143</v>
      </c>
      <c r="W164" s="50" t="str">
        <f t="shared" si="40"/>
        <v>No Cumple</v>
      </c>
      <c r="X164" s="2">
        <f t="shared" si="51"/>
        <v>0</v>
      </c>
      <c r="Y164" s="5" t="str">
        <f t="shared" si="52"/>
        <v>SI</v>
      </c>
      <c r="Z164" s="5">
        <f t="shared" si="53"/>
        <v>200000</v>
      </c>
      <c r="AA164" s="1"/>
    </row>
    <row r="165" spans="2:27" x14ac:dyDescent="0.25">
      <c r="B165" s="1" t="s">
        <v>221</v>
      </c>
      <c r="C165" s="1" t="s">
        <v>169</v>
      </c>
      <c r="D165" s="1" t="s">
        <v>316</v>
      </c>
      <c r="E165" s="1" t="s">
        <v>322</v>
      </c>
      <c r="F165" s="1" t="s">
        <v>321</v>
      </c>
      <c r="G165" s="2">
        <f t="shared" si="61"/>
        <v>250000</v>
      </c>
      <c r="H165" s="4">
        <f>+VLOOKUP(C165,Indicadores!B:C,2,FALSE)</f>
        <v>1</v>
      </c>
      <c r="I165" s="1" t="str">
        <f t="shared" si="42"/>
        <v>Cumple</v>
      </c>
      <c r="J165" s="4">
        <f>+VLOOKUP(C165,Indicadores!B:F,5,FALSE)</f>
        <v>1</v>
      </c>
      <c r="K165" s="1" t="str">
        <f t="shared" si="43"/>
        <v>Cumple</v>
      </c>
      <c r="L165" s="77">
        <f t="shared" si="44"/>
        <v>1</v>
      </c>
      <c r="M165" s="11">
        <f t="shared" si="45"/>
        <v>150000</v>
      </c>
      <c r="N165" s="4">
        <f>+VLOOKUP(C165,Indicadores!B:M,12,FALSE)</f>
        <v>0.77777777777777779</v>
      </c>
      <c r="O165" s="1" t="str">
        <f t="shared" si="46"/>
        <v>Cumple</v>
      </c>
      <c r="P165" s="5">
        <f t="shared" si="47"/>
        <v>90000</v>
      </c>
      <c r="Q165" s="5">
        <f t="shared" si="48"/>
        <v>50000</v>
      </c>
      <c r="R165" s="84">
        <f>+IFERROR(VLOOKUP(C165,Indicadores!B:N,13,FALSE),0%)</f>
        <v>1.015793227618403</v>
      </c>
      <c r="S165" s="5" t="str">
        <f t="shared" si="62"/>
        <v>Cumple</v>
      </c>
      <c r="T165" s="5">
        <f t="shared" si="49"/>
        <v>50000</v>
      </c>
      <c r="U165" s="5">
        <f t="shared" si="50"/>
        <v>50000</v>
      </c>
      <c r="V165" s="4">
        <f>+VLOOKUP(C165,Indicadores!B:S,18,FALSE)</f>
        <v>1</v>
      </c>
      <c r="W165" s="50" t="str">
        <f t="shared" si="40"/>
        <v>Cumple</v>
      </c>
      <c r="X165" s="2">
        <f t="shared" si="51"/>
        <v>50000</v>
      </c>
      <c r="Y165" s="5" t="str">
        <f t="shared" si="52"/>
        <v>SI</v>
      </c>
      <c r="Z165" s="5">
        <f t="shared" si="53"/>
        <v>190000</v>
      </c>
      <c r="AA165" s="1"/>
    </row>
    <row r="166" spans="2:27" x14ac:dyDescent="0.25">
      <c r="B166" s="1" t="s">
        <v>221</v>
      </c>
      <c r="C166" s="1" t="s">
        <v>170</v>
      </c>
      <c r="D166" s="1" t="s">
        <v>316</v>
      </c>
      <c r="E166" s="1" t="s">
        <v>322</v>
      </c>
      <c r="F166" s="1" t="s">
        <v>321</v>
      </c>
      <c r="G166" s="2">
        <f t="shared" si="61"/>
        <v>250000</v>
      </c>
      <c r="H166" s="4">
        <f>+VLOOKUP(C166,Indicadores!B:C,2,FALSE)</f>
        <v>1</v>
      </c>
      <c r="I166" s="1" t="str">
        <f t="shared" si="42"/>
        <v>Cumple</v>
      </c>
      <c r="J166" s="4">
        <f>+VLOOKUP(C166,Indicadores!B:F,5,FALSE)</f>
        <v>1</v>
      </c>
      <c r="K166" s="1" t="str">
        <f t="shared" si="43"/>
        <v>Cumple</v>
      </c>
      <c r="L166" s="77">
        <f t="shared" si="44"/>
        <v>1</v>
      </c>
      <c r="M166" s="11">
        <f t="shared" si="45"/>
        <v>150000</v>
      </c>
      <c r="N166" s="4">
        <f>+VLOOKUP(C166,Indicadores!B:M,12,FALSE)</f>
        <v>0.87179487179487181</v>
      </c>
      <c r="O166" s="1" t="str">
        <f t="shared" si="46"/>
        <v>Cumple</v>
      </c>
      <c r="P166" s="5">
        <f t="shared" si="47"/>
        <v>150000</v>
      </c>
      <c r="Q166" s="5">
        <f t="shared" si="48"/>
        <v>50000</v>
      </c>
      <c r="R166" s="84">
        <f>+IFERROR(VLOOKUP(C166,Indicadores!B:N,13,FALSE),0%)</f>
        <v>1.0777235852229183</v>
      </c>
      <c r="S166" s="5" t="str">
        <f t="shared" si="62"/>
        <v>Cumple</v>
      </c>
      <c r="T166" s="5">
        <f t="shared" si="49"/>
        <v>50000</v>
      </c>
      <c r="U166" s="5">
        <f t="shared" si="50"/>
        <v>50000</v>
      </c>
      <c r="V166" s="4">
        <f>+VLOOKUP(C166,Indicadores!B:S,18,FALSE)</f>
        <v>0.5</v>
      </c>
      <c r="W166" s="50" t="str">
        <f t="shared" si="40"/>
        <v>No Cumple</v>
      </c>
      <c r="X166" s="2">
        <f t="shared" si="51"/>
        <v>0</v>
      </c>
      <c r="Y166" s="5" t="str">
        <f t="shared" si="52"/>
        <v>SI</v>
      </c>
      <c r="Z166" s="5">
        <f t="shared" si="53"/>
        <v>200000</v>
      </c>
      <c r="AA166" s="1"/>
    </row>
    <row r="167" spans="2:27" x14ac:dyDescent="0.25">
      <c r="B167" s="1" t="s">
        <v>216</v>
      </c>
      <c r="C167" s="1" t="s">
        <v>171</v>
      </c>
      <c r="D167" s="1" t="s">
        <v>310</v>
      </c>
      <c r="E167" s="1" t="s">
        <v>320</v>
      </c>
      <c r="F167" s="1" t="s">
        <v>299</v>
      </c>
      <c r="G167" s="2">
        <f t="shared" si="61"/>
        <v>250000</v>
      </c>
      <c r="H167" s="4">
        <f>+VLOOKUP(C167,Indicadores!B:C,2,FALSE)</f>
        <v>1</v>
      </c>
      <c r="I167" s="1" t="str">
        <f t="shared" si="42"/>
        <v>Cumple</v>
      </c>
      <c r="J167" s="4">
        <f>+VLOOKUP(C167,Indicadores!B:F,5,FALSE)</f>
        <v>1</v>
      </c>
      <c r="K167" s="1" t="str">
        <f t="shared" si="43"/>
        <v>Cumple</v>
      </c>
      <c r="L167" s="77">
        <f t="shared" si="44"/>
        <v>1</v>
      </c>
      <c r="M167" s="11">
        <f t="shared" si="45"/>
        <v>150000</v>
      </c>
      <c r="N167" s="4">
        <f>+VLOOKUP(C167,Indicadores!B:M,12,FALSE)</f>
        <v>0.95833333333333337</v>
      </c>
      <c r="O167" s="1" t="str">
        <f t="shared" si="46"/>
        <v>Cumple</v>
      </c>
      <c r="P167" s="5">
        <f t="shared" si="47"/>
        <v>150000</v>
      </c>
      <c r="Q167" s="5">
        <f t="shared" si="48"/>
        <v>50000</v>
      </c>
      <c r="R167" s="84">
        <f>+IFERROR(VLOOKUP(C167,Indicadores!B:N,13,FALSE),0%)</f>
        <v>1.0584516962613026</v>
      </c>
      <c r="S167" s="5" t="str">
        <f t="shared" si="62"/>
        <v>Cumple</v>
      </c>
      <c r="T167" s="5">
        <f t="shared" si="49"/>
        <v>50000</v>
      </c>
      <c r="U167" s="5">
        <f t="shared" si="50"/>
        <v>50000</v>
      </c>
      <c r="V167" s="4">
        <f>+VLOOKUP(C167,Indicadores!B:S,18,FALSE)</f>
        <v>1</v>
      </c>
      <c r="W167" s="50" t="str">
        <f t="shared" si="40"/>
        <v>Cumple</v>
      </c>
      <c r="X167" s="2">
        <f t="shared" si="51"/>
        <v>50000</v>
      </c>
      <c r="Y167" s="5" t="str">
        <f t="shared" si="52"/>
        <v>SI</v>
      </c>
      <c r="Z167" s="5">
        <f t="shared" si="53"/>
        <v>250000</v>
      </c>
      <c r="AA167" s="1"/>
    </row>
    <row r="168" spans="2:27" x14ac:dyDescent="0.25">
      <c r="B168" s="1" t="s">
        <v>216</v>
      </c>
      <c r="C168" s="1" t="s">
        <v>172</v>
      </c>
      <c r="D168" s="1" t="s">
        <v>310</v>
      </c>
      <c r="E168" s="1" t="s">
        <v>320</v>
      </c>
      <c r="F168" s="1" t="s">
        <v>299</v>
      </c>
      <c r="G168" s="2">
        <f t="shared" si="61"/>
        <v>250000</v>
      </c>
      <c r="H168" s="4">
        <f>+VLOOKUP(C168,Indicadores!B:C,2,FALSE)</f>
        <v>1</v>
      </c>
      <c r="I168" s="1" t="str">
        <f t="shared" si="42"/>
        <v>Cumple</v>
      </c>
      <c r="J168" s="4">
        <f>+VLOOKUP(C168,Indicadores!B:F,5,FALSE)</f>
        <v>1</v>
      </c>
      <c r="K168" s="1" t="str">
        <f t="shared" si="43"/>
        <v>Cumple</v>
      </c>
      <c r="L168" s="77">
        <f t="shared" si="44"/>
        <v>1</v>
      </c>
      <c r="M168" s="11">
        <f t="shared" si="45"/>
        <v>150000</v>
      </c>
      <c r="N168" s="4">
        <f>+VLOOKUP(C168,Indicadores!B:M,12,FALSE)</f>
        <v>1</v>
      </c>
      <c r="O168" s="1" t="str">
        <f t="shared" si="46"/>
        <v>Cumple</v>
      </c>
      <c r="P168" s="5">
        <f t="shared" si="47"/>
        <v>150000</v>
      </c>
      <c r="Q168" s="5">
        <f t="shared" si="48"/>
        <v>50000</v>
      </c>
      <c r="R168" s="84">
        <f>+IFERROR(VLOOKUP(C168,Indicadores!B:N,13,FALSE),0%)</f>
        <v>0.96476293797046586</v>
      </c>
      <c r="S168" s="5" t="str">
        <f t="shared" si="62"/>
        <v>Cumple</v>
      </c>
      <c r="T168" s="5">
        <f>IF(R168=80%,Q168*70%,IF(AND(R168&gt;=81%,R168&lt;=90%),Q168*80%,IF(AND(R168&gt;=91%,R168&lt;=95%),Q168*90%,IF(R168&gt;=96%,Q168*96%,IF(R168&gt;=97%,Q168*97%,IF(R168&gt;=98%,Q168*98%,IF(R168=99%,Q168*99%,IF(R168&gt;=100%,Q168,0))))))))</f>
        <v>48000</v>
      </c>
      <c r="U168" s="5">
        <f t="shared" si="50"/>
        <v>50000</v>
      </c>
      <c r="V168" s="4">
        <f>+VLOOKUP(C168,Indicadores!B:S,18,FALSE)</f>
        <v>1</v>
      </c>
      <c r="W168" s="50" t="str">
        <f t="shared" si="40"/>
        <v>Cumple</v>
      </c>
      <c r="X168" s="2">
        <f t="shared" si="51"/>
        <v>50000</v>
      </c>
      <c r="Y168" s="5" t="str">
        <f t="shared" si="52"/>
        <v>SI</v>
      </c>
      <c r="Z168" s="5">
        <f t="shared" si="53"/>
        <v>248000</v>
      </c>
      <c r="AA168" s="1"/>
    </row>
    <row r="169" spans="2:27" x14ac:dyDescent="0.25">
      <c r="B169" s="1" t="s">
        <v>216</v>
      </c>
      <c r="C169" s="1" t="s">
        <v>173</v>
      </c>
      <c r="D169" s="1" t="s">
        <v>310</v>
      </c>
      <c r="E169" s="1" t="s">
        <v>320</v>
      </c>
      <c r="F169" s="1" t="s">
        <v>299</v>
      </c>
      <c r="G169" s="2">
        <f t="shared" si="61"/>
        <v>250000</v>
      </c>
      <c r="H169" s="4">
        <f>+VLOOKUP(C169,Indicadores!B:C,2,FALSE)</f>
        <v>1</v>
      </c>
      <c r="I169" s="1" t="str">
        <f t="shared" si="42"/>
        <v>Cumple</v>
      </c>
      <c r="J169" s="4">
        <f>+VLOOKUP(C169,Indicadores!B:F,5,FALSE)</f>
        <v>1</v>
      </c>
      <c r="K169" s="1" t="str">
        <f t="shared" si="43"/>
        <v>Cumple</v>
      </c>
      <c r="L169" s="77">
        <f t="shared" si="44"/>
        <v>1</v>
      </c>
      <c r="M169" s="11">
        <f t="shared" si="45"/>
        <v>150000</v>
      </c>
      <c r="N169" s="4">
        <f>+VLOOKUP(C169,Indicadores!B:M,12,FALSE)</f>
        <v>1</v>
      </c>
      <c r="O169" s="1" t="str">
        <f t="shared" si="46"/>
        <v>Cumple</v>
      </c>
      <c r="P169" s="5">
        <f t="shared" si="47"/>
        <v>150000</v>
      </c>
      <c r="Q169" s="5">
        <f t="shared" si="48"/>
        <v>50000</v>
      </c>
      <c r="R169" s="84">
        <f>+IFERROR(VLOOKUP(C169,Indicadores!B:N,13,FALSE),0%)</f>
        <v>0.92248946034194301</v>
      </c>
      <c r="S169" s="5" t="str">
        <f t="shared" si="62"/>
        <v>Cumple</v>
      </c>
      <c r="T169" s="5">
        <f t="shared" si="49"/>
        <v>45000</v>
      </c>
      <c r="U169" s="5">
        <f t="shared" si="50"/>
        <v>50000</v>
      </c>
      <c r="V169" s="4">
        <f>+VLOOKUP(C169,Indicadores!B:S,18,FALSE)</f>
        <v>1</v>
      </c>
      <c r="W169" s="50" t="str">
        <f t="shared" si="40"/>
        <v>Cumple</v>
      </c>
      <c r="X169" s="2">
        <f t="shared" si="51"/>
        <v>50000</v>
      </c>
      <c r="Y169" s="5" t="str">
        <f t="shared" si="52"/>
        <v>SI</v>
      </c>
      <c r="Z169" s="5">
        <f t="shared" si="53"/>
        <v>245000</v>
      </c>
      <c r="AA169" s="1"/>
    </row>
    <row r="170" spans="2:27" x14ac:dyDescent="0.25">
      <c r="B170" s="1" t="s">
        <v>216</v>
      </c>
      <c r="C170" s="1" t="s">
        <v>174</v>
      </c>
      <c r="D170" s="1" t="s">
        <v>310</v>
      </c>
      <c r="E170" s="1" t="s">
        <v>320</v>
      </c>
      <c r="F170" s="1" t="s">
        <v>299</v>
      </c>
      <c r="G170" s="2">
        <f t="shared" si="61"/>
        <v>250000</v>
      </c>
      <c r="H170" s="4">
        <f>+VLOOKUP(C170,Indicadores!B:C,2,FALSE)</f>
        <v>1</v>
      </c>
      <c r="I170" s="1" t="str">
        <f t="shared" si="42"/>
        <v>Cumple</v>
      </c>
      <c r="J170" s="4">
        <f>+VLOOKUP(C170,Indicadores!B:F,5,FALSE)</f>
        <v>1</v>
      </c>
      <c r="K170" s="1" t="str">
        <f t="shared" si="43"/>
        <v>Cumple</v>
      </c>
      <c r="L170" s="77">
        <f t="shared" si="44"/>
        <v>1</v>
      </c>
      <c r="M170" s="11">
        <f t="shared" si="45"/>
        <v>150000</v>
      </c>
      <c r="N170" s="4">
        <f>+VLOOKUP(C170,Indicadores!B:M,12,FALSE)</f>
        <v>0.88888888888888884</v>
      </c>
      <c r="O170" s="1" t="str">
        <f t="shared" si="46"/>
        <v>Cumple</v>
      </c>
      <c r="P170" s="5">
        <f t="shared" si="47"/>
        <v>150000</v>
      </c>
      <c r="Q170" s="5">
        <f t="shared" si="48"/>
        <v>50000</v>
      </c>
      <c r="R170" s="84">
        <f>+IFERROR(VLOOKUP(C170,Indicadores!B:N,13,FALSE),0%)</f>
        <v>1.0020662998285523</v>
      </c>
      <c r="S170" s="5" t="str">
        <f t="shared" si="62"/>
        <v>Cumple</v>
      </c>
      <c r="T170" s="5">
        <f t="shared" si="49"/>
        <v>50000</v>
      </c>
      <c r="U170" s="5">
        <f t="shared" si="50"/>
        <v>50000</v>
      </c>
      <c r="V170" s="4">
        <f>+VLOOKUP(C170,Indicadores!B:S,18,FALSE)</f>
        <v>1</v>
      </c>
      <c r="W170" s="50" t="str">
        <f t="shared" si="40"/>
        <v>Cumple</v>
      </c>
      <c r="X170" s="2">
        <f t="shared" si="51"/>
        <v>50000</v>
      </c>
      <c r="Y170" s="5" t="str">
        <f t="shared" si="52"/>
        <v>SI</v>
      </c>
      <c r="Z170" s="5">
        <f t="shared" si="53"/>
        <v>250000</v>
      </c>
      <c r="AA170" s="1"/>
    </row>
    <row r="171" spans="2:27" x14ac:dyDescent="0.25">
      <c r="B171" s="1" t="s">
        <v>216</v>
      </c>
      <c r="C171" s="1" t="s">
        <v>175</v>
      </c>
      <c r="D171" s="1" t="s">
        <v>310</v>
      </c>
      <c r="E171" s="1" t="s">
        <v>320</v>
      </c>
      <c r="F171" s="1" t="s">
        <v>299</v>
      </c>
      <c r="G171" s="2">
        <f t="shared" si="61"/>
        <v>250000</v>
      </c>
      <c r="H171" s="4">
        <f>+VLOOKUP(C171,Indicadores!B:C,2,FALSE)</f>
        <v>1</v>
      </c>
      <c r="I171" s="1" t="str">
        <f t="shared" si="42"/>
        <v>Cumple</v>
      </c>
      <c r="J171" s="4">
        <f>+VLOOKUP(C171,Indicadores!B:F,5,FALSE)</f>
        <v>1</v>
      </c>
      <c r="K171" s="1" t="str">
        <f t="shared" si="43"/>
        <v>Cumple</v>
      </c>
      <c r="L171" s="77">
        <f t="shared" si="44"/>
        <v>1</v>
      </c>
      <c r="M171" s="11">
        <f t="shared" si="45"/>
        <v>150000</v>
      </c>
      <c r="N171" s="4">
        <f>+VLOOKUP(C171,Indicadores!B:M,12,FALSE)</f>
        <v>1</v>
      </c>
      <c r="O171" s="1" t="str">
        <f t="shared" si="46"/>
        <v>Cumple</v>
      </c>
      <c r="P171" s="5">
        <f t="shared" si="47"/>
        <v>150000</v>
      </c>
      <c r="Q171" s="5">
        <f t="shared" si="48"/>
        <v>50000</v>
      </c>
      <c r="R171" s="84">
        <f>+IFERROR(VLOOKUP(C171,Indicadores!B:N,13,FALSE),0%)</f>
        <v>1.0459483412955795</v>
      </c>
      <c r="S171" s="5" t="str">
        <f t="shared" si="62"/>
        <v>Cumple</v>
      </c>
      <c r="T171" s="5">
        <f t="shared" si="49"/>
        <v>50000</v>
      </c>
      <c r="U171" s="5">
        <f t="shared" si="50"/>
        <v>50000</v>
      </c>
      <c r="V171" s="4">
        <f>+VLOOKUP(C171,Indicadores!B:S,18,FALSE)</f>
        <v>1</v>
      </c>
      <c r="W171" s="50" t="str">
        <f t="shared" si="40"/>
        <v>Cumple</v>
      </c>
      <c r="X171" s="2">
        <f t="shared" si="51"/>
        <v>50000</v>
      </c>
      <c r="Y171" s="5" t="str">
        <f t="shared" si="52"/>
        <v>SI</v>
      </c>
      <c r="Z171" s="5">
        <f t="shared" si="53"/>
        <v>250000</v>
      </c>
      <c r="AA171" s="1"/>
    </row>
    <row r="172" spans="2:27" x14ac:dyDescent="0.25">
      <c r="B172" s="1" t="s">
        <v>216</v>
      </c>
      <c r="C172" s="1" t="s">
        <v>176</v>
      </c>
      <c r="D172" s="1" t="s">
        <v>310</v>
      </c>
      <c r="E172" s="1" t="s">
        <v>320</v>
      </c>
      <c r="F172" s="1" t="s">
        <v>299</v>
      </c>
      <c r="G172" s="2">
        <f t="shared" si="61"/>
        <v>250000</v>
      </c>
      <c r="H172" s="4">
        <f>+VLOOKUP(C172,Indicadores!B:C,2,FALSE)</f>
        <v>0.80555555555555569</v>
      </c>
      <c r="I172" s="1" t="str">
        <f t="shared" si="42"/>
        <v>Cumple</v>
      </c>
      <c r="J172" s="4">
        <f>+VLOOKUP(C172,Indicadores!B:F,5,FALSE)</f>
        <v>0.83333333333333337</v>
      </c>
      <c r="K172" s="1" t="str">
        <f t="shared" si="43"/>
        <v>Cumple</v>
      </c>
      <c r="L172" s="77">
        <f t="shared" si="44"/>
        <v>0.81944444444444453</v>
      </c>
      <c r="M172" s="11">
        <f t="shared" si="45"/>
        <v>150000</v>
      </c>
      <c r="N172" s="4">
        <f>+VLOOKUP(C172,Indicadores!B:M,12,FALSE)</f>
        <v>0.67222222222222217</v>
      </c>
      <c r="O172" s="1" t="str">
        <f t="shared" si="46"/>
        <v>Cumple</v>
      </c>
      <c r="P172" s="5">
        <f t="shared" si="47"/>
        <v>90000</v>
      </c>
      <c r="Q172" s="5">
        <f t="shared" si="48"/>
        <v>50000</v>
      </c>
      <c r="R172" s="84">
        <f>+IFERROR(VLOOKUP(C172,Indicadores!B:N,13,FALSE),0%)</f>
        <v>1.0267242297038799</v>
      </c>
      <c r="S172" s="5" t="str">
        <f t="shared" si="62"/>
        <v>Cumple</v>
      </c>
      <c r="T172" s="5">
        <f t="shared" si="49"/>
        <v>50000</v>
      </c>
      <c r="U172" s="5">
        <f t="shared" si="50"/>
        <v>50000</v>
      </c>
      <c r="V172" s="4">
        <f>+VLOOKUP(C172,Indicadores!B:S,18,FALSE)</f>
        <v>0.375</v>
      </c>
      <c r="W172" s="50" t="str">
        <f t="shared" si="40"/>
        <v>No Cumple</v>
      </c>
      <c r="X172" s="2">
        <f t="shared" si="51"/>
        <v>0</v>
      </c>
      <c r="Y172" s="5" t="str">
        <f t="shared" si="52"/>
        <v>SI</v>
      </c>
      <c r="Z172" s="5">
        <f t="shared" si="53"/>
        <v>140000</v>
      </c>
      <c r="AA172" s="1"/>
    </row>
    <row r="173" spans="2:27" x14ac:dyDescent="0.25">
      <c r="B173" s="1" t="s">
        <v>216</v>
      </c>
      <c r="C173" s="1" t="s">
        <v>177</v>
      </c>
      <c r="D173" s="1" t="s">
        <v>310</v>
      </c>
      <c r="E173" s="1" t="s">
        <v>320</v>
      </c>
      <c r="F173" s="1" t="s">
        <v>299</v>
      </c>
      <c r="G173" s="2">
        <f t="shared" si="61"/>
        <v>250000</v>
      </c>
      <c r="H173" s="4">
        <f>+VLOOKUP(C173,Indicadores!B:C,2,FALSE)</f>
        <v>1</v>
      </c>
      <c r="I173" s="1" t="str">
        <f t="shared" si="42"/>
        <v>Cumple</v>
      </c>
      <c r="J173" s="4">
        <f>+VLOOKUP(C173,Indicadores!B:F,5,FALSE)</f>
        <v>1</v>
      </c>
      <c r="K173" s="1" t="str">
        <f t="shared" si="43"/>
        <v>Cumple</v>
      </c>
      <c r="L173" s="77">
        <f t="shared" si="44"/>
        <v>1</v>
      </c>
      <c r="M173" s="11">
        <f t="shared" si="45"/>
        <v>150000</v>
      </c>
      <c r="N173" s="4">
        <f>+VLOOKUP(C173,Indicadores!B:M,12,FALSE)</f>
        <v>0.88888888888888884</v>
      </c>
      <c r="O173" s="1" t="str">
        <f t="shared" si="46"/>
        <v>Cumple</v>
      </c>
      <c r="P173" s="5">
        <f t="shared" si="47"/>
        <v>150000</v>
      </c>
      <c r="Q173" s="5">
        <f t="shared" si="48"/>
        <v>50000</v>
      </c>
      <c r="R173" s="84">
        <f>+IFERROR(VLOOKUP(C173,Indicadores!B:N,13,FALSE),0%)</f>
        <v>0.88682271291264536</v>
      </c>
      <c r="S173" s="5" t="str">
        <f t="shared" si="62"/>
        <v>Cumple</v>
      </c>
      <c r="T173" s="5">
        <f t="shared" si="49"/>
        <v>40000</v>
      </c>
      <c r="U173" s="5">
        <f t="shared" si="50"/>
        <v>50000</v>
      </c>
      <c r="V173" s="4">
        <f>+VLOOKUP(C173,Indicadores!B:S,18,FALSE)</f>
        <v>1</v>
      </c>
      <c r="W173" s="50" t="str">
        <f t="shared" si="40"/>
        <v>Cumple</v>
      </c>
      <c r="X173" s="2">
        <f t="shared" si="51"/>
        <v>50000</v>
      </c>
      <c r="Y173" s="5" t="str">
        <f t="shared" si="52"/>
        <v>SI</v>
      </c>
      <c r="Z173" s="5">
        <f t="shared" si="53"/>
        <v>240000</v>
      </c>
      <c r="AA173" s="1"/>
    </row>
    <row r="174" spans="2:27" x14ac:dyDescent="0.25">
      <c r="B174" s="1" t="s">
        <v>216</v>
      </c>
      <c r="C174" s="1" t="s">
        <v>178</v>
      </c>
      <c r="D174" s="1" t="s">
        <v>310</v>
      </c>
      <c r="E174" s="1" t="s">
        <v>320</v>
      </c>
      <c r="F174" s="1" t="s">
        <v>299</v>
      </c>
      <c r="G174" s="2">
        <f t="shared" si="61"/>
        <v>250000</v>
      </c>
      <c r="H174" s="4">
        <f>+VLOOKUP(C174,Indicadores!B:C,2,FALSE)</f>
        <v>1</v>
      </c>
      <c r="I174" s="1" t="str">
        <f t="shared" si="42"/>
        <v>Cumple</v>
      </c>
      <c r="J174" s="4">
        <f>+VLOOKUP(C174,Indicadores!B:F,5,FALSE)</f>
        <v>1</v>
      </c>
      <c r="K174" s="1" t="str">
        <f t="shared" si="43"/>
        <v>Cumple</v>
      </c>
      <c r="L174" s="77">
        <f t="shared" si="44"/>
        <v>1</v>
      </c>
      <c r="M174" s="11">
        <f t="shared" si="45"/>
        <v>150000</v>
      </c>
      <c r="N174" s="4">
        <f>+VLOOKUP(C174,Indicadores!B:M,12,FALSE)</f>
        <v>0.95238095238095244</v>
      </c>
      <c r="O174" s="1" t="str">
        <f t="shared" si="46"/>
        <v>Cumple</v>
      </c>
      <c r="P174" s="5">
        <f t="shared" si="47"/>
        <v>150000</v>
      </c>
      <c r="Q174" s="5">
        <f t="shared" si="48"/>
        <v>50000</v>
      </c>
      <c r="R174" s="84">
        <f>+IFERROR(VLOOKUP(C174,Indicadores!B:N,13,FALSE),0%)</f>
        <v>1.0556348489095022</v>
      </c>
      <c r="S174" s="5" t="str">
        <f t="shared" si="62"/>
        <v>Cumple</v>
      </c>
      <c r="T174" s="5">
        <f t="shared" si="49"/>
        <v>50000</v>
      </c>
      <c r="U174" s="5">
        <f t="shared" si="50"/>
        <v>50000</v>
      </c>
      <c r="V174" s="4">
        <f>+VLOOKUP(C174,Indicadores!B:S,18,FALSE)</f>
        <v>1</v>
      </c>
      <c r="W174" s="50" t="str">
        <f t="shared" si="40"/>
        <v>Cumple</v>
      </c>
      <c r="X174" s="2">
        <f t="shared" si="51"/>
        <v>50000</v>
      </c>
      <c r="Y174" s="5" t="str">
        <f t="shared" si="52"/>
        <v>SI</v>
      </c>
      <c r="Z174" s="5">
        <f t="shared" si="53"/>
        <v>250000</v>
      </c>
      <c r="AA174" s="1"/>
    </row>
    <row r="175" spans="2:27" x14ac:dyDescent="0.25">
      <c r="B175" s="1" t="s">
        <v>216</v>
      </c>
      <c r="C175" s="1" t="s">
        <v>179</v>
      </c>
      <c r="D175" s="1" t="s">
        <v>309</v>
      </c>
      <c r="E175" s="1" t="s">
        <v>320</v>
      </c>
      <c r="F175" s="1" t="s">
        <v>299</v>
      </c>
      <c r="G175" s="2">
        <f t="shared" si="61"/>
        <v>250000</v>
      </c>
      <c r="H175" s="4">
        <f>+VLOOKUP(C175,Indicadores!B:C,2,FALSE)</f>
        <v>1</v>
      </c>
      <c r="I175" s="1" t="str">
        <f t="shared" si="42"/>
        <v>Cumple</v>
      </c>
      <c r="J175" s="4">
        <f>+VLOOKUP(C175,Indicadores!B:F,5,FALSE)</f>
        <v>1</v>
      </c>
      <c r="K175" s="1" t="str">
        <f t="shared" si="43"/>
        <v>Cumple</v>
      </c>
      <c r="L175" s="77">
        <f t="shared" si="44"/>
        <v>1</v>
      </c>
      <c r="M175" s="11">
        <f t="shared" si="45"/>
        <v>150000</v>
      </c>
      <c r="N175" s="4">
        <f>+VLOOKUP(C175,Indicadores!B:M,12,FALSE)</f>
        <v>0.80952380952380965</v>
      </c>
      <c r="O175" s="1" t="str">
        <f t="shared" si="46"/>
        <v>Cumple</v>
      </c>
      <c r="P175" s="5">
        <f t="shared" si="47"/>
        <v>150000</v>
      </c>
      <c r="Q175" s="5">
        <f t="shared" si="48"/>
        <v>50000</v>
      </c>
      <c r="R175" s="84">
        <f>+IFERROR(VLOOKUP(C175,Indicadores!B:N,13,FALSE),0%)</f>
        <v>1.1768073832564594</v>
      </c>
      <c r="S175" s="5" t="str">
        <f t="shared" si="62"/>
        <v>Cumple</v>
      </c>
      <c r="T175" s="5">
        <f t="shared" si="49"/>
        <v>50000</v>
      </c>
      <c r="U175" s="5">
        <f t="shared" si="50"/>
        <v>50000</v>
      </c>
      <c r="V175" s="4">
        <f>+VLOOKUP(C175,Indicadores!B:S,18,FALSE)</f>
        <v>0.5</v>
      </c>
      <c r="W175" s="50" t="str">
        <f t="shared" si="40"/>
        <v>No Cumple</v>
      </c>
      <c r="X175" s="2">
        <f t="shared" si="51"/>
        <v>0</v>
      </c>
      <c r="Y175" s="5" t="str">
        <f t="shared" si="52"/>
        <v>SI</v>
      </c>
      <c r="Z175" s="5">
        <f t="shared" si="53"/>
        <v>200000</v>
      </c>
      <c r="AA175" s="1"/>
    </row>
    <row r="176" spans="2:27" x14ac:dyDescent="0.25">
      <c r="B176" s="1" t="s">
        <v>216</v>
      </c>
      <c r="C176" s="1" t="s">
        <v>180</v>
      </c>
      <c r="D176" s="1" t="s">
        <v>310</v>
      </c>
      <c r="E176" s="1" t="s">
        <v>320</v>
      </c>
      <c r="F176" s="1" t="s">
        <v>299</v>
      </c>
      <c r="G176" s="2">
        <f t="shared" si="61"/>
        <v>250000</v>
      </c>
      <c r="H176" s="4">
        <f>+VLOOKUP(C176,Indicadores!B:C,2,FALSE)</f>
        <v>0.91666666666666663</v>
      </c>
      <c r="I176" s="1" t="str">
        <f t="shared" si="42"/>
        <v>Cumple</v>
      </c>
      <c r="J176" s="4">
        <f>+VLOOKUP(C176,Indicadores!B:F,5,FALSE)</f>
        <v>0.91666666666666663</v>
      </c>
      <c r="K176" s="1" t="str">
        <f t="shared" si="43"/>
        <v>Cumple</v>
      </c>
      <c r="L176" s="77">
        <f t="shared" si="44"/>
        <v>0.91666666666666663</v>
      </c>
      <c r="M176" s="11">
        <f t="shared" si="45"/>
        <v>150000</v>
      </c>
      <c r="N176" s="4">
        <f>+VLOOKUP(C176,Indicadores!B:M,12,FALSE)</f>
        <v>0.91414141414141403</v>
      </c>
      <c r="O176" s="1" t="str">
        <f t="shared" si="46"/>
        <v>Cumple</v>
      </c>
      <c r="P176" s="5">
        <f t="shared" si="47"/>
        <v>150000</v>
      </c>
      <c r="Q176" s="5">
        <f t="shared" si="48"/>
        <v>50000</v>
      </c>
      <c r="R176" s="84">
        <f>+IFERROR(VLOOKUP(C176,Indicadores!B:N,13,FALSE),0%)</f>
        <v>1.1832045415394625</v>
      </c>
      <c r="S176" s="5" t="str">
        <f t="shared" si="62"/>
        <v>Cumple</v>
      </c>
      <c r="T176" s="5">
        <f t="shared" si="49"/>
        <v>50000</v>
      </c>
      <c r="U176" s="5">
        <f t="shared" si="50"/>
        <v>50000</v>
      </c>
      <c r="V176" s="4">
        <f>+VLOOKUP(C176,Indicadores!B:S,18,FALSE)</f>
        <v>0.45833333333333331</v>
      </c>
      <c r="W176" s="50" t="str">
        <f t="shared" si="40"/>
        <v>No Cumple</v>
      </c>
      <c r="X176" s="2">
        <f t="shared" si="51"/>
        <v>0</v>
      </c>
      <c r="Y176" s="5" t="str">
        <f t="shared" si="52"/>
        <v>SI</v>
      </c>
      <c r="Z176" s="5">
        <f t="shared" si="53"/>
        <v>200000</v>
      </c>
      <c r="AA176" s="1"/>
    </row>
    <row r="177" spans="2:27" x14ac:dyDescent="0.25">
      <c r="B177" s="1" t="s">
        <v>216</v>
      </c>
      <c r="C177" s="1" t="s">
        <v>181</v>
      </c>
      <c r="D177" s="1" t="s">
        <v>310</v>
      </c>
      <c r="E177" s="1" t="s">
        <v>320</v>
      </c>
      <c r="F177" s="1" t="s">
        <v>299</v>
      </c>
      <c r="G177" s="2">
        <f t="shared" si="61"/>
        <v>250000</v>
      </c>
      <c r="H177" s="4">
        <f>+VLOOKUP(C177,Indicadores!B:C,2,FALSE)</f>
        <v>0.94117647058823517</v>
      </c>
      <c r="I177" s="1" t="str">
        <f t="shared" si="42"/>
        <v>Cumple</v>
      </c>
      <c r="J177" s="4">
        <f>+VLOOKUP(C177,Indicadores!B:F,5,FALSE)</f>
        <v>0.94117647058823528</v>
      </c>
      <c r="K177" s="1" t="str">
        <f t="shared" si="43"/>
        <v>Cumple</v>
      </c>
      <c r="L177" s="77">
        <f t="shared" si="44"/>
        <v>0.94117647058823528</v>
      </c>
      <c r="M177" s="11">
        <f t="shared" si="45"/>
        <v>150000</v>
      </c>
      <c r="N177" s="4">
        <f>+VLOOKUP(C177,Indicadores!B:M,12,FALSE)</f>
        <v>0.96078431372549022</v>
      </c>
      <c r="O177" s="1" t="str">
        <f t="shared" si="46"/>
        <v>Cumple</v>
      </c>
      <c r="P177" s="5">
        <f t="shared" si="47"/>
        <v>150000</v>
      </c>
      <c r="Q177" s="5">
        <f t="shared" si="48"/>
        <v>50000</v>
      </c>
      <c r="R177" s="84">
        <f>+IFERROR(VLOOKUP(C177,Indicadores!B:N,13,FALSE),0%)</f>
        <v>0.87842172738269109</v>
      </c>
      <c r="S177" s="5" t="str">
        <f t="shared" si="62"/>
        <v>Cumple</v>
      </c>
      <c r="T177" s="5">
        <f t="shared" si="49"/>
        <v>40000</v>
      </c>
      <c r="U177" s="5">
        <f t="shared" si="50"/>
        <v>50000</v>
      </c>
      <c r="V177" s="4">
        <f>+VLOOKUP(C177,Indicadores!B:S,18,FALSE)</f>
        <v>0.97058823529411764</v>
      </c>
      <c r="W177" s="50" t="str">
        <f t="shared" si="40"/>
        <v>No Cumple</v>
      </c>
      <c r="X177" s="2">
        <f t="shared" si="51"/>
        <v>0</v>
      </c>
      <c r="Y177" s="5" t="str">
        <f t="shared" si="52"/>
        <v>SI</v>
      </c>
      <c r="Z177" s="5">
        <f t="shared" si="53"/>
        <v>190000</v>
      </c>
      <c r="AA177" s="1"/>
    </row>
    <row r="178" spans="2:27" x14ac:dyDescent="0.25">
      <c r="B178" s="1" t="s">
        <v>215</v>
      </c>
      <c r="C178" s="1" t="s">
        <v>182</v>
      </c>
      <c r="D178" s="1" t="s">
        <v>307</v>
      </c>
      <c r="E178" s="1" t="s">
        <v>223</v>
      </c>
      <c r="F178" s="1" t="s">
        <v>273</v>
      </c>
      <c r="G178" s="2">
        <f t="shared" si="61"/>
        <v>250000</v>
      </c>
      <c r="H178" s="4">
        <f>+VLOOKUP(C178,Indicadores!B:C,2,FALSE)</f>
        <v>1</v>
      </c>
      <c r="I178" s="1" t="str">
        <f t="shared" si="42"/>
        <v>Cumple</v>
      </c>
      <c r="J178" s="4">
        <f>+VLOOKUP(C178,Indicadores!B:F,5,FALSE)</f>
        <v>1</v>
      </c>
      <c r="K178" s="1" t="str">
        <f t="shared" si="43"/>
        <v>Cumple</v>
      </c>
      <c r="L178" s="77">
        <f t="shared" si="44"/>
        <v>1</v>
      </c>
      <c r="M178" s="11">
        <f t="shared" si="45"/>
        <v>150000</v>
      </c>
      <c r="N178" s="4">
        <f>+VLOOKUP(C178,Indicadores!B:M,12,FALSE)</f>
        <v>1</v>
      </c>
      <c r="O178" s="1" t="str">
        <f t="shared" si="46"/>
        <v>Cumple</v>
      </c>
      <c r="P178" s="5">
        <f t="shared" si="47"/>
        <v>150000</v>
      </c>
      <c r="Q178" s="5">
        <f t="shared" si="48"/>
        <v>50000</v>
      </c>
      <c r="R178" s="84">
        <f>+IFERROR(VLOOKUP(C178,Indicadores!B:N,13,FALSE),0%)</f>
        <v>0.76333244787445043</v>
      </c>
      <c r="S178" s="5" t="str">
        <f t="shared" si="54"/>
        <v>No Cumple</v>
      </c>
      <c r="T178" s="5">
        <f>IF(R178&gt;=70%,Q178*70%,IF(AND(R178&gt;=81%,R178&lt;=90%),Q178*80%,IF(AND(R178&gt;=91%,R178&lt;=95%),Q178*90%,IF(R178=96%,Q178*96%,IF(R178=97%,Q178*97%,IF(R178=98%,Q178*98%,IF(R178=99%,Q178*99%,IF(R178&gt;=100%,Q178,0))))))))</f>
        <v>35000</v>
      </c>
      <c r="U178" s="5">
        <f t="shared" si="50"/>
        <v>50000</v>
      </c>
      <c r="V178" s="4">
        <f>+VLOOKUP(C178,Indicadores!B:S,18,FALSE)</f>
        <v>1</v>
      </c>
      <c r="W178" s="50" t="str">
        <f t="shared" si="40"/>
        <v>Cumple</v>
      </c>
      <c r="X178" s="2">
        <f t="shared" si="51"/>
        <v>50000</v>
      </c>
      <c r="Y178" s="5" t="str">
        <f t="shared" si="52"/>
        <v>SI</v>
      </c>
      <c r="Z178" s="5">
        <f t="shared" si="53"/>
        <v>235000</v>
      </c>
      <c r="AA178" s="1"/>
    </row>
    <row r="179" spans="2:27" x14ac:dyDescent="0.25">
      <c r="B179" s="1" t="s">
        <v>215</v>
      </c>
      <c r="C179" s="1" t="s">
        <v>183</v>
      </c>
      <c r="D179" s="1" t="s">
        <v>307</v>
      </c>
      <c r="E179" s="1" t="s">
        <v>223</v>
      </c>
      <c r="F179" s="1" t="s">
        <v>273</v>
      </c>
      <c r="G179" s="2">
        <f t="shared" si="61"/>
        <v>250000</v>
      </c>
      <c r="H179" s="4">
        <f>+VLOOKUP(C179,Indicadores!B:C,2,FALSE)</f>
        <v>1</v>
      </c>
      <c r="I179" s="1" t="str">
        <f t="shared" si="42"/>
        <v>Cumple</v>
      </c>
      <c r="J179" s="4">
        <f>+VLOOKUP(C179,Indicadores!B:F,5,FALSE)</f>
        <v>1</v>
      </c>
      <c r="K179" s="1" t="str">
        <f t="shared" si="43"/>
        <v>Cumple</v>
      </c>
      <c r="L179" s="77">
        <f t="shared" si="44"/>
        <v>1</v>
      </c>
      <c r="M179" s="11">
        <f t="shared" si="45"/>
        <v>150000</v>
      </c>
      <c r="N179" s="4">
        <f>+VLOOKUP(C179,Indicadores!B:M,12,FALSE)</f>
        <v>0.75</v>
      </c>
      <c r="O179" s="1" t="str">
        <f t="shared" si="46"/>
        <v>Cumple</v>
      </c>
      <c r="P179" s="5">
        <f t="shared" si="47"/>
        <v>90000</v>
      </c>
      <c r="Q179" s="5">
        <f t="shared" si="48"/>
        <v>50000</v>
      </c>
      <c r="R179" s="84">
        <f>+IFERROR(VLOOKUP(C179,Indicadores!B:N,13,FALSE),0%)</f>
        <v>1.0596420897316248</v>
      </c>
      <c r="S179" s="5" t="str">
        <f t="shared" ref="S179:S193" si="63">IF(R179&gt;=70%,"Cumple","No Cumple")</f>
        <v>Cumple</v>
      </c>
      <c r="T179" s="5">
        <f t="shared" si="49"/>
        <v>50000</v>
      </c>
      <c r="U179" s="5">
        <f t="shared" si="50"/>
        <v>50000</v>
      </c>
      <c r="V179" s="4">
        <f>+VLOOKUP(C179,Indicadores!B:S,18,FALSE)</f>
        <v>0.5</v>
      </c>
      <c r="W179" s="50" t="str">
        <f t="shared" si="40"/>
        <v>No Cumple</v>
      </c>
      <c r="X179" s="2">
        <f t="shared" si="51"/>
        <v>0</v>
      </c>
      <c r="Y179" s="5" t="str">
        <f t="shared" si="52"/>
        <v>SI</v>
      </c>
      <c r="Z179" s="5">
        <f t="shared" si="53"/>
        <v>140000</v>
      </c>
      <c r="AA179" s="1"/>
    </row>
    <row r="180" spans="2:27" x14ac:dyDescent="0.25">
      <c r="B180" s="1" t="s">
        <v>215</v>
      </c>
      <c r="C180" s="1" t="s">
        <v>184</v>
      </c>
      <c r="D180" s="1" t="s">
        <v>307</v>
      </c>
      <c r="E180" s="1" t="s">
        <v>223</v>
      </c>
      <c r="F180" s="1" t="s">
        <v>273</v>
      </c>
      <c r="G180" s="2">
        <f t="shared" si="61"/>
        <v>250000</v>
      </c>
      <c r="H180" s="4">
        <f>+VLOOKUP(C180,Indicadores!B:C,2,FALSE)</f>
        <v>1</v>
      </c>
      <c r="I180" s="1" t="str">
        <f t="shared" si="42"/>
        <v>Cumple</v>
      </c>
      <c r="J180" s="4">
        <f>+VLOOKUP(C180,Indicadores!B:F,5,FALSE)</f>
        <v>0.875</v>
      </c>
      <c r="K180" s="1" t="str">
        <f t="shared" si="43"/>
        <v>Cumple</v>
      </c>
      <c r="L180" s="77">
        <f t="shared" si="44"/>
        <v>0.9375</v>
      </c>
      <c r="M180" s="11">
        <f t="shared" si="45"/>
        <v>150000</v>
      </c>
      <c r="N180" s="4">
        <f>+VLOOKUP(C180,Indicadores!B:M,12,FALSE)</f>
        <v>0.95833333333333337</v>
      </c>
      <c r="O180" s="1" t="str">
        <f t="shared" si="46"/>
        <v>Cumple</v>
      </c>
      <c r="P180" s="5">
        <f t="shared" si="47"/>
        <v>150000</v>
      </c>
      <c r="Q180" s="5">
        <f t="shared" si="48"/>
        <v>50000</v>
      </c>
      <c r="R180" s="84">
        <f>+IFERROR(VLOOKUP(C180,Indicadores!B:N,13,FALSE),0%)</f>
        <v>1.1032208645897543</v>
      </c>
      <c r="S180" s="5" t="str">
        <f t="shared" si="63"/>
        <v>Cumple</v>
      </c>
      <c r="T180" s="5">
        <f t="shared" si="49"/>
        <v>50000</v>
      </c>
      <c r="U180" s="5">
        <f t="shared" si="50"/>
        <v>50000</v>
      </c>
      <c r="V180" s="4">
        <f>+VLOOKUP(C180,Indicadores!B:S,18,FALSE)</f>
        <v>1</v>
      </c>
      <c r="W180" s="50" t="str">
        <f t="shared" si="40"/>
        <v>Cumple</v>
      </c>
      <c r="X180" s="2">
        <f t="shared" si="51"/>
        <v>50000</v>
      </c>
      <c r="Y180" s="5" t="str">
        <f t="shared" si="52"/>
        <v>SI</v>
      </c>
      <c r="Z180" s="5">
        <f t="shared" si="53"/>
        <v>250000</v>
      </c>
      <c r="AA180" s="1"/>
    </row>
    <row r="181" spans="2:27" x14ac:dyDescent="0.25">
      <c r="B181" s="1" t="s">
        <v>215</v>
      </c>
      <c r="C181" s="1" t="s">
        <v>185</v>
      </c>
      <c r="D181" s="1" t="s">
        <v>307</v>
      </c>
      <c r="E181" s="1" t="s">
        <v>223</v>
      </c>
      <c r="F181" s="1" t="s">
        <v>273</v>
      </c>
      <c r="G181" s="2">
        <f t="shared" si="61"/>
        <v>250000</v>
      </c>
      <c r="H181" s="4">
        <f>+VLOOKUP(C181,Indicadores!B:C,2,FALSE)</f>
        <v>1</v>
      </c>
      <c r="I181" s="1" t="str">
        <f t="shared" si="42"/>
        <v>Cumple</v>
      </c>
      <c r="J181" s="4">
        <f>+VLOOKUP(C181,Indicadores!B:F,5,FALSE)</f>
        <v>1</v>
      </c>
      <c r="K181" s="1" t="str">
        <f t="shared" si="43"/>
        <v>Cumple</v>
      </c>
      <c r="L181" s="77">
        <f t="shared" si="44"/>
        <v>1</v>
      </c>
      <c r="M181" s="11">
        <f t="shared" si="45"/>
        <v>150000</v>
      </c>
      <c r="N181" s="4">
        <f>+VLOOKUP(C181,Indicadores!B:M,12,FALSE)</f>
        <v>1</v>
      </c>
      <c r="O181" s="1" t="str">
        <f t="shared" si="46"/>
        <v>Cumple</v>
      </c>
      <c r="P181" s="5">
        <f t="shared" si="47"/>
        <v>150000</v>
      </c>
      <c r="Q181" s="5">
        <f t="shared" si="48"/>
        <v>50000</v>
      </c>
      <c r="R181" s="84">
        <f>+IFERROR(VLOOKUP(C181,Indicadores!B:N,13,FALSE),0%)</f>
        <v>1.0333303442946065</v>
      </c>
      <c r="S181" s="5" t="str">
        <f t="shared" si="63"/>
        <v>Cumple</v>
      </c>
      <c r="T181" s="5">
        <f t="shared" si="49"/>
        <v>50000</v>
      </c>
      <c r="U181" s="5">
        <f t="shared" si="50"/>
        <v>50000</v>
      </c>
      <c r="V181" s="4">
        <f>+VLOOKUP(C181,Indicadores!B:S,18,FALSE)</f>
        <v>0.5</v>
      </c>
      <c r="W181" s="50" t="str">
        <f t="shared" si="40"/>
        <v>No Cumple</v>
      </c>
      <c r="X181" s="2">
        <f t="shared" si="51"/>
        <v>0</v>
      </c>
      <c r="Y181" s="5" t="str">
        <f t="shared" si="52"/>
        <v>SI</v>
      </c>
      <c r="Z181" s="5">
        <f t="shared" si="53"/>
        <v>200000</v>
      </c>
      <c r="AA181" s="1"/>
    </row>
    <row r="182" spans="2:27" x14ac:dyDescent="0.25">
      <c r="B182" s="1" t="s">
        <v>215</v>
      </c>
      <c r="C182" s="1" t="s">
        <v>186</v>
      </c>
      <c r="D182" s="1" t="s">
        <v>307</v>
      </c>
      <c r="E182" s="1" t="s">
        <v>223</v>
      </c>
      <c r="F182" s="1" t="s">
        <v>273</v>
      </c>
      <c r="G182" s="2">
        <f t="shared" si="61"/>
        <v>250000</v>
      </c>
      <c r="H182" s="4">
        <f>+VLOOKUP(C182,Indicadores!B:C,2,FALSE)</f>
        <v>0.85</v>
      </c>
      <c r="I182" s="1" t="str">
        <f t="shared" si="42"/>
        <v>Cumple</v>
      </c>
      <c r="J182" s="4">
        <f>+VLOOKUP(C182,Indicadores!B:F,5,FALSE)</f>
        <v>0.85</v>
      </c>
      <c r="K182" s="1" t="str">
        <f t="shared" si="43"/>
        <v>Cumple</v>
      </c>
      <c r="L182" s="77">
        <f t="shared" si="44"/>
        <v>0.85</v>
      </c>
      <c r="M182" s="11">
        <f t="shared" si="45"/>
        <v>150000</v>
      </c>
      <c r="N182" s="4">
        <f>+VLOOKUP(C182,Indicadores!B:M,12,FALSE)</f>
        <v>0.9</v>
      </c>
      <c r="O182" s="1" t="str">
        <f t="shared" si="46"/>
        <v>Cumple</v>
      </c>
      <c r="P182" s="5">
        <f t="shared" si="47"/>
        <v>150000</v>
      </c>
      <c r="Q182" s="5">
        <f t="shared" si="48"/>
        <v>50000</v>
      </c>
      <c r="R182" s="84">
        <f>+IFERROR(VLOOKUP(C182,Indicadores!B:N,13,FALSE),0%)</f>
        <v>1.1717459932113414</v>
      </c>
      <c r="S182" s="5" t="str">
        <f t="shared" si="63"/>
        <v>Cumple</v>
      </c>
      <c r="T182" s="5">
        <f t="shared" si="49"/>
        <v>50000</v>
      </c>
      <c r="U182" s="5">
        <f t="shared" si="50"/>
        <v>50000</v>
      </c>
      <c r="V182" s="4">
        <f>+VLOOKUP(C182,Indicadores!B:S,18,FALSE)</f>
        <v>0.92500000000000004</v>
      </c>
      <c r="W182" s="50" t="str">
        <f t="shared" si="40"/>
        <v>No Cumple</v>
      </c>
      <c r="X182" s="2">
        <f t="shared" si="51"/>
        <v>0</v>
      </c>
      <c r="Y182" s="5" t="str">
        <f t="shared" si="52"/>
        <v>SI</v>
      </c>
      <c r="Z182" s="5">
        <f t="shared" si="53"/>
        <v>200000</v>
      </c>
      <c r="AA182" s="1"/>
    </row>
    <row r="183" spans="2:27" x14ac:dyDescent="0.25">
      <c r="B183" s="1" t="s">
        <v>215</v>
      </c>
      <c r="C183" s="1" t="s">
        <v>187</v>
      </c>
      <c r="D183" s="1" t="s">
        <v>307</v>
      </c>
      <c r="E183" s="1" t="s">
        <v>223</v>
      </c>
      <c r="F183" s="1" t="s">
        <v>273</v>
      </c>
      <c r="G183" s="2">
        <f t="shared" si="61"/>
        <v>250000</v>
      </c>
      <c r="H183" s="4">
        <f>+VLOOKUP(C183,Indicadores!B:C,2,FALSE)</f>
        <v>1</v>
      </c>
      <c r="I183" s="1" t="str">
        <f t="shared" si="42"/>
        <v>Cumple</v>
      </c>
      <c r="J183" s="4">
        <f>+VLOOKUP(C183,Indicadores!B:F,5,FALSE)</f>
        <v>1</v>
      </c>
      <c r="K183" s="1" t="str">
        <f t="shared" si="43"/>
        <v>Cumple</v>
      </c>
      <c r="L183" s="77">
        <f t="shared" si="44"/>
        <v>1</v>
      </c>
      <c r="M183" s="11">
        <f t="shared" si="45"/>
        <v>150000</v>
      </c>
      <c r="N183" s="4">
        <f>+VLOOKUP(C183,Indicadores!B:M,12,FALSE)</f>
        <v>1</v>
      </c>
      <c r="O183" s="1" t="str">
        <f t="shared" si="46"/>
        <v>Cumple</v>
      </c>
      <c r="P183" s="5">
        <f t="shared" si="47"/>
        <v>150000</v>
      </c>
      <c r="Q183" s="5">
        <f t="shared" si="48"/>
        <v>50000</v>
      </c>
      <c r="R183" s="84">
        <f>+IFERROR(VLOOKUP(C183,Indicadores!B:N,13,FALSE),0%)</f>
        <v>1.5073077307971954</v>
      </c>
      <c r="S183" s="5" t="str">
        <f t="shared" si="63"/>
        <v>Cumple</v>
      </c>
      <c r="T183" s="5">
        <f t="shared" si="49"/>
        <v>50000</v>
      </c>
      <c r="U183" s="5">
        <f t="shared" si="50"/>
        <v>50000</v>
      </c>
      <c r="V183" s="4">
        <f>+VLOOKUP(C183,Indicadores!B:S,18,FALSE)</f>
        <v>1</v>
      </c>
      <c r="W183" s="50" t="str">
        <f t="shared" si="40"/>
        <v>Cumple</v>
      </c>
      <c r="X183" s="2">
        <f t="shared" si="51"/>
        <v>50000</v>
      </c>
      <c r="Y183" s="5" t="str">
        <f t="shared" si="52"/>
        <v>SI</v>
      </c>
      <c r="Z183" s="5">
        <f t="shared" si="53"/>
        <v>250000</v>
      </c>
      <c r="AA183" s="1"/>
    </row>
    <row r="184" spans="2:27" x14ac:dyDescent="0.25">
      <c r="B184" s="1" t="s">
        <v>215</v>
      </c>
      <c r="C184" s="1" t="s">
        <v>188</v>
      </c>
      <c r="D184" s="1" t="s">
        <v>307</v>
      </c>
      <c r="E184" s="1" t="s">
        <v>223</v>
      </c>
      <c r="F184" s="1" t="s">
        <v>273</v>
      </c>
      <c r="G184" s="2">
        <f t="shared" si="61"/>
        <v>250000</v>
      </c>
      <c r="H184" s="4">
        <f>+VLOOKUP(C184,Indicadores!B:C,2,FALSE)</f>
        <v>1</v>
      </c>
      <c r="I184" s="1" t="str">
        <f t="shared" si="42"/>
        <v>Cumple</v>
      </c>
      <c r="J184" s="4">
        <f>+VLOOKUP(C184,Indicadores!B:F,5,FALSE)</f>
        <v>1</v>
      </c>
      <c r="K184" s="1" t="str">
        <f t="shared" si="43"/>
        <v>Cumple</v>
      </c>
      <c r="L184" s="77">
        <f t="shared" si="44"/>
        <v>1</v>
      </c>
      <c r="M184" s="11">
        <f t="shared" si="45"/>
        <v>150000</v>
      </c>
      <c r="N184" s="4">
        <f>+VLOOKUP(C184,Indicadores!B:M,12,FALSE)</f>
        <v>0.97222222222222221</v>
      </c>
      <c r="O184" s="1" t="str">
        <f t="shared" si="46"/>
        <v>Cumple</v>
      </c>
      <c r="P184" s="5">
        <f t="shared" si="47"/>
        <v>150000</v>
      </c>
      <c r="Q184" s="5">
        <f t="shared" si="48"/>
        <v>50000</v>
      </c>
      <c r="R184" s="84">
        <f>+IFERROR(VLOOKUP(C184,Indicadores!B:N,13,FALSE),0%)</f>
        <v>1.2025124086276995</v>
      </c>
      <c r="S184" s="5" t="str">
        <f t="shared" si="63"/>
        <v>Cumple</v>
      </c>
      <c r="T184" s="5">
        <f t="shared" si="49"/>
        <v>50000</v>
      </c>
      <c r="U184" s="5">
        <f t="shared" si="50"/>
        <v>50000</v>
      </c>
      <c r="V184" s="4">
        <f>+VLOOKUP(C184,Indicadores!B:S,18,FALSE)</f>
        <v>1</v>
      </c>
      <c r="W184" s="50" t="str">
        <f t="shared" si="40"/>
        <v>Cumple</v>
      </c>
      <c r="X184" s="2">
        <f t="shared" si="51"/>
        <v>50000</v>
      </c>
      <c r="Y184" s="5" t="str">
        <f t="shared" si="52"/>
        <v>SI</v>
      </c>
      <c r="Z184" s="5">
        <f t="shared" si="53"/>
        <v>250000</v>
      </c>
      <c r="AA184" s="1"/>
    </row>
    <row r="185" spans="2:27" x14ac:dyDescent="0.25">
      <c r="B185" s="1" t="s">
        <v>215</v>
      </c>
      <c r="C185" s="1" t="s">
        <v>189</v>
      </c>
      <c r="D185" s="1" t="s">
        <v>307</v>
      </c>
      <c r="E185" s="1" t="s">
        <v>223</v>
      </c>
      <c r="F185" s="1" t="s">
        <v>273</v>
      </c>
      <c r="G185" s="2">
        <f t="shared" si="61"/>
        <v>250000</v>
      </c>
      <c r="H185" s="4">
        <f>+VLOOKUP(C185,Indicadores!B:C,2,FALSE)</f>
        <v>1</v>
      </c>
      <c r="I185" s="1" t="str">
        <f t="shared" si="42"/>
        <v>Cumple</v>
      </c>
      <c r="J185" s="4">
        <f>+VLOOKUP(C185,Indicadores!B:F,5,FALSE)</f>
        <v>1</v>
      </c>
      <c r="K185" s="1" t="str">
        <f t="shared" si="43"/>
        <v>Cumple</v>
      </c>
      <c r="L185" s="77">
        <f t="shared" si="44"/>
        <v>1</v>
      </c>
      <c r="M185" s="11">
        <f t="shared" si="45"/>
        <v>150000</v>
      </c>
      <c r="N185" s="4">
        <f>+VLOOKUP(C185,Indicadores!B:M,12,FALSE)</f>
        <v>1</v>
      </c>
      <c r="O185" s="1" t="str">
        <f t="shared" si="46"/>
        <v>Cumple</v>
      </c>
      <c r="P185" s="5">
        <f t="shared" si="47"/>
        <v>150000</v>
      </c>
      <c r="Q185" s="5">
        <f t="shared" si="48"/>
        <v>50000</v>
      </c>
      <c r="R185" s="84">
        <f>+IFERROR(VLOOKUP(C185,Indicadores!B:N,13,FALSE),0%)</f>
        <v>0.99588100500698618</v>
      </c>
      <c r="S185" s="5" t="str">
        <f t="shared" si="63"/>
        <v>Cumple</v>
      </c>
      <c r="T185" s="5">
        <f>IF(R185=80%,Q185*70%,IF(AND(R185&gt;=81%,R185&lt;=90%),Q185*80%,IF(AND(R185&gt;=91%,R185&lt;=95%),Q185*90%,IF(R185=96%,Q185*96%,IF(R185=97%,Q185*97%,IF(R185&gt;=98%,Q185*98%,IF(R185=99%,Q185*99%,IF(R185&gt;=100%,Q185,0))))))))</f>
        <v>49000</v>
      </c>
      <c r="U185" s="5">
        <f t="shared" si="50"/>
        <v>50000</v>
      </c>
      <c r="V185" s="4">
        <f>+VLOOKUP(C185,Indicadores!B:S,18,FALSE)</f>
        <v>1</v>
      </c>
      <c r="W185" s="50" t="str">
        <f t="shared" si="40"/>
        <v>Cumple</v>
      </c>
      <c r="X185" s="2">
        <f t="shared" si="51"/>
        <v>50000</v>
      </c>
      <c r="Y185" s="5" t="str">
        <f t="shared" si="52"/>
        <v>SI</v>
      </c>
      <c r="Z185" s="5">
        <f t="shared" si="53"/>
        <v>249000</v>
      </c>
      <c r="AA185" s="1"/>
    </row>
    <row r="186" spans="2:27" x14ac:dyDescent="0.25">
      <c r="B186" s="1" t="s">
        <v>215</v>
      </c>
      <c r="C186" s="1" t="s">
        <v>190</v>
      </c>
      <c r="D186" s="1" t="s">
        <v>307</v>
      </c>
      <c r="E186" s="1" t="s">
        <v>223</v>
      </c>
      <c r="F186" s="1" t="s">
        <v>273</v>
      </c>
      <c r="G186" s="2">
        <f t="shared" si="61"/>
        <v>250000</v>
      </c>
      <c r="H186" s="4">
        <f>+VLOOKUP(C186,Indicadores!B:C,2,FALSE)</f>
        <v>1</v>
      </c>
      <c r="I186" s="1" t="str">
        <f t="shared" si="42"/>
        <v>Cumple</v>
      </c>
      <c r="J186" s="4">
        <f>+VLOOKUP(C186,Indicadores!B:F,5,FALSE)</f>
        <v>1</v>
      </c>
      <c r="K186" s="1" t="str">
        <f t="shared" si="43"/>
        <v>Cumple</v>
      </c>
      <c r="L186" s="77">
        <f t="shared" si="44"/>
        <v>1</v>
      </c>
      <c r="M186" s="11">
        <f t="shared" si="45"/>
        <v>150000</v>
      </c>
      <c r="N186" s="4">
        <f>+VLOOKUP(C186,Indicadores!B:M,12,FALSE)</f>
        <v>1</v>
      </c>
      <c r="O186" s="1" t="str">
        <f t="shared" si="46"/>
        <v>Cumple</v>
      </c>
      <c r="P186" s="5">
        <f t="shared" si="47"/>
        <v>150000</v>
      </c>
      <c r="Q186" s="5">
        <f t="shared" si="48"/>
        <v>50000</v>
      </c>
      <c r="R186" s="84">
        <f>+IFERROR(VLOOKUP(C186,Indicadores!B:N,13,FALSE),0%)</f>
        <v>1.0462123956698366</v>
      </c>
      <c r="S186" s="5" t="str">
        <f t="shared" si="63"/>
        <v>Cumple</v>
      </c>
      <c r="T186" s="5">
        <f t="shared" si="49"/>
        <v>50000</v>
      </c>
      <c r="U186" s="5">
        <f t="shared" si="50"/>
        <v>50000</v>
      </c>
      <c r="V186" s="4">
        <f>+VLOOKUP(C186,Indicadores!B:S,18,FALSE)</f>
        <v>1</v>
      </c>
      <c r="W186" s="50" t="str">
        <f t="shared" si="40"/>
        <v>Cumple</v>
      </c>
      <c r="X186" s="2">
        <f t="shared" si="51"/>
        <v>50000</v>
      </c>
      <c r="Y186" s="5" t="str">
        <f t="shared" si="52"/>
        <v>SI</v>
      </c>
      <c r="Z186" s="5">
        <f t="shared" si="53"/>
        <v>250000</v>
      </c>
      <c r="AA186" s="1"/>
    </row>
    <row r="187" spans="2:27" x14ac:dyDescent="0.25">
      <c r="B187" s="1" t="s">
        <v>215</v>
      </c>
      <c r="C187" s="1" t="s">
        <v>191</v>
      </c>
      <c r="D187" s="1" t="s">
        <v>305</v>
      </c>
      <c r="E187" s="1" t="s">
        <v>223</v>
      </c>
      <c r="F187" s="1" t="s">
        <v>274</v>
      </c>
      <c r="G187" s="2">
        <f t="shared" si="61"/>
        <v>250000</v>
      </c>
      <c r="H187" s="4">
        <f>+VLOOKUP(C187,Indicadores!B:C,2,FALSE)</f>
        <v>1</v>
      </c>
      <c r="I187" s="1" t="str">
        <f t="shared" si="42"/>
        <v>Cumple</v>
      </c>
      <c r="J187" s="4">
        <f>+VLOOKUP(C187,Indicadores!B:F,5,FALSE)</f>
        <v>1</v>
      </c>
      <c r="K187" s="1" t="str">
        <f t="shared" si="43"/>
        <v>Cumple</v>
      </c>
      <c r="L187" s="77">
        <f t="shared" si="44"/>
        <v>1</v>
      </c>
      <c r="M187" s="11">
        <f t="shared" si="45"/>
        <v>150000</v>
      </c>
      <c r="N187" s="4">
        <f>+VLOOKUP(C187,Indicadores!B:M,12,FALSE)</f>
        <v>0.66666666666666663</v>
      </c>
      <c r="O187" s="1" t="str">
        <f t="shared" si="46"/>
        <v>Cumple</v>
      </c>
      <c r="P187" s="5">
        <f t="shared" si="47"/>
        <v>90000</v>
      </c>
      <c r="Q187" s="5">
        <f t="shared" si="48"/>
        <v>50000</v>
      </c>
      <c r="R187" s="84">
        <f>+IFERROR(VLOOKUP(C187,Indicadores!B:N,13,FALSE),0%)</f>
        <v>1.1219718905779672</v>
      </c>
      <c r="S187" s="5" t="str">
        <f t="shared" si="63"/>
        <v>Cumple</v>
      </c>
      <c r="T187" s="5">
        <f t="shared" si="49"/>
        <v>50000</v>
      </c>
      <c r="U187" s="5">
        <f t="shared" si="50"/>
        <v>50000</v>
      </c>
      <c r="V187" s="4">
        <f>+VLOOKUP(C187,Indicadores!B:S,18,FALSE)</f>
        <v>1</v>
      </c>
      <c r="W187" s="50" t="str">
        <f t="shared" si="40"/>
        <v>Cumple</v>
      </c>
      <c r="X187" s="2">
        <f t="shared" si="51"/>
        <v>50000</v>
      </c>
      <c r="Y187" s="5" t="str">
        <f t="shared" si="52"/>
        <v>SI</v>
      </c>
      <c r="Z187" s="5">
        <f t="shared" si="53"/>
        <v>190000</v>
      </c>
      <c r="AA187" s="1"/>
    </row>
    <row r="188" spans="2:27" x14ac:dyDescent="0.25">
      <c r="B188" s="1" t="s">
        <v>215</v>
      </c>
      <c r="C188" s="1" t="s">
        <v>192</v>
      </c>
      <c r="D188" s="1" t="s">
        <v>307</v>
      </c>
      <c r="E188" s="1" t="s">
        <v>223</v>
      </c>
      <c r="F188" s="1" t="s">
        <v>273</v>
      </c>
      <c r="G188" s="2">
        <f t="shared" si="61"/>
        <v>250000</v>
      </c>
      <c r="H188" s="4">
        <f>+VLOOKUP(C188,Indicadores!B:C,2,FALSE)</f>
        <v>1</v>
      </c>
      <c r="I188" s="1" t="str">
        <f t="shared" si="42"/>
        <v>Cumple</v>
      </c>
      <c r="J188" s="4">
        <f>+VLOOKUP(C188,Indicadores!B:F,5,FALSE)</f>
        <v>1</v>
      </c>
      <c r="K188" s="1" t="str">
        <f t="shared" si="43"/>
        <v>Cumple</v>
      </c>
      <c r="L188" s="77">
        <f t="shared" si="44"/>
        <v>1</v>
      </c>
      <c r="M188" s="11">
        <f t="shared" si="45"/>
        <v>150000</v>
      </c>
      <c r="N188" s="4">
        <f>+VLOOKUP(C188,Indicadores!B:M,12,FALSE)</f>
        <v>0.97777777777777786</v>
      </c>
      <c r="O188" s="1" t="str">
        <f t="shared" si="46"/>
        <v>Cumple</v>
      </c>
      <c r="P188" s="5">
        <f t="shared" si="47"/>
        <v>150000</v>
      </c>
      <c r="Q188" s="5">
        <f t="shared" si="48"/>
        <v>50000</v>
      </c>
      <c r="R188" s="84">
        <f>+IFERROR(VLOOKUP(C188,Indicadores!B:N,13,FALSE),0%)</f>
        <v>1.0145524564071531</v>
      </c>
      <c r="S188" s="5" t="str">
        <f t="shared" si="63"/>
        <v>Cumple</v>
      </c>
      <c r="T188" s="5">
        <f t="shared" si="49"/>
        <v>50000</v>
      </c>
      <c r="U188" s="5">
        <f t="shared" si="50"/>
        <v>50000</v>
      </c>
      <c r="V188" s="4">
        <f>+VLOOKUP(C188,Indicadores!B:S,18,FALSE)</f>
        <v>0.5</v>
      </c>
      <c r="W188" s="50" t="str">
        <f t="shared" si="40"/>
        <v>No Cumple</v>
      </c>
      <c r="X188" s="2">
        <f t="shared" si="51"/>
        <v>0</v>
      </c>
      <c r="Y188" s="5" t="str">
        <f t="shared" si="52"/>
        <v>SI</v>
      </c>
      <c r="Z188" s="5">
        <f t="shared" si="53"/>
        <v>200000</v>
      </c>
      <c r="AA188" s="1"/>
    </row>
    <row r="189" spans="2:27" x14ac:dyDescent="0.25">
      <c r="B189" s="1" t="s">
        <v>215</v>
      </c>
      <c r="C189" s="1" t="s">
        <v>193</v>
      </c>
      <c r="D189" s="1" t="s">
        <v>307</v>
      </c>
      <c r="E189" s="1" t="s">
        <v>223</v>
      </c>
      <c r="F189" s="1" t="s">
        <v>273</v>
      </c>
      <c r="G189" s="2">
        <f t="shared" si="61"/>
        <v>250000</v>
      </c>
      <c r="H189" s="4">
        <f>+VLOOKUP(C189,Indicadores!B:C,2,FALSE)</f>
        <v>1</v>
      </c>
      <c r="I189" s="1" t="str">
        <f t="shared" si="42"/>
        <v>Cumple</v>
      </c>
      <c r="J189" s="4">
        <f>+VLOOKUP(C189,Indicadores!B:F,5,FALSE)</f>
        <v>1</v>
      </c>
      <c r="K189" s="1" t="str">
        <f t="shared" si="43"/>
        <v>Cumple</v>
      </c>
      <c r="L189" s="77">
        <f t="shared" si="44"/>
        <v>1</v>
      </c>
      <c r="M189" s="11">
        <f t="shared" si="45"/>
        <v>150000</v>
      </c>
      <c r="N189" s="4">
        <f>+VLOOKUP(C189,Indicadores!B:M,12,FALSE)</f>
        <v>0.83333333333333337</v>
      </c>
      <c r="O189" s="1" t="str">
        <f t="shared" si="46"/>
        <v>Cumple</v>
      </c>
      <c r="P189" s="5">
        <f t="shared" si="47"/>
        <v>150000</v>
      </c>
      <c r="Q189" s="5">
        <f t="shared" si="48"/>
        <v>50000</v>
      </c>
      <c r="R189" s="84">
        <f>+IFERROR(VLOOKUP(C189,Indicadores!B:N,13,FALSE),0%)</f>
        <v>0.97536667765342522</v>
      </c>
      <c r="S189" s="5" t="str">
        <f t="shared" si="63"/>
        <v>Cumple</v>
      </c>
      <c r="T189" s="5">
        <f>IF(R189=80%,Q189*70%,IF(AND(R189&gt;=81%,R189&lt;=90%),Q189*80%,IF(AND(R189&gt;=91%,R189&lt;=95%),Q189*90%,IF(R189=96%,Q189*96%,IF(R189&gt;=97%,Q189*97%,IF(R189&gt;=98%,Q189*98%,IF(R189=99%,Q189*99%,IF(R189&gt;=100%,Q189,0))))))))</f>
        <v>48500</v>
      </c>
      <c r="U189" s="5">
        <f t="shared" si="50"/>
        <v>50000</v>
      </c>
      <c r="V189" s="4">
        <f>+VLOOKUP(C189,Indicadores!B:S,18,FALSE)</f>
        <v>1</v>
      </c>
      <c r="W189" s="50" t="str">
        <f t="shared" si="40"/>
        <v>Cumple</v>
      </c>
      <c r="X189" s="2">
        <f t="shared" si="51"/>
        <v>50000</v>
      </c>
      <c r="Y189" s="5" t="str">
        <f t="shared" si="52"/>
        <v>SI</v>
      </c>
      <c r="Z189" s="5">
        <f t="shared" si="53"/>
        <v>248500</v>
      </c>
      <c r="AA189" s="1"/>
    </row>
    <row r="190" spans="2:27" x14ac:dyDescent="0.25">
      <c r="B190" s="1" t="s">
        <v>215</v>
      </c>
      <c r="C190" s="1" t="s">
        <v>194</v>
      </c>
      <c r="D190" s="1" t="s">
        <v>305</v>
      </c>
      <c r="E190" s="1" t="s">
        <v>223</v>
      </c>
      <c r="F190" s="1" t="s">
        <v>274</v>
      </c>
      <c r="G190" s="2">
        <f t="shared" si="61"/>
        <v>250000</v>
      </c>
      <c r="H190" s="4">
        <f>+VLOOKUP(C190,Indicadores!B:C,2,FALSE)</f>
        <v>1</v>
      </c>
      <c r="I190" s="1" t="str">
        <f t="shared" si="42"/>
        <v>Cumple</v>
      </c>
      <c r="J190" s="4">
        <f>+VLOOKUP(C190,Indicadores!B:F,5,FALSE)</f>
        <v>1</v>
      </c>
      <c r="K190" s="1" t="str">
        <f t="shared" si="43"/>
        <v>Cumple</v>
      </c>
      <c r="L190" s="77">
        <f t="shared" si="44"/>
        <v>1</v>
      </c>
      <c r="M190" s="11">
        <f t="shared" si="45"/>
        <v>150000</v>
      </c>
      <c r="N190" s="4">
        <f>+VLOOKUP(C190,Indicadores!B:M,12,FALSE)</f>
        <v>1</v>
      </c>
      <c r="O190" s="1" t="str">
        <f t="shared" si="46"/>
        <v>Cumple</v>
      </c>
      <c r="P190" s="5">
        <f t="shared" si="47"/>
        <v>150000</v>
      </c>
      <c r="Q190" s="5">
        <f t="shared" si="48"/>
        <v>50000</v>
      </c>
      <c r="R190" s="84">
        <f>+IFERROR(VLOOKUP(C190,Indicadores!B:N,13,FALSE),0%)</f>
        <v>0.8248990922953755</v>
      </c>
      <c r="S190" s="5" t="str">
        <f t="shared" si="63"/>
        <v>Cumple</v>
      </c>
      <c r="T190" s="5">
        <f t="shared" si="49"/>
        <v>40000</v>
      </c>
      <c r="U190" s="5">
        <f t="shared" si="50"/>
        <v>50000</v>
      </c>
      <c r="V190" s="4">
        <f>+VLOOKUP(C190,Indicadores!B:S,18,FALSE)</f>
        <v>1</v>
      </c>
      <c r="W190" s="50" t="str">
        <f t="shared" si="40"/>
        <v>Cumple</v>
      </c>
      <c r="X190" s="2">
        <f t="shared" si="51"/>
        <v>50000</v>
      </c>
      <c r="Y190" s="5" t="str">
        <f t="shared" si="52"/>
        <v>SI</v>
      </c>
      <c r="Z190" s="5">
        <f t="shared" si="53"/>
        <v>240000</v>
      </c>
      <c r="AA190" s="1"/>
    </row>
    <row r="191" spans="2:27" x14ac:dyDescent="0.25">
      <c r="B191" s="1" t="s">
        <v>215</v>
      </c>
      <c r="C191" s="1" t="s">
        <v>195</v>
      </c>
      <c r="D191" s="1" t="s">
        <v>307</v>
      </c>
      <c r="E191" s="1" t="s">
        <v>223</v>
      </c>
      <c r="F191" s="1" t="s">
        <v>273</v>
      </c>
      <c r="G191" s="2">
        <f t="shared" si="61"/>
        <v>250000</v>
      </c>
      <c r="H191" s="4">
        <f>+VLOOKUP(C191,Indicadores!B:C,2,FALSE)</f>
        <v>1</v>
      </c>
      <c r="I191" s="1" t="str">
        <f t="shared" si="42"/>
        <v>Cumple</v>
      </c>
      <c r="J191" s="4">
        <f>+VLOOKUP(C191,Indicadores!B:F,5,FALSE)</f>
        <v>1</v>
      </c>
      <c r="K191" s="1" t="str">
        <f t="shared" si="43"/>
        <v>Cumple</v>
      </c>
      <c r="L191" s="77">
        <f t="shared" si="44"/>
        <v>1</v>
      </c>
      <c r="M191" s="11">
        <f t="shared" si="45"/>
        <v>150000</v>
      </c>
      <c r="N191" s="4">
        <f>+VLOOKUP(C191,Indicadores!B:M,12,FALSE)</f>
        <v>0.83333333333333337</v>
      </c>
      <c r="O191" s="1" t="str">
        <f t="shared" si="46"/>
        <v>Cumple</v>
      </c>
      <c r="P191" s="5">
        <f t="shared" si="47"/>
        <v>150000</v>
      </c>
      <c r="Q191" s="5">
        <f t="shared" si="48"/>
        <v>50000</v>
      </c>
      <c r="R191" s="84">
        <f>+IFERROR(VLOOKUP(C191,Indicadores!B:N,13,FALSE),0%)</f>
        <v>1.002692606501346</v>
      </c>
      <c r="S191" s="5" t="str">
        <f t="shared" si="63"/>
        <v>Cumple</v>
      </c>
      <c r="T191" s="5">
        <f t="shared" si="49"/>
        <v>50000</v>
      </c>
      <c r="U191" s="5">
        <f t="shared" si="50"/>
        <v>50000</v>
      </c>
      <c r="V191" s="4">
        <f>+VLOOKUP(C191,Indicadores!B:S,18,FALSE)</f>
        <v>1</v>
      </c>
      <c r="W191" s="50" t="str">
        <f t="shared" si="40"/>
        <v>Cumple</v>
      </c>
      <c r="X191" s="2">
        <f t="shared" si="51"/>
        <v>50000</v>
      </c>
      <c r="Y191" s="5" t="str">
        <f t="shared" si="52"/>
        <v>SI</v>
      </c>
      <c r="Z191" s="5">
        <f t="shared" si="53"/>
        <v>250000</v>
      </c>
      <c r="AA191" s="1"/>
    </row>
    <row r="192" spans="2:27" x14ac:dyDescent="0.25">
      <c r="B192" s="1" t="s">
        <v>215</v>
      </c>
      <c r="C192" s="1" t="s">
        <v>196</v>
      </c>
      <c r="D192" s="1" t="s">
        <v>307</v>
      </c>
      <c r="E192" s="1" t="s">
        <v>223</v>
      </c>
      <c r="F192" s="1" t="s">
        <v>273</v>
      </c>
      <c r="G192" s="2">
        <f t="shared" si="61"/>
        <v>250000</v>
      </c>
      <c r="H192" s="4">
        <f>+VLOOKUP(C192,Indicadores!B:C,2,FALSE)</f>
        <v>1</v>
      </c>
      <c r="I192" s="1" t="str">
        <f t="shared" si="42"/>
        <v>Cumple</v>
      </c>
      <c r="J192" s="4">
        <f>+VLOOKUP(C192,Indicadores!B:F,5,FALSE)</f>
        <v>1</v>
      </c>
      <c r="K192" s="1" t="str">
        <f t="shared" si="43"/>
        <v>Cumple</v>
      </c>
      <c r="L192" s="77">
        <f t="shared" si="44"/>
        <v>1</v>
      </c>
      <c r="M192" s="11">
        <f t="shared" si="45"/>
        <v>150000</v>
      </c>
      <c r="N192" s="4">
        <f>+VLOOKUP(C192,Indicadores!B:M,12,FALSE)</f>
        <v>0.96296296296296291</v>
      </c>
      <c r="O192" s="1" t="str">
        <f t="shared" si="46"/>
        <v>Cumple</v>
      </c>
      <c r="P192" s="5">
        <f t="shared" si="47"/>
        <v>150000</v>
      </c>
      <c r="Q192" s="5">
        <f t="shared" si="48"/>
        <v>50000</v>
      </c>
      <c r="R192" s="84">
        <f>+IFERROR(VLOOKUP(C192,Indicadores!B:N,13,FALSE),0%)</f>
        <v>0.93530017765279616</v>
      </c>
      <c r="S192" s="5" t="str">
        <f t="shared" si="63"/>
        <v>Cumple</v>
      </c>
      <c r="T192" s="5">
        <f t="shared" si="49"/>
        <v>45000</v>
      </c>
      <c r="U192" s="5">
        <f t="shared" si="50"/>
        <v>50000</v>
      </c>
      <c r="V192" s="4">
        <f>+VLOOKUP(C192,Indicadores!B:S,18,FALSE)</f>
        <v>0.5</v>
      </c>
      <c r="W192" s="50" t="str">
        <f t="shared" si="40"/>
        <v>No Cumple</v>
      </c>
      <c r="X192" s="2">
        <f t="shared" si="51"/>
        <v>0</v>
      </c>
      <c r="Y192" s="5" t="str">
        <f t="shared" si="52"/>
        <v>SI</v>
      </c>
      <c r="Z192" s="5">
        <f t="shared" si="53"/>
        <v>195000</v>
      </c>
      <c r="AA192" s="1"/>
    </row>
    <row r="193" spans="2:27" x14ac:dyDescent="0.25">
      <c r="B193" s="1" t="s">
        <v>215</v>
      </c>
      <c r="C193" s="1" t="s">
        <v>197</v>
      </c>
      <c r="D193" s="1" t="s">
        <v>307</v>
      </c>
      <c r="E193" s="1" t="s">
        <v>223</v>
      </c>
      <c r="F193" s="1" t="s">
        <v>273</v>
      </c>
      <c r="G193" s="2">
        <f t="shared" si="61"/>
        <v>250000</v>
      </c>
      <c r="H193" s="4">
        <f>+VLOOKUP(C193,Indicadores!B:C,2,FALSE)</f>
        <v>1</v>
      </c>
      <c r="I193" s="1" t="str">
        <f t="shared" si="42"/>
        <v>Cumple</v>
      </c>
      <c r="J193" s="4">
        <f>+VLOOKUP(C193,Indicadores!B:F,5,FALSE)</f>
        <v>1</v>
      </c>
      <c r="K193" s="1" t="str">
        <f t="shared" si="43"/>
        <v>Cumple</v>
      </c>
      <c r="L193" s="77">
        <f t="shared" si="44"/>
        <v>1</v>
      </c>
      <c r="M193" s="11">
        <f t="shared" si="45"/>
        <v>150000</v>
      </c>
      <c r="N193" s="4">
        <f>+VLOOKUP(C193,Indicadores!B:M,12,FALSE)</f>
        <v>1</v>
      </c>
      <c r="O193" s="1" t="str">
        <f t="shared" si="46"/>
        <v>Cumple</v>
      </c>
      <c r="P193" s="5">
        <f t="shared" si="47"/>
        <v>150000</v>
      </c>
      <c r="Q193" s="5">
        <f t="shared" si="48"/>
        <v>50000</v>
      </c>
      <c r="R193" s="84">
        <f>+IFERROR(VLOOKUP(C193,Indicadores!B:N,13,FALSE),0%)</f>
        <v>1.026918827529038</v>
      </c>
      <c r="S193" s="5" t="str">
        <f t="shared" si="63"/>
        <v>Cumple</v>
      </c>
      <c r="T193" s="5">
        <f t="shared" si="49"/>
        <v>50000</v>
      </c>
      <c r="U193" s="5">
        <f t="shared" si="50"/>
        <v>50000</v>
      </c>
      <c r="V193" s="4">
        <f>+VLOOKUP(C193,Indicadores!B:S,18,FALSE)</f>
        <v>1</v>
      </c>
      <c r="W193" s="50" t="str">
        <f t="shared" si="40"/>
        <v>Cumple</v>
      </c>
      <c r="X193" s="2">
        <f t="shared" si="51"/>
        <v>50000</v>
      </c>
      <c r="Y193" s="5" t="str">
        <f t="shared" si="52"/>
        <v>SI</v>
      </c>
      <c r="Z193" s="5">
        <f t="shared" si="53"/>
        <v>250000</v>
      </c>
      <c r="AA193" s="1"/>
    </row>
    <row r="194" spans="2:27" x14ac:dyDescent="0.25">
      <c r="H194" s="49"/>
      <c r="J194" s="49"/>
      <c r="N194" s="49"/>
    </row>
    <row r="205" spans="2:27" x14ac:dyDescent="0.25">
      <c r="M205" s="107"/>
      <c r="N205" s="108"/>
    </row>
    <row r="206" spans="2:27" x14ac:dyDescent="0.25">
      <c r="M206" s="107"/>
    </row>
  </sheetData>
  <mergeCells count="5">
    <mergeCell ref="H4:I4"/>
    <mergeCell ref="J4:K4"/>
    <mergeCell ref="M4:P4"/>
    <mergeCell ref="Q4:T4"/>
    <mergeCell ref="U4:X4"/>
  </mergeCells>
  <conditionalFormatting sqref="C5:D193">
    <cfRule type="duplicateValues" dxfId="5" priority="1"/>
  </conditionalFormatting>
  <conditionalFormatting sqref="I6:I193">
    <cfRule type="containsText" dxfId="4" priority="4" operator="containsText" text="No Cumple">
      <formula>NOT(ISERROR(SEARCH("No Cumple",I6)))</formula>
    </cfRule>
  </conditionalFormatting>
  <conditionalFormatting sqref="K6:L193">
    <cfRule type="containsText" dxfId="3" priority="3" operator="containsText" text="No Cumple">
      <formula>NOT(ISERROR(SEARCH("No Cumple",K6)))</formula>
    </cfRule>
  </conditionalFormatting>
  <conditionalFormatting sqref="O6:O193">
    <cfRule type="containsText" dxfId="2" priority="2" operator="containsText" text="No Cumple">
      <formula>NOT(ISERROR(SEARCH("No Cumple",O6)))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B916-1329-4623-8FE2-F445444B0A42}">
  <dimension ref="A1:S197"/>
  <sheetViews>
    <sheetView zoomScale="85" zoomScaleNormal="85" workbookViewId="0">
      <pane xSplit="2" ySplit="1" topLeftCell="L2" activePane="bottomRight" state="frozen"/>
      <selection activeCell="B66" sqref="B66"/>
      <selection pane="topRight" activeCell="B66" sqref="B66"/>
      <selection pane="bottomLeft" activeCell="B66" sqref="B66"/>
      <selection pane="bottomRight" activeCell="O14" sqref="O14"/>
    </sheetView>
  </sheetViews>
  <sheetFormatPr baseColWidth="10" defaultRowHeight="15" x14ac:dyDescent="0.25"/>
  <cols>
    <col min="1" max="1" width="46.5703125" bestFit="1" customWidth="1"/>
    <col min="2" max="2" width="24.140625" bestFit="1" customWidth="1"/>
    <col min="3" max="3" width="12.42578125" customWidth="1"/>
    <col min="4" max="4" width="17.140625" customWidth="1"/>
    <col min="5" max="5" width="12.5703125" customWidth="1"/>
    <col min="6" max="6" width="14.85546875" customWidth="1"/>
    <col min="7" max="7" width="16.42578125" customWidth="1"/>
    <col min="8" max="8" width="10.5703125" customWidth="1"/>
    <col min="9" max="9" width="13.42578125" customWidth="1"/>
    <col min="10" max="10" width="14.140625" customWidth="1"/>
    <col min="11" max="11" width="19.5703125" bestFit="1" customWidth="1"/>
    <col min="12" max="12" width="16.140625" bestFit="1" customWidth="1"/>
    <col min="13" max="13" width="15.85546875" bestFit="1" customWidth="1"/>
    <col min="14" max="14" width="10.85546875" style="43"/>
    <col min="15" max="15" width="18.5703125" bestFit="1" customWidth="1"/>
    <col min="16" max="16" width="15.28515625" hidden="1" customWidth="1"/>
    <col min="17" max="17" width="16.85546875" customWidth="1"/>
    <col min="18" max="18" width="13.85546875" bestFit="1" customWidth="1"/>
  </cols>
  <sheetData>
    <row r="1" spans="1:19" s="57" customFormat="1" ht="30" x14ac:dyDescent="0.25">
      <c r="A1" s="88" t="s">
        <v>200</v>
      </c>
      <c r="B1" s="88" t="s">
        <v>5</v>
      </c>
      <c r="C1" s="89" t="s">
        <v>201</v>
      </c>
      <c r="D1" s="89" t="s">
        <v>202</v>
      </c>
      <c r="E1" s="89" t="s">
        <v>203</v>
      </c>
      <c r="F1" s="89" t="s">
        <v>204</v>
      </c>
      <c r="G1" s="90" t="s">
        <v>230</v>
      </c>
      <c r="H1" s="90" t="s">
        <v>231</v>
      </c>
      <c r="I1" s="91" t="s">
        <v>232</v>
      </c>
      <c r="J1" s="91" t="s">
        <v>233</v>
      </c>
      <c r="K1" s="91" t="s">
        <v>250</v>
      </c>
      <c r="L1" s="90" t="s">
        <v>234</v>
      </c>
      <c r="M1" s="92" t="s">
        <v>227</v>
      </c>
      <c r="N1" s="92" t="s">
        <v>241</v>
      </c>
      <c r="O1" s="92" t="s">
        <v>245</v>
      </c>
      <c r="P1" s="93" t="s">
        <v>247</v>
      </c>
      <c r="Q1" s="93" t="s">
        <v>327</v>
      </c>
      <c r="R1" s="92" t="s">
        <v>246</v>
      </c>
      <c r="S1" s="92" t="s">
        <v>248</v>
      </c>
    </row>
    <row r="2" spans="1:19" ht="16.5" x14ac:dyDescent="0.3">
      <c r="A2" s="23" t="str">
        <f>+VLOOKUP(B2,'INDICADORES CAPTURA'!C:E,3,FALSE)</f>
        <v xml:space="preserve">JUAN PABLO GIL ALMANZA    </v>
      </c>
      <c r="B2" s="24" t="s">
        <v>36</v>
      </c>
      <c r="C2" s="41">
        <f>+AVERAGE(G2,H2,L2)</f>
        <v>1</v>
      </c>
      <c r="D2" s="6">
        <v>5</v>
      </c>
      <c r="E2" s="6">
        <v>5</v>
      </c>
      <c r="F2" s="25">
        <f>+E2/D2</f>
        <v>1</v>
      </c>
      <c r="G2" s="76">
        <v>1</v>
      </c>
      <c r="H2" s="76">
        <v>1</v>
      </c>
      <c r="I2" s="76">
        <v>1</v>
      </c>
      <c r="J2" s="59">
        <v>1</v>
      </c>
      <c r="K2" s="58">
        <v>1</v>
      </c>
      <c r="L2" s="76">
        <v>1</v>
      </c>
      <c r="M2" s="58">
        <f>+AVERAGE(I2,J2,K2)</f>
        <v>1</v>
      </c>
      <c r="N2" s="85">
        <v>1.0741337092686345</v>
      </c>
      <c r="O2" s="58">
        <f>+G2</f>
        <v>1</v>
      </c>
      <c r="P2">
        <v>0</v>
      </c>
      <c r="Q2" s="97">
        <v>1.6222669267630056E-2</v>
      </c>
      <c r="R2" s="97">
        <f>+IF(Q2&lt;3%,100%,0)</f>
        <v>1</v>
      </c>
      <c r="S2" s="58">
        <f>+AVERAGE(O2,R2)</f>
        <v>1</v>
      </c>
    </row>
    <row r="3" spans="1:19" ht="16.5" x14ac:dyDescent="0.3">
      <c r="A3" s="23" t="str">
        <f>+VLOOKUP(B3,'INDICADORES CAPTURA'!C:E,3,FALSE)</f>
        <v>GONZALEZ BARRANTES EDWIN JESSID</v>
      </c>
      <c r="B3" s="24" t="s">
        <v>92</v>
      </c>
      <c r="C3" s="41">
        <f t="shared" ref="C3:C66" si="0">+AVERAGE(G3,H3,L3)</f>
        <v>1</v>
      </c>
      <c r="D3" s="6">
        <v>1</v>
      </c>
      <c r="E3" s="6">
        <v>1</v>
      </c>
      <c r="F3" s="25">
        <f t="shared" ref="F3:F66" si="1">+E3/D3</f>
        <v>1</v>
      </c>
      <c r="G3" s="76">
        <v>1</v>
      </c>
      <c r="H3" s="76">
        <v>1</v>
      </c>
      <c r="I3" s="76">
        <v>1</v>
      </c>
      <c r="J3" s="59">
        <v>1</v>
      </c>
      <c r="K3" s="58">
        <v>1</v>
      </c>
      <c r="L3" s="76">
        <v>1</v>
      </c>
      <c r="M3" s="58">
        <f t="shared" ref="M3:M66" si="2">+AVERAGE(I3,J3,K3)</f>
        <v>1</v>
      </c>
      <c r="N3" s="85">
        <v>0.90429252226939438</v>
      </c>
      <c r="O3" s="58">
        <f t="shared" ref="O3:O66" si="3">+G3</f>
        <v>1</v>
      </c>
      <c r="P3">
        <v>0</v>
      </c>
      <c r="Q3" s="97">
        <v>3.3197086220276735E-2</v>
      </c>
      <c r="R3" s="97">
        <f t="shared" ref="R3:R66" si="4">+IF(Q3&lt;3%,100%,0)</f>
        <v>0</v>
      </c>
      <c r="S3" s="58">
        <f t="shared" ref="S3:S65" si="5">+AVERAGE(O3,R3)</f>
        <v>0.5</v>
      </c>
    </row>
    <row r="4" spans="1:19" ht="16.5" x14ac:dyDescent="0.3">
      <c r="A4" s="23" t="str">
        <f>+VLOOKUP(B4,'INDICADORES CAPTURA'!C:E,3,FALSE)</f>
        <v xml:space="preserve">JUAN PABLO GIL ALMANZA    </v>
      </c>
      <c r="B4" s="24" t="s">
        <v>38</v>
      </c>
      <c r="C4" s="41">
        <f t="shared" si="0"/>
        <v>1</v>
      </c>
      <c r="D4" s="6">
        <v>5</v>
      </c>
      <c r="E4" s="6">
        <v>5</v>
      </c>
      <c r="F4" s="25">
        <f t="shared" si="1"/>
        <v>1</v>
      </c>
      <c r="G4" s="76">
        <v>1</v>
      </c>
      <c r="H4" s="76">
        <v>1</v>
      </c>
      <c r="I4" s="76">
        <v>1</v>
      </c>
      <c r="J4" s="59">
        <v>1</v>
      </c>
      <c r="K4" s="58">
        <v>1</v>
      </c>
      <c r="L4" s="76">
        <v>1</v>
      </c>
      <c r="M4" s="58">
        <f t="shared" si="2"/>
        <v>1</v>
      </c>
      <c r="N4" s="85">
        <v>0.97915641065613335</v>
      </c>
      <c r="O4" s="58">
        <f t="shared" si="3"/>
        <v>1</v>
      </c>
      <c r="P4">
        <v>0</v>
      </c>
      <c r="Q4" s="97">
        <v>8.967862142198026E-3</v>
      </c>
      <c r="R4" s="97">
        <f t="shared" si="4"/>
        <v>1</v>
      </c>
      <c r="S4" s="58">
        <f t="shared" si="5"/>
        <v>1</v>
      </c>
    </row>
    <row r="5" spans="1:19" ht="16.5" x14ac:dyDescent="0.3">
      <c r="A5" s="23" t="str">
        <f>+VLOOKUP(B5,'INDICADORES CAPTURA'!C:E,3,FALSE)</f>
        <v>MELISA MARTINEZ</v>
      </c>
      <c r="B5" s="24" t="s">
        <v>48</v>
      </c>
      <c r="C5" s="41">
        <f t="shared" si="0"/>
        <v>1</v>
      </c>
      <c r="D5" s="6">
        <v>2</v>
      </c>
      <c r="E5" s="6">
        <v>2</v>
      </c>
      <c r="F5" s="25">
        <f t="shared" si="1"/>
        <v>1</v>
      </c>
      <c r="G5" s="76">
        <v>1</v>
      </c>
      <c r="H5" s="76">
        <v>1</v>
      </c>
      <c r="I5" s="76">
        <v>0.5</v>
      </c>
      <c r="J5" s="59">
        <v>1</v>
      </c>
      <c r="K5" s="58">
        <v>1</v>
      </c>
      <c r="L5" s="76">
        <v>1</v>
      </c>
      <c r="M5" s="58">
        <f t="shared" si="2"/>
        <v>0.83333333333333337</v>
      </c>
      <c r="N5" s="85">
        <v>0.91248681742671056</v>
      </c>
      <c r="O5" s="58">
        <f t="shared" si="3"/>
        <v>1</v>
      </c>
      <c r="P5">
        <v>0</v>
      </c>
      <c r="Q5" s="97">
        <v>1.9765242204531665E-3</v>
      </c>
      <c r="R5" s="97">
        <f t="shared" si="4"/>
        <v>1</v>
      </c>
      <c r="S5" s="58">
        <f t="shared" si="5"/>
        <v>1</v>
      </c>
    </row>
    <row r="6" spans="1:19" ht="16.5" x14ac:dyDescent="0.3">
      <c r="A6" s="23" t="str">
        <f>+VLOOKUP(B6,'INDICADORES CAPTURA'!C:E,3,FALSE)</f>
        <v xml:space="preserve">JUAN PABLO GIL ALMANZA    </v>
      </c>
      <c r="B6" s="24" t="s">
        <v>28</v>
      </c>
      <c r="C6" s="41">
        <f t="shared" si="0"/>
        <v>1</v>
      </c>
      <c r="D6" s="6">
        <v>16</v>
      </c>
      <c r="E6" s="6">
        <v>16</v>
      </c>
      <c r="F6" s="25">
        <f t="shared" si="1"/>
        <v>1</v>
      </c>
      <c r="G6" s="76">
        <v>1</v>
      </c>
      <c r="H6" s="76">
        <v>1</v>
      </c>
      <c r="I6" s="76">
        <v>0.9375</v>
      </c>
      <c r="J6" s="59">
        <v>1</v>
      </c>
      <c r="K6" s="58">
        <v>1</v>
      </c>
      <c r="L6" s="76">
        <v>1</v>
      </c>
      <c r="M6" s="58">
        <f t="shared" si="2"/>
        <v>0.97916666666666663</v>
      </c>
      <c r="N6" s="85">
        <v>0.93665487234488465</v>
      </c>
      <c r="O6" s="58">
        <f t="shared" si="3"/>
        <v>1</v>
      </c>
      <c r="P6">
        <v>0</v>
      </c>
      <c r="Q6" s="97">
        <v>8.6442052965234415E-3</v>
      </c>
      <c r="R6" s="97">
        <f t="shared" si="4"/>
        <v>1</v>
      </c>
      <c r="S6" s="58">
        <f>+O6</f>
        <v>1</v>
      </c>
    </row>
    <row r="7" spans="1:19" ht="16.5" x14ac:dyDescent="0.3">
      <c r="A7" s="23" t="str">
        <f>+VLOOKUP(B7,'INDICADORES CAPTURA'!C:E,3,FALSE)</f>
        <v xml:space="preserve">JUAN PABLO GIL ALMANZA    </v>
      </c>
      <c r="B7" s="24" t="s">
        <v>35</v>
      </c>
      <c r="C7" s="41">
        <f t="shared" si="0"/>
        <v>1</v>
      </c>
      <c r="D7" s="6">
        <v>6</v>
      </c>
      <c r="E7" s="6">
        <v>6</v>
      </c>
      <c r="F7" s="25">
        <f t="shared" si="1"/>
        <v>1</v>
      </c>
      <c r="G7" s="76">
        <v>1</v>
      </c>
      <c r="H7" s="76">
        <v>1</v>
      </c>
      <c r="I7" s="76">
        <v>1</v>
      </c>
      <c r="J7" s="59">
        <v>1</v>
      </c>
      <c r="K7" s="58">
        <v>1</v>
      </c>
      <c r="L7" s="76">
        <v>1</v>
      </c>
      <c r="M7" s="58">
        <f t="shared" si="2"/>
        <v>1</v>
      </c>
      <c r="N7" s="85">
        <v>0.92267606584674922</v>
      </c>
      <c r="O7" s="58">
        <f t="shared" si="3"/>
        <v>1</v>
      </c>
      <c r="P7">
        <v>0</v>
      </c>
      <c r="Q7" s="97">
        <v>1.6839255169553112E-2</v>
      </c>
      <c r="R7" s="97">
        <f t="shared" si="4"/>
        <v>1</v>
      </c>
      <c r="S7" s="58">
        <f t="shared" si="5"/>
        <v>1</v>
      </c>
    </row>
    <row r="8" spans="1:19" ht="16.5" x14ac:dyDescent="0.3">
      <c r="A8" s="23" t="str">
        <f>+VLOOKUP(B8,'INDICADORES CAPTURA'!C:E,3,FALSE)</f>
        <v>MEJÍA BLANDÓN ASTRID KARINA</v>
      </c>
      <c r="B8" s="24" t="s">
        <v>63</v>
      </c>
      <c r="C8" s="41">
        <f t="shared" si="0"/>
        <v>1</v>
      </c>
      <c r="D8" s="6">
        <v>9</v>
      </c>
      <c r="E8" s="6">
        <v>9</v>
      </c>
      <c r="F8" s="25">
        <f t="shared" si="1"/>
        <v>1</v>
      </c>
      <c r="G8" s="76">
        <v>1</v>
      </c>
      <c r="H8" s="76">
        <v>1</v>
      </c>
      <c r="I8" s="76">
        <v>0.33333333333333331</v>
      </c>
      <c r="J8" s="59">
        <v>1</v>
      </c>
      <c r="K8" s="58">
        <v>1</v>
      </c>
      <c r="L8" s="76">
        <v>1</v>
      </c>
      <c r="M8" s="58">
        <f t="shared" si="2"/>
        <v>0.77777777777777768</v>
      </c>
      <c r="N8" s="85">
        <v>1.0043916701909905</v>
      </c>
      <c r="O8" s="58">
        <f t="shared" si="3"/>
        <v>1</v>
      </c>
      <c r="P8">
        <v>0</v>
      </c>
      <c r="Q8" s="97">
        <v>3.3637568148178781E-2</v>
      </c>
      <c r="R8" s="97">
        <f t="shared" si="4"/>
        <v>0</v>
      </c>
      <c r="S8" s="58">
        <f>+O8</f>
        <v>1</v>
      </c>
    </row>
    <row r="9" spans="1:19" ht="16.5" x14ac:dyDescent="0.3">
      <c r="A9" s="23" t="str">
        <f>+VLOOKUP(B9,'INDICADORES CAPTURA'!C:E,3,FALSE)</f>
        <v xml:space="preserve">SUSANA SILVA MENDOZA      </v>
      </c>
      <c r="B9" s="24" t="s">
        <v>10</v>
      </c>
      <c r="C9" s="41">
        <f t="shared" si="0"/>
        <v>1</v>
      </c>
      <c r="D9" s="6">
        <v>9</v>
      </c>
      <c r="E9" s="6">
        <v>9</v>
      </c>
      <c r="F9" s="25">
        <f t="shared" si="1"/>
        <v>1</v>
      </c>
      <c r="G9" s="76">
        <v>1</v>
      </c>
      <c r="H9" s="76">
        <v>1</v>
      </c>
      <c r="I9" s="76">
        <v>1</v>
      </c>
      <c r="J9" s="59">
        <v>1</v>
      </c>
      <c r="K9" s="58">
        <v>1</v>
      </c>
      <c r="L9" s="76">
        <v>1</v>
      </c>
      <c r="M9" s="58">
        <f t="shared" si="2"/>
        <v>1</v>
      </c>
      <c r="N9" s="85">
        <v>1.0926435529677767</v>
      </c>
      <c r="O9" s="58">
        <f t="shared" si="3"/>
        <v>1</v>
      </c>
      <c r="P9">
        <v>0</v>
      </c>
      <c r="Q9" s="97">
        <v>2.316262256743527E-2</v>
      </c>
      <c r="R9" s="97">
        <f t="shared" si="4"/>
        <v>1</v>
      </c>
      <c r="S9" s="58">
        <f t="shared" si="5"/>
        <v>1</v>
      </c>
    </row>
    <row r="10" spans="1:19" ht="16.5" x14ac:dyDescent="0.3">
      <c r="A10" s="23" t="str">
        <f>+VLOOKUP(B10,'INDICADORES CAPTURA'!C:E,3,FALSE)</f>
        <v>GONZALEZ BARRANTES EDWIN JESSID</v>
      </c>
      <c r="B10" s="24" t="s">
        <v>96</v>
      </c>
      <c r="C10" s="41">
        <f t="shared" si="0"/>
        <v>1</v>
      </c>
      <c r="D10" s="6">
        <v>7</v>
      </c>
      <c r="E10" s="6">
        <v>7</v>
      </c>
      <c r="F10" s="25">
        <f t="shared" si="1"/>
        <v>1</v>
      </c>
      <c r="G10" s="76">
        <v>1</v>
      </c>
      <c r="H10" s="76">
        <v>1</v>
      </c>
      <c r="I10" s="76">
        <v>1</v>
      </c>
      <c r="J10" s="59">
        <v>1</v>
      </c>
      <c r="K10" s="58">
        <v>1</v>
      </c>
      <c r="L10" s="76">
        <v>1</v>
      </c>
      <c r="M10" s="58">
        <f t="shared" si="2"/>
        <v>1</v>
      </c>
      <c r="N10" s="85">
        <v>0.99862810975539085</v>
      </c>
      <c r="O10" s="58">
        <f t="shared" si="3"/>
        <v>1</v>
      </c>
      <c r="P10">
        <v>0</v>
      </c>
      <c r="Q10" s="97">
        <v>1.5531684511436765E-2</v>
      </c>
      <c r="R10" s="97">
        <f t="shared" si="4"/>
        <v>1</v>
      </c>
      <c r="S10" s="58">
        <f t="shared" si="5"/>
        <v>1</v>
      </c>
    </row>
    <row r="11" spans="1:19" ht="16.5" x14ac:dyDescent="0.3">
      <c r="A11" s="23" t="str">
        <f>+VLOOKUP(B11,'INDICADORES CAPTURA'!C:E,3,FALSE)</f>
        <v xml:space="preserve">JUAN PABLO GIL ALMANZA    </v>
      </c>
      <c r="B11" s="24" t="s">
        <v>34</v>
      </c>
      <c r="C11" s="41">
        <f t="shared" si="0"/>
        <v>1</v>
      </c>
      <c r="D11" s="6">
        <v>5</v>
      </c>
      <c r="E11" s="6">
        <v>5</v>
      </c>
      <c r="F11" s="25">
        <f t="shared" si="1"/>
        <v>1</v>
      </c>
      <c r="G11" s="76">
        <v>1</v>
      </c>
      <c r="H11" s="76">
        <v>1</v>
      </c>
      <c r="I11" s="76">
        <v>1</v>
      </c>
      <c r="J11" s="59">
        <v>1</v>
      </c>
      <c r="K11" s="58">
        <v>1</v>
      </c>
      <c r="L11" s="76">
        <v>1</v>
      </c>
      <c r="M11" s="58">
        <f t="shared" si="2"/>
        <v>1</v>
      </c>
      <c r="N11" s="85">
        <v>0.63770592262535175</v>
      </c>
      <c r="O11" s="58">
        <f t="shared" si="3"/>
        <v>1</v>
      </c>
      <c r="P11">
        <v>0</v>
      </c>
      <c r="Q11" s="97">
        <v>3.1977814882862506E-2</v>
      </c>
      <c r="R11" s="97">
        <f t="shared" si="4"/>
        <v>0</v>
      </c>
      <c r="S11" s="58">
        <f t="shared" si="5"/>
        <v>0.5</v>
      </c>
    </row>
    <row r="12" spans="1:19" ht="16.5" x14ac:dyDescent="0.3">
      <c r="A12" s="23" t="str">
        <f>+VLOOKUP(B12,'INDICADORES CAPTURA'!C:E,3,FALSE)</f>
        <v xml:space="preserve">JUAN PABLO GIL ALMANZA    </v>
      </c>
      <c r="B12" s="24" t="s">
        <v>33</v>
      </c>
      <c r="C12" s="41">
        <f t="shared" si="0"/>
        <v>1</v>
      </c>
      <c r="D12" s="6">
        <v>10</v>
      </c>
      <c r="E12" s="6">
        <v>10</v>
      </c>
      <c r="F12" s="25">
        <f t="shared" si="1"/>
        <v>1</v>
      </c>
      <c r="G12" s="76">
        <v>1</v>
      </c>
      <c r="H12" s="76">
        <v>1</v>
      </c>
      <c r="I12" s="76">
        <v>1</v>
      </c>
      <c r="J12" s="59">
        <v>1</v>
      </c>
      <c r="K12" s="58">
        <v>1</v>
      </c>
      <c r="L12" s="76">
        <v>1</v>
      </c>
      <c r="M12" s="58">
        <f t="shared" si="2"/>
        <v>1</v>
      </c>
      <c r="N12" s="85">
        <v>0.98077536531127651</v>
      </c>
      <c r="O12" s="58">
        <f t="shared" si="3"/>
        <v>1</v>
      </c>
      <c r="P12">
        <v>0</v>
      </c>
      <c r="Q12" s="97">
        <v>1.2397447422095819E-2</v>
      </c>
      <c r="R12" s="97">
        <f t="shared" si="4"/>
        <v>1</v>
      </c>
      <c r="S12" s="58">
        <f t="shared" si="5"/>
        <v>1</v>
      </c>
    </row>
    <row r="13" spans="1:19" ht="16.5" x14ac:dyDescent="0.3">
      <c r="A13" s="23" t="str">
        <f>+VLOOKUP(B13,'INDICADORES CAPTURA'!C:E,3,FALSE)</f>
        <v>MARTINEZ VARGAS CHRISTAN RICARDO</v>
      </c>
      <c r="B13" s="24" t="s">
        <v>170</v>
      </c>
      <c r="C13" s="41">
        <f t="shared" si="0"/>
        <v>1</v>
      </c>
      <c r="D13" s="6">
        <v>9</v>
      </c>
      <c r="E13" s="6">
        <v>9</v>
      </c>
      <c r="F13" s="25">
        <f t="shared" si="1"/>
        <v>1</v>
      </c>
      <c r="G13" s="76">
        <v>1</v>
      </c>
      <c r="H13" s="76">
        <v>1</v>
      </c>
      <c r="I13" s="76">
        <v>1</v>
      </c>
      <c r="J13" s="59">
        <v>1</v>
      </c>
      <c r="K13" s="58">
        <v>0.61538461538461542</v>
      </c>
      <c r="L13" s="76">
        <v>1</v>
      </c>
      <c r="M13" s="58">
        <f t="shared" si="2"/>
        <v>0.87179487179487181</v>
      </c>
      <c r="N13" s="85">
        <v>1.0777235852229183</v>
      </c>
      <c r="O13" s="58">
        <f t="shared" si="3"/>
        <v>1</v>
      </c>
      <c r="P13">
        <v>0</v>
      </c>
      <c r="Q13" s="97">
        <v>3.4693592731643311E-2</v>
      </c>
      <c r="R13" s="97">
        <f t="shared" si="4"/>
        <v>0</v>
      </c>
      <c r="S13" s="58">
        <f t="shared" si="5"/>
        <v>0.5</v>
      </c>
    </row>
    <row r="14" spans="1:19" ht="16.5" x14ac:dyDescent="0.3">
      <c r="A14" s="23" t="str">
        <f>+VLOOKUP(B14,'INDICADORES CAPTURA'!C:E,3,FALSE)</f>
        <v>MEJÍA BLANDÓN ASTRID KARINA</v>
      </c>
      <c r="B14" s="24" t="s">
        <v>71</v>
      </c>
      <c r="C14" s="41">
        <f t="shared" si="0"/>
        <v>0.77777777777777779</v>
      </c>
      <c r="D14" s="6">
        <v>9</v>
      </c>
      <c r="E14" s="6">
        <v>7</v>
      </c>
      <c r="F14" s="25">
        <f t="shared" si="1"/>
        <v>0.77777777777777779</v>
      </c>
      <c r="G14" s="76">
        <v>0.77777777777777779</v>
      </c>
      <c r="H14" s="76">
        <v>0.77777777777777779</v>
      </c>
      <c r="I14" s="76">
        <v>0.77777777777777779</v>
      </c>
      <c r="J14" s="59">
        <v>0.77777777777777779</v>
      </c>
      <c r="K14" s="58">
        <v>1</v>
      </c>
      <c r="L14" s="76">
        <v>0.77777777777777779</v>
      </c>
      <c r="M14" s="58">
        <f t="shared" si="2"/>
        <v>0.85185185185185175</v>
      </c>
      <c r="N14" s="85">
        <v>0.90481190012700419</v>
      </c>
      <c r="O14" s="58">
        <f t="shared" si="3"/>
        <v>0.77777777777777779</v>
      </c>
      <c r="P14">
        <v>0</v>
      </c>
      <c r="Q14" s="97">
        <v>2.3455155927572365E-2</v>
      </c>
      <c r="R14" s="97">
        <f t="shared" si="4"/>
        <v>1</v>
      </c>
      <c r="S14" s="58">
        <f t="shared" si="5"/>
        <v>0.88888888888888884</v>
      </c>
    </row>
    <row r="15" spans="1:19" ht="16.5" x14ac:dyDescent="0.3">
      <c r="A15" s="23" t="str">
        <f>+VLOOKUP(B15,'INDICADORES CAPTURA'!C:E,3,FALSE)</f>
        <v xml:space="preserve">JUAN PABLO GIL ALMANZA    </v>
      </c>
      <c r="B15" s="24" t="s">
        <v>41</v>
      </c>
      <c r="C15" s="41">
        <f t="shared" si="0"/>
        <v>1</v>
      </c>
      <c r="D15" s="6">
        <v>8</v>
      </c>
      <c r="E15" s="6">
        <v>8</v>
      </c>
      <c r="F15" s="25">
        <f t="shared" si="1"/>
        <v>1</v>
      </c>
      <c r="G15" s="76">
        <v>1</v>
      </c>
      <c r="H15" s="76">
        <v>1</v>
      </c>
      <c r="I15" s="76">
        <v>1</v>
      </c>
      <c r="J15" s="59">
        <v>1</v>
      </c>
      <c r="K15" s="58">
        <v>1</v>
      </c>
      <c r="L15" s="76">
        <v>1</v>
      </c>
      <c r="M15" s="58">
        <f t="shared" si="2"/>
        <v>1</v>
      </c>
      <c r="N15" s="85">
        <v>1.1548936014385496</v>
      </c>
      <c r="O15" s="58">
        <f t="shared" si="3"/>
        <v>1</v>
      </c>
      <c r="P15">
        <v>0</v>
      </c>
      <c r="Q15" s="97">
        <v>1.7774147585947316E-2</v>
      </c>
      <c r="R15" s="97">
        <f t="shared" si="4"/>
        <v>1</v>
      </c>
      <c r="S15" s="58">
        <f t="shared" si="5"/>
        <v>1</v>
      </c>
    </row>
    <row r="16" spans="1:19" ht="16.5" x14ac:dyDescent="0.3">
      <c r="A16" s="23" t="str">
        <f>+VLOOKUP(B16,'INDICADORES CAPTURA'!C:E,3,FALSE)</f>
        <v>MELISA MARTINEZ</v>
      </c>
      <c r="B16" s="24" t="s">
        <v>126</v>
      </c>
      <c r="C16" s="41">
        <f t="shared" si="0"/>
        <v>0.66666666666666663</v>
      </c>
      <c r="D16" s="6">
        <v>1</v>
      </c>
      <c r="E16" s="6">
        <v>1</v>
      </c>
      <c r="F16" s="25">
        <f t="shared" si="1"/>
        <v>1</v>
      </c>
      <c r="G16" s="76">
        <v>1</v>
      </c>
      <c r="H16" s="76">
        <v>1</v>
      </c>
      <c r="I16" s="76">
        <v>1</v>
      </c>
      <c r="J16" s="59">
        <v>0</v>
      </c>
      <c r="K16" s="58">
        <v>1</v>
      </c>
      <c r="L16" s="76">
        <v>0</v>
      </c>
      <c r="M16" s="58">
        <f t="shared" si="2"/>
        <v>0.66666666666666663</v>
      </c>
      <c r="N16" s="85">
        <v>0.91248681742671056</v>
      </c>
      <c r="O16" s="58">
        <f t="shared" si="3"/>
        <v>1</v>
      </c>
      <c r="P16">
        <v>0</v>
      </c>
      <c r="Q16" s="97">
        <v>1.9765242204531665E-3</v>
      </c>
      <c r="R16" s="97">
        <f t="shared" si="4"/>
        <v>1</v>
      </c>
      <c r="S16" s="58">
        <f t="shared" si="5"/>
        <v>1</v>
      </c>
    </row>
    <row r="17" spans="1:19" ht="16.5" x14ac:dyDescent="0.3">
      <c r="A17" s="23" t="str">
        <f>+VLOOKUP(B17,'INDICADORES CAPTURA'!C:E,3,FALSE)</f>
        <v>PEREZ ZAGARRA AUGUSTO EDUARDO</v>
      </c>
      <c r="B17" s="24" t="s">
        <v>74</v>
      </c>
      <c r="C17" s="41">
        <f t="shared" si="0"/>
        <v>0.94444444444444453</v>
      </c>
      <c r="D17" s="6">
        <v>24</v>
      </c>
      <c r="E17" s="6">
        <v>22</v>
      </c>
      <c r="F17" s="25">
        <f t="shared" si="1"/>
        <v>0.91666666666666663</v>
      </c>
      <c r="G17" s="76">
        <v>0.95833333333333337</v>
      </c>
      <c r="H17" s="76">
        <v>0.91666666666666663</v>
      </c>
      <c r="I17" s="76">
        <v>0.91666666666666663</v>
      </c>
      <c r="J17" s="59">
        <v>0.95833333333333337</v>
      </c>
      <c r="K17" s="58">
        <v>0.96666666666666667</v>
      </c>
      <c r="L17" s="76">
        <v>0.95833333333333337</v>
      </c>
      <c r="M17" s="58">
        <f t="shared" si="2"/>
        <v>0.9472222222222223</v>
      </c>
      <c r="N17" s="85">
        <v>1.1022421028500204</v>
      </c>
      <c r="O17" s="58">
        <f t="shared" si="3"/>
        <v>0.95833333333333337</v>
      </c>
      <c r="P17">
        <v>0</v>
      </c>
      <c r="Q17" s="97">
        <v>7.7544826973854508E-2</v>
      </c>
      <c r="R17" s="97">
        <f t="shared" si="4"/>
        <v>0</v>
      </c>
      <c r="S17" s="58">
        <f t="shared" si="5"/>
        <v>0.47916666666666669</v>
      </c>
    </row>
    <row r="18" spans="1:19" ht="16.5" x14ac:dyDescent="0.3">
      <c r="A18" s="23" t="str">
        <f>+VLOOKUP(B18,'INDICADORES CAPTURA'!C:E,3,FALSE)</f>
        <v>MEJÍA BLANDÓN ASTRID KARINA</v>
      </c>
      <c r="B18" s="24" t="s">
        <v>66</v>
      </c>
      <c r="C18" s="41">
        <f t="shared" si="0"/>
        <v>0.83333333333333337</v>
      </c>
      <c r="D18" s="6">
        <v>1</v>
      </c>
      <c r="E18" s="6">
        <v>1</v>
      </c>
      <c r="F18" s="25">
        <f t="shared" si="1"/>
        <v>1</v>
      </c>
      <c r="G18" s="76">
        <v>1</v>
      </c>
      <c r="H18" s="76">
        <v>1</v>
      </c>
      <c r="I18" s="76">
        <v>1</v>
      </c>
      <c r="J18" s="59">
        <v>1</v>
      </c>
      <c r="K18" s="58">
        <v>1</v>
      </c>
      <c r="L18" s="76">
        <v>0.5</v>
      </c>
      <c r="M18" s="58">
        <f t="shared" si="2"/>
        <v>1</v>
      </c>
      <c r="N18" s="85">
        <v>1.1155376930518199</v>
      </c>
      <c r="O18" s="58">
        <f t="shared" si="3"/>
        <v>1</v>
      </c>
      <c r="P18">
        <v>0</v>
      </c>
      <c r="Q18" s="97">
        <v>1.0592085745544816E-2</v>
      </c>
      <c r="R18" s="97">
        <f t="shared" si="4"/>
        <v>1</v>
      </c>
      <c r="S18" s="58">
        <f t="shared" si="5"/>
        <v>1</v>
      </c>
    </row>
    <row r="19" spans="1:19" ht="16.5" x14ac:dyDescent="0.3">
      <c r="A19" s="23" t="str">
        <f>+VLOOKUP(B19,'INDICADORES CAPTURA'!C:E,3,FALSE)</f>
        <v>PIÑEROS MONTAÑA LAURA ESTEPHANIA</v>
      </c>
      <c r="B19" s="24" t="s">
        <v>135</v>
      </c>
      <c r="C19" s="41">
        <f t="shared" si="0"/>
        <v>1</v>
      </c>
      <c r="D19" s="6">
        <v>17</v>
      </c>
      <c r="E19" s="6">
        <v>17</v>
      </c>
      <c r="F19" s="25">
        <f t="shared" si="1"/>
        <v>1</v>
      </c>
      <c r="G19" s="76">
        <v>1</v>
      </c>
      <c r="H19" s="76">
        <v>1</v>
      </c>
      <c r="I19" s="76">
        <v>1</v>
      </c>
      <c r="J19" s="59">
        <v>1</v>
      </c>
      <c r="K19" s="58">
        <v>0.9285714285714286</v>
      </c>
      <c r="L19" s="76">
        <v>1</v>
      </c>
      <c r="M19" s="58">
        <f t="shared" si="2"/>
        <v>0.97619047619047628</v>
      </c>
      <c r="N19" s="85">
        <v>1.2520587138640025</v>
      </c>
      <c r="O19" s="58">
        <f t="shared" si="3"/>
        <v>1</v>
      </c>
      <c r="P19">
        <v>0</v>
      </c>
      <c r="Q19" s="97">
        <v>1.4402311396157837E-2</v>
      </c>
      <c r="R19" s="97">
        <f t="shared" si="4"/>
        <v>1</v>
      </c>
      <c r="S19" s="58">
        <f t="shared" si="5"/>
        <v>1</v>
      </c>
    </row>
    <row r="20" spans="1:19" ht="16.5" x14ac:dyDescent="0.3">
      <c r="A20" s="23" t="str">
        <f>+VLOOKUP(B20,'INDICADORES CAPTURA'!C:E,3,FALSE)</f>
        <v>CAMPUZANO IRLET ANDREA</v>
      </c>
      <c r="B20" s="24" t="s">
        <v>105</v>
      </c>
      <c r="C20" s="41">
        <f t="shared" si="0"/>
        <v>1</v>
      </c>
      <c r="D20" s="6">
        <v>18</v>
      </c>
      <c r="E20" s="6">
        <v>18</v>
      </c>
      <c r="F20" s="25">
        <f t="shared" si="1"/>
        <v>1</v>
      </c>
      <c r="G20" s="76">
        <v>1</v>
      </c>
      <c r="H20" s="76">
        <v>1</v>
      </c>
      <c r="I20" s="76">
        <v>1</v>
      </c>
      <c r="J20" s="59">
        <v>1</v>
      </c>
      <c r="K20" s="58">
        <v>0.95833333333333337</v>
      </c>
      <c r="L20" s="76">
        <v>1</v>
      </c>
      <c r="M20" s="58">
        <f t="shared" si="2"/>
        <v>0.98611111111111116</v>
      </c>
      <c r="N20" s="85">
        <v>0.94401310881686262</v>
      </c>
      <c r="O20" s="58">
        <f t="shared" si="3"/>
        <v>1</v>
      </c>
      <c r="P20">
        <v>0</v>
      </c>
      <c r="Q20" s="97">
        <v>3.3953153401446667E-2</v>
      </c>
      <c r="R20" s="97">
        <f t="shared" si="4"/>
        <v>0</v>
      </c>
      <c r="S20" s="58">
        <f t="shared" si="5"/>
        <v>0.5</v>
      </c>
    </row>
    <row r="21" spans="1:19" ht="16.5" x14ac:dyDescent="0.3">
      <c r="A21" s="23" t="str">
        <f>+VLOOKUP(B21,'INDICADORES CAPTURA'!C:E,3,FALSE)</f>
        <v>MELISA MARTINEZ</v>
      </c>
      <c r="B21" s="24" t="s">
        <v>46</v>
      </c>
      <c r="C21" s="41">
        <f t="shared" si="0"/>
        <v>1</v>
      </c>
      <c r="D21" s="6">
        <v>11</v>
      </c>
      <c r="E21" s="6">
        <v>11</v>
      </c>
      <c r="F21" s="25">
        <f t="shared" si="1"/>
        <v>1</v>
      </c>
      <c r="G21" s="76">
        <v>1</v>
      </c>
      <c r="H21" s="76">
        <v>1</v>
      </c>
      <c r="I21" s="76">
        <v>0.63636363636363635</v>
      </c>
      <c r="J21" s="59">
        <v>1</v>
      </c>
      <c r="K21" s="58">
        <v>1</v>
      </c>
      <c r="L21" s="76">
        <v>1</v>
      </c>
      <c r="M21" s="58">
        <f t="shared" si="2"/>
        <v>0.87878787878787878</v>
      </c>
      <c r="N21" s="85">
        <v>0.96249277888687701</v>
      </c>
      <c r="O21" s="58">
        <f t="shared" si="3"/>
        <v>1</v>
      </c>
      <c r="P21">
        <v>0</v>
      </c>
      <c r="Q21" s="97">
        <v>1.4775633855045251E-2</v>
      </c>
      <c r="R21" s="97">
        <f t="shared" si="4"/>
        <v>1</v>
      </c>
      <c r="S21" s="58">
        <f t="shared" si="5"/>
        <v>1</v>
      </c>
    </row>
    <row r="22" spans="1:19" ht="16.5" x14ac:dyDescent="0.3">
      <c r="A22" s="23" t="str">
        <f>+VLOOKUP(B22,'INDICADORES CAPTURA'!C:E,3,FALSE)</f>
        <v>MEJÍA BLANDÓN ASTRID KARINA</v>
      </c>
      <c r="B22" s="24" t="s">
        <v>62</v>
      </c>
      <c r="C22" s="41">
        <f t="shared" si="0"/>
        <v>1</v>
      </c>
      <c r="D22" s="6">
        <v>18</v>
      </c>
      <c r="E22" s="6">
        <v>18</v>
      </c>
      <c r="F22" s="25">
        <f t="shared" si="1"/>
        <v>1</v>
      </c>
      <c r="G22" s="76">
        <v>1</v>
      </c>
      <c r="H22" s="76">
        <v>1</v>
      </c>
      <c r="I22" s="76">
        <v>0.33333333333333331</v>
      </c>
      <c r="J22" s="59">
        <v>1</v>
      </c>
      <c r="K22" s="58">
        <v>0.40909090909090912</v>
      </c>
      <c r="L22" s="76">
        <v>1</v>
      </c>
      <c r="M22" s="58">
        <f t="shared" si="2"/>
        <v>0.58080808080808077</v>
      </c>
      <c r="N22" s="85">
        <v>1.190901526940481</v>
      </c>
      <c r="O22" s="58">
        <f t="shared" si="3"/>
        <v>1</v>
      </c>
      <c r="P22">
        <v>0</v>
      </c>
      <c r="Q22" s="97">
        <v>1.8192501967342584E-2</v>
      </c>
      <c r="R22" s="97">
        <f t="shared" si="4"/>
        <v>1</v>
      </c>
      <c r="S22" s="58">
        <f t="shared" si="5"/>
        <v>1</v>
      </c>
    </row>
    <row r="23" spans="1:19" ht="16.5" x14ac:dyDescent="0.3">
      <c r="A23" s="23" t="str">
        <f>+VLOOKUP(B23,'INDICADORES CAPTURA'!C:E,3,FALSE)</f>
        <v xml:space="preserve">JUAN PABLO GIL ALMANZA    </v>
      </c>
      <c r="B23" s="24" t="s">
        <v>32</v>
      </c>
      <c r="C23" s="41">
        <f t="shared" si="0"/>
        <v>0.94444444444444431</v>
      </c>
      <c r="D23" s="6">
        <v>18</v>
      </c>
      <c r="E23" s="6">
        <v>18</v>
      </c>
      <c r="F23" s="25">
        <f t="shared" si="1"/>
        <v>1</v>
      </c>
      <c r="G23" s="76">
        <v>0.94444444444444442</v>
      </c>
      <c r="H23" s="76">
        <v>0.94444444444444442</v>
      </c>
      <c r="I23" s="76">
        <v>0.94444444444444442</v>
      </c>
      <c r="J23" s="59">
        <v>1</v>
      </c>
      <c r="K23" s="58">
        <v>1</v>
      </c>
      <c r="L23" s="76">
        <v>0.94444444444444442</v>
      </c>
      <c r="M23" s="58">
        <f t="shared" si="2"/>
        <v>0.98148148148148151</v>
      </c>
      <c r="N23" s="85">
        <v>1.0407577141295217</v>
      </c>
      <c r="O23" s="58">
        <f t="shared" si="3"/>
        <v>0.94444444444444442</v>
      </c>
      <c r="P23">
        <v>0</v>
      </c>
      <c r="Q23" s="97">
        <v>1.6934579816778136E-2</v>
      </c>
      <c r="R23" s="97">
        <f t="shared" si="4"/>
        <v>1</v>
      </c>
      <c r="S23" s="58">
        <f t="shared" si="5"/>
        <v>0.97222222222222221</v>
      </c>
    </row>
    <row r="24" spans="1:19" ht="16.5" x14ac:dyDescent="0.3">
      <c r="A24" s="23" t="str">
        <f>+VLOOKUP(B24,'INDICADORES CAPTURA'!C:E,3,FALSE)</f>
        <v>MELISA MARTINEZ</v>
      </c>
      <c r="B24" s="24" t="s">
        <v>47</v>
      </c>
      <c r="C24" s="41">
        <f t="shared" si="0"/>
        <v>1</v>
      </c>
      <c r="D24" s="6">
        <v>1</v>
      </c>
      <c r="E24" s="6">
        <v>1</v>
      </c>
      <c r="F24" s="25">
        <f t="shared" si="1"/>
        <v>1</v>
      </c>
      <c r="G24" s="76">
        <v>1</v>
      </c>
      <c r="H24" s="76">
        <v>1</v>
      </c>
      <c r="I24" s="76">
        <v>1</v>
      </c>
      <c r="J24" s="59">
        <v>1</v>
      </c>
      <c r="K24" s="58">
        <v>1</v>
      </c>
      <c r="L24" s="76">
        <v>1</v>
      </c>
      <c r="M24" s="58">
        <f t="shared" si="2"/>
        <v>1</v>
      </c>
      <c r="N24" s="85">
        <v>1.3033163664406653</v>
      </c>
      <c r="O24" s="58">
        <f t="shared" si="3"/>
        <v>1</v>
      </c>
      <c r="P24">
        <v>0</v>
      </c>
      <c r="Q24" s="97">
        <v>2.6013656709525854E-2</v>
      </c>
      <c r="R24" s="97">
        <f t="shared" si="4"/>
        <v>1</v>
      </c>
      <c r="S24" s="58">
        <f>+O24</f>
        <v>1</v>
      </c>
    </row>
    <row r="25" spans="1:19" ht="16.5" x14ac:dyDescent="0.3">
      <c r="A25" s="23" t="str">
        <f>+VLOOKUP(B25,'INDICADORES CAPTURA'!C:E,3,FALSE)</f>
        <v>GONZALEZ BARRANTES EDWIN JESSID</v>
      </c>
      <c r="B25" s="24" t="s">
        <v>85</v>
      </c>
      <c r="C25" s="41">
        <f t="shared" si="0"/>
        <v>1</v>
      </c>
      <c r="D25" s="6">
        <v>9</v>
      </c>
      <c r="E25" s="6">
        <v>9</v>
      </c>
      <c r="F25" s="25">
        <f t="shared" si="1"/>
        <v>1</v>
      </c>
      <c r="G25" s="76">
        <v>1</v>
      </c>
      <c r="H25" s="76">
        <v>1</v>
      </c>
      <c r="I25" s="76">
        <v>1</v>
      </c>
      <c r="J25" s="59">
        <v>1</v>
      </c>
      <c r="K25" s="58">
        <v>1</v>
      </c>
      <c r="L25" s="76">
        <v>1</v>
      </c>
      <c r="M25" s="58">
        <f t="shared" si="2"/>
        <v>1</v>
      </c>
      <c r="N25" s="85">
        <v>1.0888504400841104</v>
      </c>
      <c r="O25" s="58">
        <f t="shared" si="3"/>
        <v>1</v>
      </c>
      <c r="P25">
        <v>0</v>
      </c>
      <c r="Q25" s="97">
        <v>2.3828269847621972E-2</v>
      </c>
      <c r="R25" s="97">
        <f t="shared" si="4"/>
        <v>1</v>
      </c>
      <c r="S25" s="58">
        <f t="shared" si="5"/>
        <v>1</v>
      </c>
    </row>
    <row r="26" spans="1:19" ht="16.5" x14ac:dyDescent="0.3">
      <c r="A26" s="23" t="str">
        <f>+VLOOKUP(B26,'INDICADORES CAPTURA'!C:E,3,FALSE)</f>
        <v>SÁNCHEZ ZAMBRANO LEIDY NICOLE VANESSA</v>
      </c>
      <c r="B26" s="24" t="s">
        <v>141</v>
      </c>
      <c r="C26" s="41">
        <f t="shared" si="0"/>
        <v>1</v>
      </c>
      <c r="D26" s="6">
        <v>5</v>
      </c>
      <c r="E26" s="6">
        <v>4</v>
      </c>
      <c r="F26" s="25">
        <f t="shared" si="1"/>
        <v>0.8</v>
      </c>
      <c r="G26" s="76">
        <v>1</v>
      </c>
      <c r="H26" s="76">
        <v>1</v>
      </c>
      <c r="I26" s="76">
        <v>0.8</v>
      </c>
      <c r="J26" s="59">
        <v>1</v>
      </c>
      <c r="K26" s="58">
        <v>0.81818181818181823</v>
      </c>
      <c r="L26" s="76">
        <v>1</v>
      </c>
      <c r="M26" s="58">
        <f t="shared" si="2"/>
        <v>0.87272727272727268</v>
      </c>
      <c r="N26" s="85">
        <v>0</v>
      </c>
      <c r="O26" s="58">
        <f t="shared" si="3"/>
        <v>1</v>
      </c>
      <c r="P26">
        <v>0</v>
      </c>
      <c r="Q26" s="97">
        <v>2.5399999999999999E-2</v>
      </c>
      <c r="R26" s="97">
        <f t="shared" si="4"/>
        <v>1</v>
      </c>
      <c r="S26" s="58">
        <f t="shared" si="5"/>
        <v>1</v>
      </c>
    </row>
    <row r="27" spans="1:19" ht="16.5" x14ac:dyDescent="0.3">
      <c r="A27" s="23" t="str">
        <f>+VLOOKUP(B27,'INDICADORES CAPTURA'!C:E,3,FALSE)</f>
        <v>PIÑEROS MONTAÑA LAURA ESTEPHANIA</v>
      </c>
      <c r="B27" s="24" t="s">
        <v>124</v>
      </c>
      <c r="C27" s="41">
        <f t="shared" si="0"/>
        <v>1</v>
      </c>
      <c r="D27" s="6">
        <v>12</v>
      </c>
      <c r="E27" s="6">
        <v>12</v>
      </c>
      <c r="F27" s="25">
        <f t="shared" si="1"/>
        <v>1</v>
      </c>
      <c r="G27" s="76">
        <v>1</v>
      </c>
      <c r="H27" s="76">
        <v>1</v>
      </c>
      <c r="I27" s="76">
        <v>1</v>
      </c>
      <c r="J27" s="59">
        <v>1</v>
      </c>
      <c r="K27" s="58">
        <v>1</v>
      </c>
      <c r="L27" s="76">
        <v>1</v>
      </c>
      <c r="M27" s="58">
        <f t="shared" si="2"/>
        <v>1</v>
      </c>
      <c r="N27" s="85">
        <v>1.155425221120038</v>
      </c>
      <c r="O27" s="58">
        <f t="shared" si="3"/>
        <v>1</v>
      </c>
      <c r="P27">
        <v>0</v>
      </c>
      <c r="Q27" s="97">
        <v>3.0155386068988686E-2</v>
      </c>
      <c r="R27" s="97">
        <f t="shared" si="4"/>
        <v>0</v>
      </c>
      <c r="S27" s="58">
        <f t="shared" si="5"/>
        <v>0.5</v>
      </c>
    </row>
    <row r="28" spans="1:19" ht="16.5" x14ac:dyDescent="0.3">
      <c r="A28" s="23" t="str">
        <f>+VLOOKUP(B28,'INDICADORES CAPTURA'!C:E,3,FALSE)</f>
        <v>PIÑEROS MONTAÑA LAURA ESTEPHANIA</v>
      </c>
      <c r="B28" s="24" t="s">
        <v>127</v>
      </c>
      <c r="C28" s="41">
        <f t="shared" si="0"/>
        <v>1</v>
      </c>
      <c r="D28" s="6">
        <v>9</v>
      </c>
      <c r="E28" s="6">
        <v>9</v>
      </c>
      <c r="F28" s="25">
        <f t="shared" si="1"/>
        <v>1</v>
      </c>
      <c r="G28" s="76">
        <v>1</v>
      </c>
      <c r="H28" s="76">
        <v>1</v>
      </c>
      <c r="I28" s="76">
        <v>1</v>
      </c>
      <c r="J28" s="59">
        <v>1</v>
      </c>
      <c r="K28" s="58">
        <v>1</v>
      </c>
      <c r="L28" s="76">
        <v>1</v>
      </c>
      <c r="M28" s="58">
        <f t="shared" si="2"/>
        <v>1</v>
      </c>
      <c r="N28" s="85">
        <v>0.84050479864072258</v>
      </c>
      <c r="O28" s="58">
        <f t="shared" si="3"/>
        <v>1</v>
      </c>
      <c r="P28">
        <v>0</v>
      </c>
      <c r="Q28" s="97">
        <v>2.4716960311803038E-2</v>
      </c>
      <c r="R28" s="97">
        <f t="shared" si="4"/>
        <v>1</v>
      </c>
      <c r="S28" s="58">
        <f t="shared" si="5"/>
        <v>1</v>
      </c>
    </row>
    <row r="29" spans="1:19" ht="16.5" x14ac:dyDescent="0.3">
      <c r="A29" s="23" t="str">
        <f>+VLOOKUP(B29,'INDICADORES CAPTURA'!C:E,3,FALSE)</f>
        <v>MARTINEZ VARGAS CHRISTAN RICARDO</v>
      </c>
      <c r="B29" s="24" t="s">
        <v>158</v>
      </c>
      <c r="C29" s="41">
        <f t="shared" si="0"/>
        <v>0.8571428571428571</v>
      </c>
      <c r="D29" s="6">
        <v>7</v>
      </c>
      <c r="E29" s="6">
        <v>6</v>
      </c>
      <c r="F29" s="25">
        <f t="shared" si="1"/>
        <v>0.8571428571428571</v>
      </c>
      <c r="G29" s="76">
        <v>0.8571428571428571</v>
      </c>
      <c r="H29" s="76">
        <v>0.8571428571428571</v>
      </c>
      <c r="I29" s="76">
        <v>0.8571428571428571</v>
      </c>
      <c r="J29" s="59">
        <v>0.8571428571428571</v>
      </c>
      <c r="K29" s="58">
        <v>0.53846153846153844</v>
      </c>
      <c r="L29" s="76">
        <v>0.8571428571428571</v>
      </c>
      <c r="M29" s="58">
        <f t="shared" si="2"/>
        <v>0.75091575091575091</v>
      </c>
      <c r="N29" s="85">
        <v>0.50399389459611477</v>
      </c>
      <c r="O29" s="58">
        <f t="shared" si="3"/>
        <v>0.8571428571428571</v>
      </c>
      <c r="P29">
        <v>0</v>
      </c>
      <c r="Q29" s="97">
        <v>9.2226843655066421E-2</v>
      </c>
      <c r="R29" s="97">
        <f t="shared" si="4"/>
        <v>0</v>
      </c>
      <c r="S29" s="58">
        <f t="shared" si="5"/>
        <v>0.42857142857142855</v>
      </c>
    </row>
    <row r="30" spans="1:19" ht="16.5" x14ac:dyDescent="0.3">
      <c r="A30" s="23" t="str">
        <f>+VLOOKUP(B30,'INDICADORES CAPTURA'!C:E,3,FALSE)</f>
        <v>PIÑEROS MONTAÑA LAURA ESTEPHANIA</v>
      </c>
      <c r="B30" s="24" t="s">
        <v>129</v>
      </c>
      <c r="C30" s="41">
        <f t="shared" si="0"/>
        <v>1</v>
      </c>
      <c r="D30" s="6">
        <v>7</v>
      </c>
      <c r="E30" s="6">
        <v>7</v>
      </c>
      <c r="F30" s="25">
        <f t="shared" si="1"/>
        <v>1</v>
      </c>
      <c r="G30" s="76">
        <v>1</v>
      </c>
      <c r="H30" s="76">
        <v>1</v>
      </c>
      <c r="I30" s="76">
        <v>1</v>
      </c>
      <c r="J30" s="59">
        <v>1</v>
      </c>
      <c r="K30" s="58">
        <v>0.84615384615384615</v>
      </c>
      <c r="L30" s="76">
        <v>1</v>
      </c>
      <c r="M30" s="58">
        <f t="shared" si="2"/>
        <v>0.94871794871794879</v>
      </c>
      <c r="N30" s="85">
        <v>0.90050536377992985</v>
      </c>
      <c r="O30" s="58">
        <f t="shared" si="3"/>
        <v>1</v>
      </c>
      <c r="P30">
        <v>0</v>
      </c>
      <c r="Q30" s="97">
        <v>1.3899348358755557E-2</v>
      </c>
      <c r="R30" s="97">
        <f t="shared" si="4"/>
        <v>1</v>
      </c>
      <c r="S30" s="58">
        <f t="shared" si="5"/>
        <v>1</v>
      </c>
    </row>
    <row r="31" spans="1:19" ht="16.5" x14ac:dyDescent="0.3">
      <c r="A31" s="23" t="str">
        <f>+VLOOKUP(B31,'INDICADORES CAPTURA'!C:E,3,FALSE)</f>
        <v>PEREZ ZAGARRA AUGUSTO EDUARDO</v>
      </c>
      <c r="B31" s="24" t="s">
        <v>81</v>
      </c>
      <c r="C31" s="41">
        <f t="shared" si="0"/>
        <v>0.98245614035087714</v>
      </c>
      <c r="D31" s="6">
        <v>19</v>
      </c>
      <c r="E31" s="6">
        <v>19</v>
      </c>
      <c r="F31" s="25">
        <f t="shared" si="1"/>
        <v>1</v>
      </c>
      <c r="G31" s="76">
        <v>0.94736842105263153</v>
      </c>
      <c r="H31" s="76">
        <v>1</v>
      </c>
      <c r="I31" s="76">
        <v>1</v>
      </c>
      <c r="J31" s="59">
        <v>1</v>
      </c>
      <c r="K31" s="58">
        <v>1</v>
      </c>
      <c r="L31" s="76">
        <v>1</v>
      </c>
      <c r="M31" s="58">
        <f t="shared" si="2"/>
        <v>1</v>
      </c>
      <c r="N31" s="85">
        <v>0.76111264324364114</v>
      </c>
      <c r="O31" s="58">
        <f t="shared" si="3"/>
        <v>0.94736842105263153</v>
      </c>
      <c r="P31">
        <v>0</v>
      </c>
      <c r="Q31" s="97">
        <v>0.11624358889086728</v>
      </c>
      <c r="R31" s="97">
        <f t="shared" si="4"/>
        <v>0</v>
      </c>
      <c r="S31" s="58">
        <f t="shared" si="5"/>
        <v>0.47368421052631576</v>
      </c>
    </row>
    <row r="32" spans="1:19" ht="16.5" x14ac:dyDescent="0.3">
      <c r="A32" s="23" t="str">
        <f>+VLOOKUP(B32,'INDICADORES CAPTURA'!C:E,3,FALSE)</f>
        <v>MELISA MARTINEZ</v>
      </c>
      <c r="B32" s="24" t="s">
        <v>191</v>
      </c>
      <c r="C32" s="41">
        <f t="shared" si="0"/>
        <v>1</v>
      </c>
      <c r="D32" s="6">
        <v>1</v>
      </c>
      <c r="E32" s="6">
        <v>1</v>
      </c>
      <c r="F32" s="25">
        <f t="shared" si="1"/>
        <v>1</v>
      </c>
      <c r="G32" s="76">
        <v>1</v>
      </c>
      <c r="H32" s="76">
        <v>1</v>
      </c>
      <c r="I32" s="76">
        <v>0</v>
      </c>
      <c r="J32" s="59">
        <v>1</v>
      </c>
      <c r="K32" s="58">
        <v>1</v>
      </c>
      <c r="L32" s="76">
        <v>1</v>
      </c>
      <c r="M32" s="58">
        <f t="shared" si="2"/>
        <v>0.66666666666666663</v>
      </c>
      <c r="N32" s="85">
        <v>1.1219718905779672</v>
      </c>
      <c r="O32" s="58">
        <f t="shared" si="3"/>
        <v>1</v>
      </c>
      <c r="P32">
        <v>0</v>
      </c>
      <c r="Q32" s="97">
        <v>1.9292828937121108E-2</v>
      </c>
      <c r="R32" s="97">
        <f t="shared" si="4"/>
        <v>1</v>
      </c>
      <c r="S32" s="58">
        <f t="shared" si="5"/>
        <v>1</v>
      </c>
    </row>
    <row r="33" spans="1:19" ht="16.5" x14ac:dyDescent="0.3">
      <c r="A33" s="23" t="str">
        <f>+VLOOKUP(B33,'INDICADORES CAPTURA'!C:E,3,FALSE)</f>
        <v>PIÑEROS MONTAÑA LAURA ESTEPHANIA</v>
      </c>
      <c r="B33" s="24" t="s">
        <v>140</v>
      </c>
      <c r="C33" s="41">
        <f t="shared" si="0"/>
        <v>1</v>
      </c>
      <c r="D33" s="6">
        <v>8</v>
      </c>
      <c r="E33" s="6">
        <v>8</v>
      </c>
      <c r="F33" s="25">
        <f t="shared" si="1"/>
        <v>1</v>
      </c>
      <c r="G33" s="76">
        <v>1</v>
      </c>
      <c r="H33" s="76">
        <v>1</v>
      </c>
      <c r="I33" s="76">
        <v>1</v>
      </c>
      <c r="J33" s="59">
        <v>1</v>
      </c>
      <c r="K33" s="58">
        <v>1</v>
      </c>
      <c r="L33" s="76">
        <v>1</v>
      </c>
      <c r="M33" s="58">
        <f t="shared" si="2"/>
        <v>1</v>
      </c>
      <c r="N33" s="85">
        <v>1.3021513679069516</v>
      </c>
      <c r="O33" s="58">
        <f t="shared" si="3"/>
        <v>1</v>
      </c>
      <c r="P33">
        <v>0</v>
      </c>
      <c r="Q33" s="97">
        <v>3.3649692461607886E-2</v>
      </c>
      <c r="R33" s="97">
        <f t="shared" si="4"/>
        <v>0</v>
      </c>
      <c r="S33" s="58">
        <f t="shared" si="5"/>
        <v>0.5</v>
      </c>
    </row>
    <row r="34" spans="1:19" ht="16.5" x14ac:dyDescent="0.3">
      <c r="A34" s="23" t="str">
        <f>+VLOOKUP(B34,'INDICADORES CAPTURA'!C:E,3,FALSE)</f>
        <v>MEJÍA BLANDÓN ASTRID KARINA</v>
      </c>
      <c r="B34" s="24" t="s">
        <v>68</v>
      </c>
      <c r="C34" s="41">
        <f t="shared" si="0"/>
        <v>0.77777777777777779</v>
      </c>
      <c r="D34" s="6">
        <v>1</v>
      </c>
      <c r="E34" s="6">
        <v>1</v>
      </c>
      <c r="F34" s="25">
        <f t="shared" si="1"/>
        <v>1</v>
      </c>
      <c r="G34" s="76">
        <v>1</v>
      </c>
      <c r="H34" s="76">
        <v>1</v>
      </c>
      <c r="I34" s="76">
        <v>1</v>
      </c>
      <c r="J34" s="59">
        <v>1</v>
      </c>
      <c r="K34" s="58">
        <v>1</v>
      </c>
      <c r="L34" s="76">
        <v>0.33333333333333331</v>
      </c>
      <c r="M34" s="58">
        <f t="shared" si="2"/>
        <v>1</v>
      </c>
      <c r="N34" s="85">
        <v>0.99284685997439515</v>
      </c>
      <c r="O34" s="58">
        <f t="shared" si="3"/>
        <v>1</v>
      </c>
      <c r="P34">
        <v>0</v>
      </c>
      <c r="Q34" s="97">
        <v>8.6272006775207785E-2</v>
      </c>
      <c r="R34" s="97">
        <f t="shared" si="4"/>
        <v>0</v>
      </c>
      <c r="S34" s="58">
        <f t="shared" si="5"/>
        <v>0.5</v>
      </c>
    </row>
    <row r="35" spans="1:19" ht="16.5" x14ac:dyDescent="0.3">
      <c r="A35" s="23" t="str">
        <f>+VLOOKUP(B35,'INDICADORES CAPTURA'!C:E,3,FALSE)</f>
        <v>MELISA MARTINEZ</v>
      </c>
      <c r="B35" s="24" t="s">
        <v>54</v>
      </c>
      <c r="C35" s="41">
        <f t="shared" si="0"/>
        <v>1</v>
      </c>
      <c r="D35" s="6">
        <v>9</v>
      </c>
      <c r="E35" s="6">
        <v>9</v>
      </c>
      <c r="F35" s="25">
        <f t="shared" si="1"/>
        <v>1</v>
      </c>
      <c r="G35" s="76">
        <v>1</v>
      </c>
      <c r="H35" s="76">
        <v>1</v>
      </c>
      <c r="I35" s="76">
        <v>1</v>
      </c>
      <c r="J35" s="59">
        <v>1</v>
      </c>
      <c r="K35" s="58">
        <v>1</v>
      </c>
      <c r="L35" s="76">
        <v>1</v>
      </c>
      <c r="M35" s="58">
        <f t="shared" si="2"/>
        <v>1</v>
      </c>
      <c r="N35" s="85">
        <v>0.89061567651740026</v>
      </c>
      <c r="O35" s="58">
        <f t="shared" si="3"/>
        <v>1</v>
      </c>
      <c r="P35">
        <v>0</v>
      </c>
      <c r="Q35" s="97">
        <v>7.5956438325858007E-3</v>
      </c>
      <c r="R35" s="97">
        <f t="shared" si="4"/>
        <v>1</v>
      </c>
      <c r="S35" s="58">
        <f t="shared" si="5"/>
        <v>1</v>
      </c>
    </row>
    <row r="36" spans="1:19" ht="16.5" x14ac:dyDescent="0.3">
      <c r="A36" s="23" t="str">
        <f>+VLOOKUP(B36,'INDICADORES CAPTURA'!C:E,3,FALSE)</f>
        <v>PIÑEROS MONTAÑA LAURA ESTEPHANIA</v>
      </c>
      <c r="B36" s="24" t="s">
        <v>130</v>
      </c>
      <c r="C36" s="41">
        <f t="shared" si="0"/>
        <v>1</v>
      </c>
      <c r="D36" s="6">
        <v>1</v>
      </c>
      <c r="E36" s="6">
        <v>1</v>
      </c>
      <c r="F36" s="25">
        <f t="shared" si="1"/>
        <v>1</v>
      </c>
      <c r="G36" s="76">
        <v>1</v>
      </c>
      <c r="H36" s="76">
        <v>1</v>
      </c>
      <c r="I36" s="76">
        <v>1</v>
      </c>
      <c r="J36" s="59">
        <v>1</v>
      </c>
      <c r="K36" s="58">
        <v>1</v>
      </c>
      <c r="L36" s="76">
        <v>1</v>
      </c>
      <c r="M36" s="58">
        <f t="shared" si="2"/>
        <v>1</v>
      </c>
      <c r="N36" s="85">
        <v>0.86907068519083575</v>
      </c>
      <c r="O36" s="58">
        <f t="shared" si="3"/>
        <v>1</v>
      </c>
      <c r="P36">
        <v>0</v>
      </c>
      <c r="Q36" s="97">
        <v>2.0457326627291796E-2</v>
      </c>
      <c r="R36" s="97">
        <f t="shared" si="4"/>
        <v>1</v>
      </c>
      <c r="S36" s="58">
        <f t="shared" si="5"/>
        <v>1</v>
      </c>
    </row>
    <row r="37" spans="1:19" ht="16.5" x14ac:dyDescent="0.3">
      <c r="A37" s="23" t="str">
        <f>+VLOOKUP(B37,'INDICADORES CAPTURA'!C:E,3,FALSE)</f>
        <v>SÁNCHEZ ZAMBRANO LEIDY NICOLE VANESSA</v>
      </c>
      <c r="B37" s="24" t="s">
        <v>150</v>
      </c>
      <c r="C37" s="41">
        <f t="shared" si="0"/>
        <v>1</v>
      </c>
      <c r="D37" s="6">
        <v>8</v>
      </c>
      <c r="E37" s="6">
        <v>8</v>
      </c>
      <c r="F37" s="25">
        <f t="shared" si="1"/>
        <v>1</v>
      </c>
      <c r="G37" s="76">
        <v>1</v>
      </c>
      <c r="H37" s="76">
        <v>1</v>
      </c>
      <c r="I37" s="76">
        <v>1</v>
      </c>
      <c r="J37" s="59">
        <v>1</v>
      </c>
      <c r="K37" s="58">
        <v>1</v>
      </c>
      <c r="L37" s="76">
        <v>1</v>
      </c>
      <c r="M37" s="58">
        <f t="shared" si="2"/>
        <v>1</v>
      </c>
      <c r="N37" s="85">
        <v>0.82558188918693898</v>
      </c>
      <c r="O37" s="58">
        <f t="shared" si="3"/>
        <v>1</v>
      </c>
      <c r="P37">
        <v>0</v>
      </c>
      <c r="Q37" s="97">
        <v>4.6095227340960648E-3</v>
      </c>
      <c r="R37" s="97">
        <f t="shared" si="4"/>
        <v>1</v>
      </c>
      <c r="S37" s="58">
        <f t="shared" si="5"/>
        <v>1</v>
      </c>
    </row>
    <row r="38" spans="1:19" ht="16.5" x14ac:dyDescent="0.3">
      <c r="A38" s="23" t="str">
        <f>+VLOOKUP(B38,'INDICADORES CAPTURA'!C:E,3,FALSE)</f>
        <v>MARTINEZ VARGAS CHRISTAN RICARDO</v>
      </c>
      <c r="B38" s="24" t="s">
        <v>169</v>
      </c>
      <c r="C38" s="41">
        <f t="shared" si="0"/>
        <v>1</v>
      </c>
      <c r="D38" s="6">
        <v>9</v>
      </c>
      <c r="E38" s="6">
        <v>9</v>
      </c>
      <c r="F38" s="25">
        <f t="shared" si="1"/>
        <v>1</v>
      </c>
      <c r="G38" s="76">
        <v>1</v>
      </c>
      <c r="H38" s="76">
        <v>1</v>
      </c>
      <c r="I38" s="76">
        <v>1</v>
      </c>
      <c r="J38" s="59">
        <v>1</v>
      </c>
      <c r="K38" s="58">
        <v>0.33333333333333331</v>
      </c>
      <c r="L38" s="76">
        <v>1</v>
      </c>
      <c r="M38" s="58">
        <f t="shared" si="2"/>
        <v>0.77777777777777779</v>
      </c>
      <c r="N38" s="85">
        <v>1.015793227618403</v>
      </c>
      <c r="O38" s="58">
        <f t="shared" si="3"/>
        <v>1</v>
      </c>
      <c r="P38">
        <v>0</v>
      </c>
      <c r="Q38" s="97">
        <v>1.7079052870311612E-2</v>
      </c>
      <c r="R38" s="97">
        <f t="shared" si="4"/>
        <v>1</v>
      </c>
      <c r="S38" s="58">
        <f t="shared" si="5"/>
        <v>1</v>
      </c>
    </row>
    <row r="39" spans="1:19" ht="16.5" x14ac:dyDescent="0.3">
      <c r="A39" s="23" t="str">
        <f>+VLOOKUP(B39,'INDICADORES CAPTURA'!C:E,3,FALSE)</f>
        <v>MELISA MARTINEZ</v>
      </c>
      <c r="B39" s="24" t="s">
        <v>56</v>
      </c>
      <c r="C39" s="41">
        <f t="shared" si="0"/>
        <v>1</v>
      </c>
      <c r="D39" s="6">
        <v>5</v>
      </c>
      <c r="E39" s="6">
        <v>5</v>
      </c>
      <c r="F39" s="25">
        <f t="shared" si="1"/>
        <v>1</v>
      </c>
      <c r="G39" s="76">
        <v>1</v>
      </c>
      <c r="H39" s="76">
        <v>1</v>
      </c>
      <c r="I39" s="76">
        <v>1</v>
      </c>
      <c r="J39" s="59">
        <v>1</v>
      </c>
      <c r="K39" s="58">
        <v>0.81818181818181823</v>
      </c>
      <c r="L39" s="76">
        <v>1</v>
      </c>
      <c r="M39" s="58">
        <f t="shared" si="2"/>
        <v>0.93939393939393945</v>
      </c>
      <c r="N39" s="85">
        <v>1.089377630610233</v>
      </c>
      <c r="O39" s="58">
        <f t="shared" si="3"/>
        <v>1</v>
      </c>
      <c r="P39">
        <v>0</v>
      </c>
      <c r="Q39" s="97">
        <v>2.0996300680313794E-2</v>
      </c>
      <c r="R39" s="97">
        <f t="shared" si="4"/>
        <v>1</v>
      </c>
      <c r="S39" s="58">
        <f t="shared" si="5"/>
        <v>1</v>
      </c>
    </row>
    <row r="40" spans="1:19" ht="16.5" x14ac:dyDescent="0.3">
      <c r="A40" s="23" t="str">
        <f>+VLOOKUP(B40,'INDICADORES CAPTURA'!C:E,3,FALSE)</f>
        <v>PIÑEROS MONTAÑA LAURA ESTEPHANIA</v>
      </c>
      <c r="B40" s="24" t="s">
        <v>136</v>
      </c>
      <c r="C40" s="41">
        <f t="shared" si="0"/>
        <v>1</v>
      </c>
      <c r="D40" s="6">
        <v>8</v>
      </c>
      <c r="E40" s="6">
        <v>8</v>
      </c>
      <c r="F40" s="25">
        <f t="shared" si="1"/>
        <v>1</v>
      </c>
      <c r="G40" s="76">
        <v>1</v>
      </c>
      <c r="H40" s="76">
        <v>1</v>
      </c>
      <c r="I40" s="76">
        <v>1</v>
      </c>
      <c r="J40" s="59">
        <v>1</v>
      </c>
      <c r="K40" s="58">
        <v>1</v>
      </c>
      <c r="L40" s="76">
        <v>1</v>
      </c>
      <c r="M40" s="58">
        <f t="shared" si="2"/>
        <v>1</v>
      </c>
      <c r="N40" s="85">
        <v>1.0112697311902084</v>
      </c>
      <c r="O40" s="58">
        <f t="shared" si="3"/>
        <v>1</v>
      </c>
      <c r="P40">
        <v>0</v>
      </c>
      <c r="Q40" s="97">
        <v>2.6437549756120341E-2</v>
      </c>
      <c r="R40" s="97">
        <f t="shared" si="4"/>
        <v>1</v>
      </c>
      <c r="S40" s="58">
        <f t="shared" si="5"/>
        <v>1</v>
      </c>
    </row>
    <row r="41" spans="1:19" ht="16.5" x14ac:dyDescent="0.3">
      <c r="A41" s="23" t="str">
        <f>+VLOOKUP(B41,'INDICADORES CAPTURA'!C:E,3,FALSE)</f>
        <v>MARTINEZ VARGAS CHRISTAN RICARDO</v>
      </c>
      <c r="B41" s="24" t="s">
        <v>167</v>
      </c>
      <c r="C41" s="41">
        <f t="shared" si="0"/>
        <v>1</v>
      </c>
      <c r="D41" s="6">
        <v>1</v>
      </c>
      <c r="E41" s="6">
        <v>1</v>
      </c>
      <c r="F41" s="25">
        <f t="shared" si="1"/>
        <v>1</v>
      </c>
      <c r="G41" s="76">
        <v>1</v>
      </c>
      <c r="H41" s="76">
        <v>1</v>
      </c>
      <c r="I41" s="76">
        <v>1</v>
      </c>
      <c r="J41" s="59">
        <v>1</v>
      </c>
      <c r="K41" s="58">
        <v>1</v>
      </c>
      <c r="L41" s="76">
        <v>1</v>
      </c>
      <c r="M41" s="58">
        <f t="shared" si="2"/>
        <v>1</v>
      </c>
      <c r="N41" s="85">
        <v>1.161051542393333</v>
      </c>
      <c r="O41" s="58">
        <f t="shared" si="3"/>
        <v>1</v>
      </c>
      <c r="P41">
        <v>0</v>
      </c>
      <c r="Q41" s="97">
        <v>2.9710052538772574E-3</v>
      </c>
      <c r="R41" s="97">
        <f t="shared" si="4"/>
        <v>1</v>
      </c>
      <c r="S41" s="58">
        <f t="shared" si="5"/>
        <v>1</v>
      </c>
    </row>
    <row r="42" spans="1:19" ht="16.5" x14ac:dyDescent="0.3">
      <c r="A42" s="23" t="str">
        <f>+VLOOKUP(B42,'INDICADORES CAPTURA'!C:E,3,FALSE)</f>
        <v>PIÑEROS MONTAÑA LAURA ESTEPHANIA</v>
      </c>
      <c r="B42" s="24" t="s">
        <v>132</v>
      </c>
      <c r="C42" s="41">
        <f t="shared" si="0"/>
        <v>1</v>
      </c>
      <c r="D42" s="6">
        <v>17</v>
      </c>
      <c r="E42" s="6">
        <v>17</v>
      </c>
      <c r="F42" s="25">
        <f t="shared" si="1"/>
        <v>1</v>
      </c>
      <c r="G42" s="76">
        <v>1</v>
      </c>
      <c r="H42" s="76">
        <v>1</v>
      </c>
      <c r="I42" s="76">
        <v>1</v>
      </c>
      <c r="J42" s="59">
        <v>1</v>
      </c>
      <c r="K42" s="58">
        <v>0.95833333333333337</v>
      </c>
      <c r="L42" s="76">
        <v>1</v>
      </c>
      <c r="M42" s="58">
        <f t="shared" si="2"/>
        <v>0.98611111111111116</v>
      </c>
      <c r="N42" s="85">
        <v>1.0399837664439522</v>
      </c>
      <c r="O42" s="58">
        <f t="shared" si="3"/>
        <v>1</v>
      </c>
      <c r="P42">
        <v>0</v>
      </c>
      <c r="Q42" s="97">
        <v>9.6530175764612935E-3</v>
      </c>
      <c r="R42" s="97">
        <f t="shared" si="4"/>
        <v>1</v>
      </c>
      <c r="S42" s="58">
        <f t="shared" si="5"/>
        <v>1</v>
      </c>
    </row>
    <row r="43" spans="1:19" ht="16.5" x14ac:dyDescent="0.3">
      <c r="A43" s="23" t="str">
        <f>+VLOOKUP(B43,'INDICADORES CAPTURA'!C:E,3,FALSE)</f>
        <v>GIL MARTINEZ JENNIFER STEFANNIE</v>
      </c>
      <c r="B43" s="24" t="s">
        <v>192</v>
      </c>
      <c r="C43" s="41">
        <f t="shared" si="0"/>
        <v>1</v>
      </c>
      <c r="D43" s="6">
        <v>18</v>
      </c>
      <c r="E43" s="6">
        <v>18</v>
      </c>
      <c r="F43" s="25">
        <f t="shared" si="1"/>
        <v>1</v>
      </c>
      <c r="G43" s="76">
        <v>1</v>
      </c>
      <c r="H43" s="76">
        <v>1</v>
      </c>
      <c r="I43" s="76">
        <v>1</v>
      </c>
      <c r="J43" s="59">
        <v>1</v>
      </c>
      <c r="K43" s="58">
        <v>0.93333333333333335</v>
      </c>
      <c r="L43" s="76">
        <v>1</v>
      </c>
      <c r="M43" s="58">
        <f t="shared" si="2"/>
        <v>0.97777777777777786</v>
      </c>
      <c r="N43" s="85">
        <v>1.0145524564071531</v>
      </c>
      <c r="O43" s="58">
        <f t="shared" si="3"/>
        <v>1</v>
      </c>
      <c r="P43">
        <v>0</v>
      </c>
      <c r="Q43" s="97">
        <v>5.4840229261318436E-2</v>
      </c>
      <c r="R43" s="97">
        <f t="shared" si="4"/>
        <v>0</v>
      </c>
      <c r="S43" s="58">
        <f t="shared" si="5"/>
        <v>0.5</v>
      </c>
    </row>
    <row r="44" spans="1:19" ht="16.5" x14ac:dyDescent="0.3">
      <c r="A44" s="23" t="str">
        <f>+VLOOKUP(B44,'INDICADORES CAPTURA'!C:E,3,FALSE)</f>
        <v>MEJÍA BLANDÓN ASTRID KARINA</v>
      </c>
      <c r="B44" s="24" t="s">
        <v>61</v>
      </c>
      <c r="C44" s="41">
        <f t="shared" si="0"/>
        <v>0.8571428571428571</v>
      </c>
      <c r="D44" s="6">
        <v>14</v>
      </c>
      <c r="E44" s="6">
        <v>12</v>
      </c>
      <c r="F44" s="25">
        <f t="shared" si="1"/>
        <v>0.8571428571428571</v>
      </c>
      <c r="G44" s="76">
        <v>0.8571428571428571</v>
      </c>
      <c r="H44" s="76">
        <v>0.8571428571428571</v>
      </c>
      <c r="I44" s="76">
        <v>0.7857142857142857</v>
      </c>
      <c r="J44" s="59">
        <v>0.8571428571428571</v>
      </c>
      <c r="K44" s="58">
        <v>1</v>
      </c>
      <c r="L44" s="76">
        <v>0.8571428571428571</v>
      </c>
      <c r="M44" s="58">
        <f t="shared" si="2"/>
        <v>0.88095238095238093</v>
      </c>
      <c r="N44" s="85">
        <v>1.0622556910269989</v>
      </c>
      <c r="O44" s="58">
        <f t="shared" si="3"/>
        <v>0.8571428571428571</v>
      </c>
      <c r="P44">
        <v>0</v>
      </c>
      <c r="Q44" s="97">
        <v>2.8515683460453856E-2</v>
      </c>
      <c r="R44" s="97">
        <f t="shared" si="4"/>
        <v>1</v>
      </c>
      <c r="S44" s="58">
        <f t="shared" si="5"/>
        <v>0.9285714285714286</v>
      </c>
    </row>
    <row r="45" spans="1:19" ht="16.5" x14ac:dyDescent="0.3">
      <c r="A45" s="23" t="str">
        <f>+VLOOKUP(B45,'INDICADORES CAPTURA'!C:E,3,FALSE)</f>
        <v>PEREZ ZAGARRA AUGUSTO EDUARDO</v>
      </c>
      <c r="B45" s="24" t="s">
        <v>73</v>
      </c>
      <c r="C45" s="41">
        <f t="shared" si="0"/>
        <v>1</v>
      </c>
      <c r="D45" s="6">
        <v>19</v>
      </c>
      <c r="E45" s="6">
        <v>19</v>
      </c>
      <c r="F45" s="25">
        <f t="shared" si="1"/>
        <v>1</v>
      </c>
      <c r="G45" s="76">
        <v>1</v>
      </c>
      <c r="H45" s="76">
        <v>1</v>
      </c>
      <c r="I45" s="76">
        <v>0.42105263157894735</v>
      </c>
      <c r="J45" s="59">
        <v>1</v>
      </c>
      <c r="K45" s="58">
        <v>0.65</v>
      </c>
      <c r="L45" s="76">
        <v>1</v>
      </c>
      <c r="M45" s="58">
        <f t="shared" si="2"/>
        <v>0.69035087719298238</v>
      </c>
      <c r="N45" s="85">
        <v>0.99603977207807748</v>
      </c>
      <c r="O45" s="58">
        <f t="shared" si="3"/>
        <v>1</v>
      </c>
      <c r="P45">
        <v>0</v>
      </c>
      <c r="Q45" s="97">
        <v>5.1770646706322553E-2</v>
      </c>
      <c r="R45" s="97">
        <f t="shared" si="4"/>
        <v>0</v>
      </c>
      <c r="S45" s="58">
        <f t="shared" si="5"/>
        <v>0.5</v>
      </c>
    </row>
    <row r="46" spans="1:19" ht="16.5" x14ac:dyDescent="0.3">
      <c r="A46" s="23" t="str">
        <f>+VLOOKUP(B46,'INDICADORES CAPTURA'!C:E,3,FALSE)</f>
        <v>PIÑEROS MONTAÑA LAURA ESTEPHANIA</v>
      </c>
      <c r="B46" s="24" t="s">
        <v>128</v>
      </c>
      <c r="C46" s="41">
        <f t="shared" si="0"/>
        <v>1</v>
      </c>
      <c r="D46" s="6">
        <v>16</v>
      </c>
      <c r="E46" s="6">
        <v>16</v>
      </c>
      <c r="F46" s="25">
        <f t="shared" si="1"/>
        <v>1</v>
      </c>
      <c r="G46" s="76">
        <v>1</v>
      </c>
      <c r="H46" s="76">
        <v>1</v>
      </c>
      <c r="I46" s="76">
        <v>0.9375</v>
      </c>
      <c r="J46" s="59">
        <v>1</v>
      </c>
      <c r="K46" s="58">
        <v>0.91666666666666663</v>
      </c>
      <c r="L46" s="76">
        <v>1</v>
      </c>
      <c r="M46" s="58">
        <f t="shared" si="2"/>
        <v>0.95138888888888884</v>
      </c>
      <c r="N46" s="85">
        <v>0.91164539539946576</v>
      </c>
      <c r="O46" s="58">
        <f t="shared" si="3"/>
        <v>1</v>
      </c>
      <c r="P46">
        <v>0</v>
      </c>
      <c r="Q46" s="97">
        <v>4.3701672531636301E-2</v>
      </c>
      <c r="R46" s="97">
        <f t="shared" si="4"/>
        <v>0</v>
      </c>
      <c r="S46" s="58">
        <f t="shared" si="5"/>
        <v>0.5</v>
      </c>
    </row>
    <row r="47" spans="1:19" ht="16.5" x14ac:dyDescent="0.3">
      <c r="A47" s="23" t="str">
        <f>+VLOOKUP(B47,'INDICADORES CAPTURA'!C:E,3,FALSE)</f>
        <v xml:space="preserve">SUSANA SILVA MENDOZA      </v>
      </c>
      <c r="B47" s="24" t="s">
        <v>20</v>
      </c>
      <c r="C47" s="41">
        <f t="shared" si="0"/>
        <v>1</v>
      </c>
      <c r="D47" s="6">
        <v>2</v>
      </c>
      <c r="E47" s="6">
        <v>2</v>
      </c>
      <c r="F47" s="25">
        <f t="shared" si="1"/>
        <v>1</v>
      </c>
      <c r="G47" s="76">
        <v>1</v>
      </c>
      <c r="H47" s="76">
        <v>1</v>
      </c>
      <c r="I47" s="76">
        <v>0</v>
      </c>
      <c r="J47" s="59">
        <v>1</v>
      </c>
      <c r="K47" s="58">
        <v>0.75</v>
      </c>
      <c r="L47" s="76">
        <v>1</v>
      </c>
      <c r="M47" s="58">
        <f t="shared" si="2"/>
        <v>0.58333333333333337</v>
      </c>
      <c r="N47" s="85">
        <v>1.5777985138145765</v>
      </c>
      <c r="O47" s="58">
        <f t="shared" si="3"/>
        <v>1</v>
      </c>
      <c r="P47">
        <v>0</v>
      </c>
      <c r="Q47" s="97">
        <v>1.4739558240032037E-2</v>
      </c>
      <c r="R47" s="97">
        <f t="shared" si="4"/>
        <v>1</v>
      </c>
      <c r="S47" s="58">
        <f>+O47</f>
        <v>1</v>
      </c>
    </row>
    <row r="48" spans="1:19" ht="16.5" x14ac:dyDescent="0.3">
      <c r="A48" s="23" t="str">
        <f>+VLOOKUP(B48,'INDICADORES CAPTURA'!C:E,3,FALSE)</f>
        <v>MEJÍA BLANDÓN ASTRID KARINA</v>
      </c>
      <c r="B48" s="24" t="s">
        <v>59</v>
      </c>
      <c r="C48" s="41">
        <f t="shared" si="0"/>
        <v>1</v>
      </c>
      <c r="D48" s="6">
        <v>2</v>
      </c>
      <c r="E48" s="6">
        <v>2</v>
      </c>
      <c r="F48" s="25">
        <f t="shared" si="1"/>
        <v>1</v>
      </c>
      <c r="G48" s="76">
        <v>1</v>
      </c>
      <c r="H48" s="76">
        <v>1</v>
      </c>
      <c r="I48" s="76">
        <v>1</v>
      </c>
      <c r="J48" s="59">
        <v>1</v>
      </c>
      <c r="K48" s="58">
        <v>0.75</v>
      </c>
      <c r="L48" s="76">
        <v>1</v>
      </c>
      <c r="M48" s="58">
        <f t="shared" si="2"/>
        <v>0.91666666666666663</v>
      </c>
      <c r="N48" s="85">
        <v>1.2388962584107799</v>
      </c>
      <c r="O48" s="58">
        <f t="shared" si="3"/>
        <v>1</v>
      </c>
      <c r="P48">
        <v>0</v>
      </c>
      <c r="Q48" s="97">
        <v>6.9404484321649541E-3</v>
      </c>
      <c r="R48" s="97">
        <f t="shared" si="4"/>
        <v>1</v>
      </c>
      <c r="S48" s="58">
        <f t="shared" si="5"/>
        <v>1</v>
      </c>
    </row>
    <row r="49" spans="1:19" ht="16.5" x14ac:dyDescent="0.3">
      <c r="A49" s="23" t="str">
        <f>+VLOOKUP(B49,'INDICADORES CAPTURA'!C:E,3,FALSE)</f>
        <v>MELISA MARTINEZ</v>
      </c>
      <c r="B49" s="24" t="s">
        <v>49</v>
      </c>
      <c r="C49" s="41">
        <f t="shared" si="0"/>
        <v>1</v>
      </c>
      <c r="D49" s="6">
        <v>10</v>
      </c>
      <c r="E49" s="6">
        <v>10</v>
      </c>
      <c r="F49" s="25">
        <f t="shared" si="1"/>
        <v>1</v>
      </c>
      <c r="G49" s="76">
        <v>1</v>
      </c>
      <c r="H49" s="76">
        <v>1</v>
      </c>
      <c r="I49" s="76">
        <v>1</v>
      </c>
      <c r="J49" s="59">
        <v>1</v>
      </c>
      <c r="K49" s="58">
        <v>1</v>
      </c>
      <c r="L49" s="76">
        <v>1</v>
      </c>
      <c r="M49" s="58">
        <f t="shared" si="2"/>
        <v>1</v>
      </c>
      <c r="N49" s="85">
        <v>0.87276123433748432</v>
      </c>
      <c r="O49" s="58">
        <f t="shared" si="3"/>
        <v>1</v>
      </c>
      <c r="P49">
        <v>0</v>
      </c>
      <c r="Q49" s="97">
        <v>1.8126570585606721E-2</v>
      </c>
      <c r="R49" s="97">
        <f t="shared" si="4"/>
        <v>1</v>
      </c>
      <c r="S49" s="58">
        <f t="shared" si="5"/>
        <v>1</v>
      </c>
    </row>
    <row r="50" spans="1:19" ht="16.5" x14ac:dyDescent="0.3">
      <c r="A50" s="23" t="str">
        <f>+VLOOKUP(B50,'INDICADORES CAPTURA'!C:E,3,FALSE)</f>
        <v>SÁNCHEZ ZAMBRANO LEIDY NICOLE VANESSA</v>
      </c>
      <c r="B50" s="24" t="s">
        <v>151</v>
      </c>
      <c r="C50" s="41">
        <f t="shared" si="0"/>
        <v>0.93333333333333324</v>
      </c>
      <c r="D50" s="6">
        <v>10</v>
      </c>
      <c r="E50" s="6">
        <v>10</v>
      </c>
      <c r="F50" s="25">
        <f t="shared" si="1"/>
        <v>1</v>
      </c>
      <c r="G50" s="76">
        <v>0.9</v>
      </c>
      <c r="H50" s="76">
        <v>0.9</v>
      </c>
      <c r="I50" s="76">
        <v>0.9</v>
      </c>
      <c r="J50" s="59">
        <v>1</v>
      </c>
      <c r="K50" s="58">
        <v>0.94736842105263153</v>
      </c>
      <c r="L50" s="76">
        <v>1</v>
      </c>
      <c r="M50" s="58">
        <f t="shared" si="2"/>
        <v>0.94912280701754381</v>
      </c>
      <c r="N50" s="85">
        <v>0</v>
      </c>
      <c r="O50" s="58">
        <f t="shared" si="3"/>
        <v>0.9</v>
      </c>
      <c r="P50">
        <v>0</v>
      </c>
      <c r="Q50" s="97">
        <v>2.5399999999999999E-2</v>
      </c>
      <c r="R50" s="97">
        <f t="shared" si="4"/>
        <v>1</v>
      </c>
      <c r="S50" s="58">
        <f t="shared" si="5"/>
        <v>0.95</v>
      </c>
    </row>
    <row r="51" spans="1:19" ht="16.5" x14ac:dyDescent="0.3">
      <c r="A51" s="23" t="str">
        <f>+VLOOKUP(B51,'INDICADORES CAPTURA'!C:E,3,FALSE)</f>
        <v xml:space="preserve">SUSANA SILVA MENDOZA      </v>
      </c>
      <c r="B51" s="24" t="s">
        <v>14</v>
      </c>
      <c r="C51" s="41">
        <f t="shared" si="0"/>
        <v>1</v>
      </c>
      <c r="D51" s="6">
        <v>2</v>
      </c>
      <c r="E51" s="6">
        <v>2</v>
      </c>
      <c r="F51" s="25">
        <f t="shared" si="1"/>
        <v>1</v>
      </c>
      <c r="G51" s="76">
        <v>1</v>
      </c>
      <c r="H51" s="76">
        <v>1</v>
      </c>
      <c r="I51" s="76">
        <v>1</v>
      </c>
      <c r="J51" s="59">
        <v>1</v>
      </c>
      <c r="K51" s="58">
        <v>1</v>
      </c>
      <c r="L51" s="76">
        <v>1</v>
      </c>
      <c r="M51" s="58">
        <f t="shared" si="2"/>
        <v>1</v>
      </c>
      <c r="N51" s="85">
        <v>1.1378459129618947</v>
      </c>
      <c r="O51" s="58">
        <f t="shared" si="3"/>
        <v>1</v>
      </c>
      <c r="P51">
        <v>0</v>
      </c>
      <c r="Q51" s="97">
        <v>2.8716300472885582E-2</v>
      </c>
      <c r="R51" s="97">
        <f t="shared" si="4"/>
        <v>1</v>
      </c>
      <c r="S51" s="58">
        <f>+O51</f>
        <v>1</v>
      </c>
    </row>
    <row r="52" spans="1:19" ht="16.5" x14ac:dyDescent="0.3">
      <c r="A52" s="23" t="str">
        <f>+VLOOKUP(B52,'INDICADORES CAPTURA'!C:E,3,FALSE)</f>
        <v>OSSA TABARES JAZMIN BERNARDA</v>
      </c>
      <c r="B52" s="24" t="s">
        <v>175</v>
      </c>
      <c r="C52" s="41">
        <f t="shared" si="0"/>
        <v>1</v>
      </c>
      <c r="D52" s="6">
        <v>16</v>
      </c>
      <c r="E52" s="6">
        <v>16</v>
      </c>
      <c r="F52" s="25">
        <f t="shared" si="1"/>
        <v>1</v>
      </c>
      <c r="G52" s="76">
        <v>1</v>
      </c>
      <c r="H52" s="76">
        <v>1</v>
      </c>
      <c r="I52" s="76">
        <v>1</v>
      </c>
      <c r="J52" s="59">
        <v>1</v>
      </c>
      <c r="K52" s="58">
        <v>1</v>
      </c>
      <c r="L52" s="76">
        <v>1</v>
      </c>
      <c r="M52" s="58">
        <f t="shared" si="2"/>
        <v>1</v>
      </c>
      <c r="N52" s="85">
        <v>1.0459483412955795</v>
      </c>
      <c r="O52" s="58">
        <f t="shared" si="3"/>
        <v>1</v>
      </c>
      <c r="P52">
        <v>0</v>
      </c>
      <c r="Q52" s="97">
        <v>1.7710932949327188E-2</v>
      </c>
      <c r="R52" s="97">
        <f t="shared" si="4"/>
        <v>1</v>
      </c>
      <c r="S52" s="58">
        <f t="shared" si="5"/>
        <v>1</v>
      </c>
    </row>
    <row r="53" spans="1:19" ht="16.5" x14ac:dyDescent="0.3">
      <c r="A53" s="23" t="str">
        <f>+VLOOKUP(B53,'INDICADORES CAPTURA'!C:E,3,FALSE)</f>
        <v>PEREZ ZAGARRA AUGUSTO EDUARDO</v>
      </c>
      <c r="B53" s="24" t="s">
        <v>80</v>
      </c>
      <c r="C53" s="41">
        <f t="shared" si="0"/>
        <v>1</v>
      </c>
      <c r="D53" s="6">
        <v>18</v>
      </c>
      <c r="E53" s="6">
        <v>18</v>
      </c>
      <c r="F53" s="25">
        <f t="shared" si="1"/>
        <v>1</v>
      </c>
      <c r="G53" s="76">
        <v>1</v>
      </c>
      <c r="H53" s="76">
        <v>1</v>
      </c>
      <c r="I53" s="76">
        <v>1</v>
      </c>
      <c r="J53" s="59">
        <v>1</v>
      </c>
      <c r="K53" s="58">
        <v>1</v>
      </c>
      <c r="L53" s="76">
        <v>1</v>
      </c>
      <c r="M53" s="58">
        <f t="shared" si="2"/>
        <v>1</v>
      </c>
      <c r="N53" s="85">
        <v>1.1574482015242074</v>
      </c>
      <c r="O53" s="58">
        <f t="shared" si="3"/>
        <v>1</v>
      </c>
      <c r="P53">
        <v>0</v>
      </c>
      <c r="Q53" s="97">
        <v>7.4646140363396743E-2</v>
      </c>
      <c r="R53" s="97">
        <f t="shared" si="4"/>
        <v>0</v>
      </c>
      <c r="S53" s="58">
        <f t="shared" si="5"/>
        <v>0.5</v>
      </c>
    </row>
    <row r="54" spans="1:19" ht="16.5" x14ac:dyDescent="0.3">
      <c r="A54" s="23" t="str">
        <f>+VLOOKUP(B54,'INDICADORES CAPTURA'!C:E,3,FALSE)</f>
        <v xml:space="preserve">JUAN PABLO GIL ALMANZA    </v>
      </c>
      <c r="B54" s="24" t="s">
        <v>26</v>
      </c>
      <c r="C54" s="41">
        <f t="shared" si="0"/>
        <v>1</v>
      </c>
      <c r="D54" s="6">
        <v>14</v>
      </c>
      <c r="E54" s="6">
        <v>14</v>
      </c>
      <c r="F54" s="25">
        <f t="shared" si="1"/>
        <v>1</v>
      </c>
      <c r="G54" s="76">
        <v>1</v>
      </c>
      <c r="H54" s="76">
        <v>1</v>
      </c>
      <c r="I54" s="76">
        <v>1</v>
      </c>
      <c r="J54" s="59">
        <v>1</v>
      </c>
      <c r="K54" s="58">
        <v>1</v>
      </c>
      <c r="L54" s="76">
        <v>1</v>
      </c>
      <c r="M54" s="58">
        <f t="shared" si="2"/>
        <v>1</v>
      </c>
      <c r="N54" s="85">
        <v>1.1783684512729431</v>
      </c>
      <c r="O54" s="58">
        <f t="shared" si="3"/>
        <v>1</v>
      </c>
      <c r="P54">
        <v>0</v>
      </c>
      <c r="Q54" s="97">
        <v>1.4647729827630679E-2</v>
      </c>
      <c r="R54" s="97">
        <f t="shared" si="4"/>
        <v>1</v>
      </c>
      <c r="S54" s="58">
        <f t="shared" si="5"/>
        <v>1</v>
      </c>
    </row>
    <row r="55" spans="1:19" ht="16.5" x14ac:dyDescent="0.3">
      <c r="A55" s="23" t="str">
        <f>+VLOOKUP(B55,'INDICADORES CAPTURA'!C:E,3,FALSE)</f>
        <v xml:space="preserve">SUSANA SILVA MENDOZA      </v>
      </c>
      <c r="B55" s="24" t="s">
        <v>16</v>
      </c>
      <c r="C55" s="41">
        <f t="shared" si="0"/>
        <v>1</v>
      </c>
      <c r="D55" s="6">
        <v>15</v>
      </c>
      <c r="E55" s="6">
        <v>15</v>
      </c>
      <c r="F55" s="25">
        <f t="shared" si="1"/>
        <v>1</v>
      </c>
      <c r="G55" s="76">
        <v>1</v>
      </c>
      <c r="H55" s="76">
        <v>1</v>
      </c>
      <c r="I55" s="76">
        <v>0.8666666666666667</v>
      </c>
      <c r="J55" s="59">
        <v>1</v>
      </c>
      <c r="K55" s="58">
        <v>1</v>
      </c>
      <c r="L55" s="76">
        <v>1</v>
      </c>
      <c r="M55" s="58">
        <f t="shared" si="2"/>
        <v>0.9555555555555556</v>
      </c>
      <c r="N55" s="85">
        <v>1.1243967722996251</v>
      </c>
      <c r="O55" s="58">
        <f t="shared" si="3"/>
        <v>1</v>
      </c>
      <c r="P55">
        <v>0</v>
      </c>
      <c r="Q55" s="97">
        <v>3.4225242186378464E-2</v>
      </c>
      <c r="R55" s="97">
        <f t="shared" si="4"/>
        <v>0</v>
      </c>
      <c r="S55" s="58">
        <f t="shared" si="5"/>
        <v>0.5</v>
      </c>
    </row>
    <row r="56" spans="1:19" ht="16.5" x14ac:dyDescent="0.3">
      <c r="A56" s="23" t="str">
        <f>+VLOOKUP(B56,'INDICADORES CAPTURA'!C:E,3,FALSE)</f>
        <v>PIÑEROS MONTAÑA LAURA ESTEPHANIA</v>
      </c>
      <c r="B56" s="24" t="s">
        <v>123</v>
      </c>
      <c r="C56" s="41">
        <f t="shared" si="0"/>
        <v>1</v>
      </c>
      <c r="D56" s="6">
        <v>4</v>
      </c>
      <c r="E56" s="6">
        <v>4</v>
      </c>
      <c r="F56" s="25">
        <f t="shared" si="1"/>
        <v>1</v>
      </c>
      <c r="G56" s="76">
        <v>1</v>
      </c>
      <c r="H56" s="76">
        <v>1</v>
      </c>
      <c r="I56" s="76">
        <v>1</v>
      </c>
      <c r="J56" s="59">
        <v>1</v>
      </c>
      <c r="K56" s="58">
        <v>0.77777777777777779</v>
      </c>
      <c r="L56" s="76">
        <v>1</v>
      </c>
      <c r="M56" s="58">
        <f t="shared" si="2"/>
        <v>0.92592592592592593</v>
      </c>
      <c r="N56" s="85">
        <v>1.107484829258496</v>
      </c>
      <c r="O56" s="58">
        <f t="shared" si="3"/>
        <v>1</v>
      </c>
      <c r="P56">
        <v>0</v>
      </c>
      <c r="Q56" s="97">
        <v>9.9603788335590401E-3</v>
      </c>
      <c r="R56" s="97">
        <f t="shared" si="4"/>
        <v>1</v>
      </c>
      <c r="S56" s="58">
        <f t="shared" si="5"/>
        <v>1</v>
      </c>
    </row>
    <row r="57" spans="1:19" ht="16.5" x14ac:dyDescent="0.3">
      <c r="A57" s="23" t="str">
        <f>+VLOOKUP(B57,'INDICADORES CAPTURA'!C:E,3,FALSE)</f>
        <v>SÁNCHEZ ZAMBRANO LEIDY NICOLE VANESSA</v>
      </c>
      <c r="B57" s="24" t="s">
        <v>148</v>
      </c>
      <c r="C57" s="41">
        <f t="shared" si="0"/>
        <v>0.87179487179487181</v>
      </c>
      <c r="D57" s="6">
        <v>13</v>
      </c>
      <c r="E57" s="6">
        <v>13</v>
      </c>
      <c r="F57" s="25">
        <f t="shared" si="1"/>
        <v>1</v>
      </c>
      <c r="G57" s="76">
        <v>0.76923076923076927</v>
      </c>
      <c r="H57" s="76">
        <v>0.84615384615384615</v>
      </c>
      <c r="I57" s="76">
        <v>0.84615384615384615</v>
      </c>
      <c r="J57" s="59">
        <v>1</v>
      </c>
      <c r="K57" s="58">
        <v>1</v>
      </c>
      <c r="L57" s="76">
        <v>1</v>
      </c>
      <c r="M57" s="58">
        <f t="shared" si="2"/>
        <v>0.94871794871794879</v>
      </c>
      <c r="N57" s="85">
        <v>0</v>
      </c>
      <c r="O57" s="58">
        <f t="shared" si="3"/>
        <v>0.76923076923076927</v>
      </c>
      <c r="P57">
        <v>0</v>
      </c>
      <c r="Q57" s="97">
        <v>2.5399999999999999E-2</v>
      </c>
      <c r="R57" s="97">
        <f t="shared" si="4"/>
        <v>1</v>
      </c>
      <c r="S57" s="58">
        <f t="shared" si="5"/>
        <v>0.88461538461538458</v>
      </c>
    </row>
    <row r="58" spans="1:19" ht="16.5" x14ac:dyDescent="0.3">
      <c r="A58" s="23" t="str">
        <f>+VLOOKUP(B58,'INDICADORES CAPTURA'!C:E,3,FALSE)</f>
        <v xml:space="preserve">SUSANA SILVA MENDOZA      </v>
      </c>
      <c r="B58" s="24" t="s">
        <v>25</v>
      </c>
      <c r="C58" s="41">
        <f t="shared" si="0"/>
        <v>1</v>
      </c>
      <c r="D58" s="6">
        <v>5</v>
      </c>
      <c r="E58" s="6">
        <v>5</v>
      </c>
      <c r="F58" s="25">
        <f t="shared" si="1"/>
        <v>1</v>
      </c>
      <c r="G58" s="76">
        <v>1</v>
      </c>
      <c r="H58" s="76">
        <v>1</v>
      </c>
      <c r="I58" s="76">
        <v>1</v>
      </c>
      <c r="J58" s="59">
        <v>1</v>
      </c>
      <c r="K58" s="58">
        <v>1</v>
      </c>
      <c r="L58" s="76">
        <v>1</v>
      </c>
      <c r="M58" s="58">
        <f t="shared" si="2"/>
        <v>1</v>
      </c>
      <c r="N58" s="85">
        <v>0.75218713562562833</v>
      </c>
      <c r="O58" s="58">
        <f t="shared" si="3"/>
        <v>1</v>
      </c>
      <c r="P58">
        <v>0</v>
      </c>
      <c r="Q58" s="97">
        <v>8.8962316962847496E-3</v>
      </c>
      <c r="R58" s="97">
        <f t="shared" si="4"/>
        <v>1</v>
      </c>
      <c r="S58" s="58">
        <f t="shared" si="5"/>
        <v>1</v>
      </c>
    </row>
    <row r="59" spans="1:19" ht="16.5" x14ac:dyDescent="0.3">
      <c r="A59" s="23" t="str">
        <f>+VLOOKUP(B59,'INDICADORES CAPTURA'!C:E,3,FALSE)</f>
        <v>GONZALEZ BARRANTES EDWIN JESSID</v>
      </c>
      <c r="B59" s="24" t="s">
        <v>97</v>
      </c>
      <c r="C59" s="41">
        <f t="shared" si="0"/>
        <v>1</v>
      </c>
      <c r="D59" s="6">
        <v>13</v>
      </c>
      <c r="E59" s="6">
        <v>13</v>
      </c>
      <c r="F59" s="25">
        <f t="shared" si="1"/>
        <v>1</v>
      </c>
      <c r="G59" s="76">
        <v>1</v>
      </c>
      <c r="H59" s="76">
        <v>1</v>
      </c>
      <c r="I59" s="76">
        <v>0.92307692307692313</v>
      </c>
      <c r="J59" s="59">
        <v>1</v>
      </c>
      <c r="K59" s="58">
        <v>0.77777777777777779</v>
      </c>
      <c r="L59" s="76">
        <v>1</v>
      </c>
      <c r="M59" s="58">
        <f t="shared" si="2"/>
        <v>0.90028490028490038</v>
      </c>
      <c r="N59" s="85">
        <v>1.1778603756967887</v>
      </c>
      <c r="O59" s="58">
        <f t="shared" si="3"/>
        <v>1</v>
      </c>
      <c r="P59">
        <v>0</v>
      </c>
      <c r="Q59" s="97">
        <v>2.3315666447807634E-2</v>
      </c>
      <c r="R59" s="97">
        <f t="shared" si="4"/>
        <v>1</v>
      </c>
      <c r="S59" s="58">
        <f t="shared" si="5"/>
        <v>1</v>
      </c>
    </row>
    <row r="60" spans="1:19" ht="16.5" x14ac:dyDescent="0.3">
      <c r="A60" s="23" t="str">
        <f>+VLOOKUP(B60,'INDICADORES CAPTURA'!C:E,3,FALSE)</f>
        <v>PIÑEROS MONTAÑA LAURA ESTEPHANIA</v>
      </c>
      <c r="B60" s="24" t="s">
        <v>131</v>
      </c>
      <c r="C60" s="41">
        <f t="shared" si="0"/>
        <v>1</v>
      </c>
      <c r="D60" s="6">
        <v>18</v>
      </c>
      <c r="E60" s="6">
        <v>18</v>
      </c>
      <c r="F60" s="25">
        <f t="shared" si="1"/>
        <v>1</v>
      </c>
      <c r="G60" s="76">
        <v>1</v>
      </c>
      <c r="H60" s="76">
        <v>1</v>
      </c>
      <c r="I60" s="76">
        <v>1</v>
      </c>
      <c r="J60" s="59">
        <v>1</v>
      </c>
      <c r="K60" s="58">
        <v>0.90909090909090906</v>
      </c>
      <c r="L60" s="76">
        <v>1</v>
      </c>
      <c r="M60" s="58">
        <f t="shared" si="2"/>
        <v>0.96969696969696972</v>
      </c>
      <c r="N60" s="85">
        <v>1.1709952060900224</v>
      </c>
      <c r="O60" s="58">
        <f t="shared" si="3"/>
        <v>1</v>
      </c>
      <c r="P60">
        <v>0</v>
      </c>
      <c r="Q60" s="97">
        <v>2.0768817353177538E-2</v>
      </c>
      <c r="R60" s="97">
        <f t="shared" si="4"/>
        <v>1</v>
      </c>
      <c r="S60" s="58">
        <f t="shared" si="5"/>
        <v>1</v>
      </c>
    </row>
    <row r="61" spans="1:19" ht="16.5" x14ac:dyDescent="0.3">
      <c r="A61" s="23" t="str">
        <f>+VLOOKUP(B61,'INDICADORES CAPTURA'!C:E,3,FALSE)</f>
        <v xml:space="preserve">JUAN PABLO GIL ALMANZA    </v>
      </c>
      <c r="B61" s="24" t="s">
        <v>29</v>
      </c>
      <c r="C61" s="41">
        <f t="shared" si="0"/>
        <v>1</v>
      </c>
      <c r="D61" s="6">
        <v>15</v>
      </c>
      <c r="E61" s="6">
        <v>15</v>
      </c>
      <c r="F61" s="25">
        <f t="shared" si="1"/>
        <v>1</v>
      </c>
      <c r="G61" s="76">
        <v>1</v>
      </c>
      <c r="H61" s="76">
        <v>1</v>
      </c>
      <c r="I61" s="76">
        <v>1</v>
      </c>
      <c r="J61" s="59">
        <v>1</v>
      </c>
      <c r="K61" s="58">
        <v>1</v>
      </c>
      <c r="L61" s="76">
        <v>1</v>
      </c>
      <c r="M61" s="58">
        <f t="shared" si="2"/>
        <v>1</v>
      </c>
      <c r="N61" s="85">
        <v>1.0490626894106316</v>
      </c>
      <c r="O61" s="58">
        <f t="shared" si="3"/>
        <v>1</v>
      </c>
      <c r="P61">
        <v>0</v>
      </c>
      <c r="Q61" s="97">
        <v>2.4540321383058408E-2</v>
      </c>
      <c r="R61" s="97">
        <f t="shared" si="4"/>
        <v>1</v>
      </c>
      <c r="S61" s="58">
        <f t="shared" si="5"/>
        <v>1</v>
      </c>
    </row>
    <row r="62" spans="1:19" ht="16.5" x14ac:dyDescent="0.3">
      <c r="A62" s="23" t="str">
        <f>+VLOOKUP(B62,'INDICADORES CAPTURA'!C:E,3,FALSE)</f>
        <v>PIÑEROS MONTAÑA LAURA ESTEPHANIA</v>
      </c>
      <c r="B62" s="24" t="s">
        <v>125</v>
      </c>
      <c r="C62" s="41">
        <f t="shared" si="0"/>
        <v>1</v>
      </c>
      <c r="D62" s="6">
        <v>7</v>
      </c>
      <c r="E62" s="6">
        <v>7</v>
      </c>
      <c r="F62" s="25">
        <f t="shared" si="1"/>
        <v>1</v>
      </c>
      <c r="G62" s="76">
        <v>1</v>
      </c>
      <c r="H62" s="76">
        <v>1</v>
      </c>
      <c r="I62" s="76">
        <v>1</v>
      </c>
      <c r="J62" s="59">
        <v>1</v>
      </c>
      <c r="K62" s="58">
        <v>1</v>
      </c>
      <c r="L62" s="76">
        <v>1</v>
      </c>
      <c r="M62" s="58">
        <f t="shared" si="2"/>
        <v>1</v>
      </c>
      <c r="N62" s="85">
        <v>1.0321854163662751</v>
      </c>
      <c r="O62" s="58">
        <f t="shared" si="3"/>
        <v>1</v>
      </c>
      <c r="P62">
        <v>0</v>
      </c>
      <c r="Q62" s="97">
        <v>1.7602777810546942E-2</v>
      </c>
      <c r="R62" s="97">
        <f t="shared" si="4"/>
        <v>1</v>
      </c>
      <c r="S62" s="58">
        <f t="shared" si="5"/>
        <v>1</v>
      </c>
    </row>
    <row r="63" spans="1:19" ht="16.5" x14ac:dyDescent="0.3">
      <c r="A63" s="23" t="str">
        <f>+VLOOKUP(B63,'INDICADORES CAPTURA'!C:E,3,FALSE)</f>
        <v>MEJÍA BLANDÓN ASTRID KARINA</v>
      </c>
      <c r="B63" s="24" t="s">
        <v>69</v>
      </c>
      <c r="C63" s="41">
        <f t="shared" si="0"/>
        <v>0.875</v>
      </c>
      <c r="D63" s="6">
        <v>8</v>
      </c>
      <c r="E63" s="6">
        <v>7</v>
      </c>
      <c r="F63" s="25">
        <f t="shared" si="1"/>
        <v>0.875</v>
      </c>
      <c r="G63" s="76">
        <v>0.875</v>
      </c>
      <c r="H63" s="76">
        <v>0.875</v>
      </c>
      <c r="I63" s="76">
        <v>0.25</v>
      </c>
      <c r="J63" s="59">
        <v>0.875</v>
      </c>
      <c r="K63" s="58">
        <v>0.52941176470588236</v>
      </c>
      <c r="L63" s="76">
        <v>0.875</v>
      </c>
      <c r="M63" s="58">
        <f t="shared" si="2"/>
        <v>0.55147058823529405</v>
      </c>
      <c r="N63" s="85">
        <v>1.024128015353523</v>
      </c>
      <c r="O63" s="58">
        <f t="shared" si="3"/>
        <v>0.875</v>
      </c>
      <c r="P63">
        <v>0</v>
      </c>
      <c r="Q63" s="97">
        <v>1.1951253589528987E-2</v>
      </c>
      <c r="R63" s="97">
        <f t="shared" si="4"/>
        <v>1</v>
      </c>
      <c r="S63" s="58">
        <f t="shared" si="5"/>
        <v>0.9375</v>
      </c>
    </row>
    <row r="64" spans="1:19" ht="16.5" x14ac:dyDescent="0.3">
      <c r="A64" s="23" t="str">
        <f>+VLOOKUP(B64,'INDICADORES CAPTURA'!C:E,3,FALSE)</f>
        <v>PEREZ ZAGARRA AUGUSTO EDUARDO</v>
      </c>
      <c r="B64" s="24" t="s">
        <v>75</v>
      </c>
      <c r="C64" s="41">
        <f t="shared" si="0"/>
        <v>0.81944444444444453</v>
      </c>
      <c r="D64" s="6">
        <v>24</v>
      </c>
      <c r="E64" s="6">
        <v>22</v>
      </c>
      <c r="F64" s="25">
        <f t="shared" si="1"/>
        <v>0.91666666666666663</v>
      </c>
      <c r="G64" s="76">
        <v>0.875</v>
      </c>
      <c r="H64" s="76">
        <v>0.70833333333333337</v>
      </c>
      <c r="I64" s="76">
        <v>0.83333333333333337</v>
      </c>
      <c r="J64" s="59">
        <v>0.875</v>
      </c>
      <c r="K64" s="58">
        <v>0.96202531645569622</v>
      </c>
      <c r="L64" s="76">
        <v>0.875</v>
      </c>
      <c r="M64" s="58">
        <f t="shared" si="2"/>
        <v>0.89011954992967668</v>
      </c>
      <c r="N64" s="85">
        <v>0.99107252591390482</v>
      </c>
      <c r="O64" s="58">
        <f t="shared" si="3"/>
        <v>0.875</v>
      </c>
      <c r="P64">
        <v>0</v>
      </c>
      <c r="Q64" s="97">
        <v>8.9984732633334105E-2</v>
      </c>
      <c r="R64" s="97">
        <f t="shared" si="4"/>
        <v>0</v>
      </c>
      <c r="S64" s="58">
        <f t="shared" si="5"/>
        <v>0.4375</v>
      </c>
    </row>
    <row r="65" spans="1:19" ht="16.5" x14ac:dyDescent="0.3">
      <c r="A65" s="23" t="str">
        <f>+VLOOKUP(B65,'INDICADORES CAPTURA'!C:E,3,FALSE)</f>
        <v>SÁNCHEZ ZAMBRANO LEIDY NICOLE VANESSA</v>
      </c>
      <c r="B65" s="24" t="s">
        <v>142</v>
      </c>
      <c r="C65" s="41">
        <f t="shared" si="0"/>
        <v>1</v>
      </c>
      <c r="D65" s="6">
        <v>1</v>
      </c>
      <c r="E65" s="6">
        <v>1</v>
      </c>
      <c r="F65" s="25">
        <f t="shared" si="1"/>
        <v>1</v>
      </c>
      <c r="G65" s="76">
        <v>1</v>
      </c>
      <c r="H65" s="76">
        <v>1</v>
      </c>
      <c r="I65" s="76">
        <v>1</v>
      </c>
      <c r="J65" s="59">
        <v>1</v>
      </c>
      <c r="K65" s="58">
        <v>1</v>
      </c>
      <c r="L65" s="76">
        <v>1</v>
      </c>
      <c r="M65" s="58">
        <f t="shared" si="2"/>
        <v>1</v>
      </c>
      <c r="N65" s="85">
        <v>0</v>
      </c>
      <c r="O65" s="58">
        <f t="shared" si="3"/>
        <v>1</v>
      </c>
      <c r="P65">
        <v>0</v>
      </c>
      <c r="Q65" s="97">
        <v>2.5399999999999999E-2</v>
      </c>
      <c r="R65" s="97">
        <f t="shared" si="4"/>
        <v>1</v>
      </c>
      <c r="S65" s="58">
        <f t="shared" si="5"/>
        <v>1</v>
      </c>
    </row>
    <row r="66" spans="1:19" ht="16.5" x14ac:dyDescent="0.3">
      <c r="A66" s="23" t="str">
        <f>+VLOOKUP(B66,'INDICADORES CAPTURA'!C:E,3,FALSE)</f>
        <v xml:space="preserve">SUSANA SILVA MENDOZA      </v>
      </c>
      <c r="B66" s="24" t="s">
        <v>21</v>
      </c>
      <c r="C66" s="41">
        <f t="shared" si="0"/>
        <v>0.66666666666666663</v>
      </c>
      <c r="D66" s="6">
        <v>1</v>
      </c>
      <c r="E66" s="6">
        <v>1</v>
      </c>
      <c r="F66" s="25">
        <f t="shared" si="1"/>
        <v>1</v>
      </c>
      <c r="G66" s="76">
        <v>1</v>
      </c>
      <c r="H66" s="76">
        <v>1</v>
      </c>
      <c r="I66" s="76">
        <v>1</v>
      </c>
      <c r="J66" s="59">
        <v>0</v>
      </c>
      <c r="K66" s="58">
        <v>1</v>
      </c>
      <c r="L66" s="76">
        <v>0</v>
      </c>
      <c r="M66" s="58">
        <f t="shared" si="2"/>
        <v>0.66666666666666663</v>
      </c>
      <c r="N66" s="85">
        <v>1.5777985138145765</v>
      </c>
      <c r="O66" s="58">
        <f t="shared" si="3"/>
        <v>1</v>
      </c>
      <c r="P66">
        <v>0</v>
      </c>
      <c r="Q66" s="97">
        <v>1.4739558240032037E-2</v>
      </c>
      <c r="R66" s="97">
        <f t="shared" si="4"/>
        <v>1</v>
      </c>
      <c r="S66" s="58">
        <f t="shared" ref="S66:S67" si="6">+O66</f>
        <v>1</v>
      </c>
    </row>
    <row r="67" spans="1:19" ht="16.5" x14ac:dyDescent="0.3">
      <c r="A67" s="23" t="str">
        <f>+VLOOKUP(B67,'INDICADORES CAPTURA'!C:E,3,FALSE)</f>
        <v>MARTINEZ VARGAS CHRISTAN RICARDO</v>
      </c>
      <c r="B67" s="24" t="s">
        <v>161</v>
      </c>
      <c r="C67" s="41">
        <f t="shared" ref="C67:C130" si="7">+AVERAGE(G67,H67,L67)</f>
        <v>1</v>
      </c>
      <c r="D67" s="6">
        <v>7</v>
      </c>
      <c r="E67" s="6">
        <v>7</v>
      </c>
      <c r="F67" s="25">
        <f t="shared" ref="F67:F130" si="8">+E67/D67</f>
        <v>1</v>
      </c>
      <c r="G67" s="76">
        <v>1</v>
      </c>
      <c r="H67" s="76">
        <v>1</v>
      </c>
      <c r="I67" s="76">
        <v>0</v>
      </c>
      <c r="J67" s="59">
        <v>1</v>
      </c>
      <c r="K67" s="58">
        <v>1</v>
      </c>
      <c r="L67" s="76">
        <v>1</v>
      </c>
      <c r="M67" s="58">
        <f t="shared" ref="M67:M130" si="9">+AVERAGE(I67,J67,K67)</f>
        <v>0.66666666666666663</v>
      </c>
      <c r="N67" s="85">
        <v>0.86802055560423497</v>
      </c>
      <c r="O67" s="58">
        <f t="shared" ref="O67:O130" si="10">+G67</f>
        <v>1</v>
      </c>
      <c r="P67">
        <v>0</v>
      </c>
      <c r="Q67" s="97">
        <v>6.5233601683608686E-2</v>
      </c>
      <c r="R67" s="97">
        <f t="shared" ref="R67:R130" si="11">+IF(Q67&lt;3%,100%,0)</f>
        <v>0</v>
      </c>
      <c r="S67" s="58">
        <f t="shared" si="6"/>
        <v>1</v>
      </c>
    </row>
    <row r="68" spans="1:19" ht="16.5" x14ac:dyDescent="0.3">
      <c r="A68" s="23" t="str">
        <f>+VLOOKUP(B68,'INDICADORES CAPTURA'!C:E,3,FALSE)</f>
        <v>SÁNCHEZ ZAMBRANO LEIDY NICOLE VANESSA</v>
      </c>
      <c r="B68" s="24" t="s">
        <v>144</v>
      </c>
      <c r="C68" s="41">
        <f t="shared" si="7"/>
        <v>1</v>
      </c>
      <c r="D68" s="6">
        <v>4</v>
      </c>
      <c r="E68" s="6">
        <v>4</v>
      </c>
      <c r="F68" s="25">
        <f t="shared" si="8"/>
        <v>1</v>
      </c>
      <c r="G68" s="76">
        <v>1</v>
      </c>
      <c r="H68" s="76">
        <v>1</v>
      </c>
      <c r="I68" s="76">
        <v>0.5</v>
      </c>
      <c r="J68" s="59">
        <v>1</v>
      </c>
      <c r="K68" s="58">
        <v>0.92307692307692313</v>
      </c>
      <c r="L68" s="76">
        <v>1</v>
      </c>
      <c r="M68" s="58">
        <f t="shared" si="9"/>
        <v>0.80769230769230782</v>
      </c>
      <c r="N68" s="85">
        <v>0</v>
      </c>
      <c r="O68" s="58">
        <f t="shared" si="10"/>
        <v>1</v>
      </c>
      <c r="P68">
        <v>0</v>
      </c>
      <c r="Q68" s="97">
        <v>2.5399999999999999E-2</v>
      </c>
      <c r="R68" s="97">
        <f t="shared" si="11"/>
        <v>1</v>
      </c>
      <c r="S68" s="58">
        <f t="shared" ref="S68:S129" si="12">+AVERAGE(O68,R68)</f>
        <v>1</v>
      </c>
    </row>
    <row r="69" spans="1:19" ht="16.5" x14ac:dyDescent="0.3">
      <c r="A69" s="23" t="str">
        <f>+VLOOKUP(B69,'INDICADORES CAPTURA'!C:E,3,FALSE)</f>
        <v>PIÑEROS MONTAÑA LAURA ESTEPHANIA</v>
      </c>
      <c r="B69" s="24" t="s">
        <v>137</v>
      </c>
      <c r="C69" s="41">
        <f t="shared" si="7"/>
        <v>1</v>
      </c>
      <c r="D69" s="6">
        <v>16</v>
      </c>
      <c r="E69" s="6">
        <v>16</v>
      </c>
      <c r="F69" s="25">
        <f t="shared" si="8"/>
        <v>1</v>
      </c>
      <c r="G69" s="76">
        <v>1</v>
      </c>
      <c r="H69" s="76">
        <v>1</v>
      </c>
      <c r="I69" s="76">
        <v>1</v>
      </c>
      <c r="J69" s="59">
        <v>1</v>
      </c>
      <c r="K69" s="58">
        <v>0.66666666666666663</v>
      </c>
      <c r="L69" s="76">
        <v>1</v>
      </c>
      <c r="M69" s="58">
        <f t="shared" si="9"/>
        <v>0.88888888888888884</v>
      </c>
      <c r="N69" s="85">
        <v>1.0301859149618855</v>
      </c>
      <c r="O69" s="58">
        <f t="shared" si="10"/>
        <v>1</v>
      </c>
      <c r="P69">
        <v>0</v>
      </c>
      <c r="Q69" s="97">
        <v>1.3672897214486902E-2</v>
      </c>
      <c r="R69" s="97">
        <f t="shared" si="11"/>
        <v>1</v>
      </c>
      <c r="S69" s="58">
        <f t="shared" si="12"/>
        <v>1</v>
      </c>
    </row>
    <row r="70" spans="1:19" ht="16.5" x14ac:dyDescent="0.3">
      <c r="A70" s="23" t="str">
        <f>+VLOOKUP(B70,'INDICADORES CAPTURA'!C:E,3,FALSE)</f>
        <v xml:space="preserve">JUAN PABLO GIL ALMANZA    </v>
      </c>
      <c r="B70" s="24" t="s">
        <v>40</v>
      </c>
      <c r="C70" s="41">
        <f t="shared" si="7"/>
        <v>1</v>
      </c>
      <c r="D70" s="6">
        <v>5</v>
      </c>
      <c r="E70" s="6">
        <v>5</v>
      </c>
      <c r="F70" s="25">
        <f t="shared" si="8"/>
        <v>1</v>
      </c>
      <c r="G70" s="76">
        <v>1</v>
      </c>
      <c r="H70" s="76">
        <v>1</v>
      </c>
      <c r="I70" s="76">
        <v>1</v>
      </c>
      <c r="J70" s="59">
        <v>1</v>
      </c>
      <c r="K70" s="58">
        <v>1</v>
      </c>
      <c r="L70" s="76">
        <v>1</v>
      </c>
      <c r="M70" s="58">
        <f t="shared" si="9"/>
        <v>1</v>
      </c>
      <c r="N70" s="85">
        <v>1.1790921475886422</v>
      </c>
      <c r="O70" s="58">
        <f t="shared" si="10"/>
        <v>1</v>
      </c>
      <c r="P70">
        <v>0</v>
      </c>
      <c r="Q70" s="97">
        <v>1.504818504804027E-2</v>
      </c>
      <c r="R70" s="97">
        <f t="shared" si="11"/>
        <v>1</v>
      </c>
      <c r="S70" s="58">
        <f t="shared" si="12"/>
        <v>1</v>
      </c>
    </row>
    <row r="71" spans="1:19" ht="16.5" x14ac:dyDescent="0.3">
      <c r="A71" s="23" t="str">
        <f>+VLOOKUP(B71,'INDICADORES CAPTURA'!C:E,3,FALSE)</f>
        <v>MARTINEZ VARGAS CHRISTAN RICARDO</v>
      </c>
      <c r="B71" s="24" t="s">
        <v>159</v>
      </c>
      <c r="C71" s="41">
        <f t="shared" si="7"/>
        <v>1</v>
      </c>
      <c r="D71" s="6">
        <v>14</v>
      </c>
      <c r="E71" s="6">
        <v>14</v>
      </c>
      <c r="F71" s="25">
        <f t="shared" si="8"/>
        <v>1</v>
      </c>
      <c r="G71" s="76">
        <v>1</v>
      </c>
      <c r="H71" s="76">
        <v>1</v>
      </c>
      <c r="I71" s="76">
        <v>0.9285714285714286</v>
      </c>
      <c r="J71" s="59">
        <v>1</v>
      </c>
      <c r="K71" s="58">
        <v>0.2608695652173913</v>
      </c>
      <c r="L71" s="76">
        <v>1</v>
      </c>
      <c r="M71" s="58">
        <f t="shared" si="9"/>
        <v>0.72981366459627328</v>
      </c>
      <c r="N71" s="85">
        <v>0.82308366756239282</v>
      </c>
      <c r="O71" s="58">
        <f t="shared" si="10"/>
        <v>1</v>
      </c>
      <c r="P71">
        <v>0</v>
      </c>
      <c r="Q71" s="97">
        <v>0.12150247690979367</v>
      </c>
      <c r="R71" s="97">
        <f t="shared" si="11"/>
        <v>0</v>
      </c>
      <c r="S71" s="58">
        <f t="shared" si="12"/>
        <v>0.5</v>
      </c>
    </row>
    <row r="72" spans="1:19" ht="16.5" x14ac:dyDescent="0.3">
      <c r="A72" s="23" t="str">
        <f>+VLOOKUP(B72,'INDICADORES CAPTURA'!C:E,3,FALSE)</f>
        <v>MEJÍA BLANDÓN ASTRID KARINA</v>
      </c>
      <c r="B72" s="24" t="s">
        <v>65</v>
      </c>
      <c r="C72" s="41">
        <f t="shared" si="7"/>
        <v>0.87878787878787878</v>
      </c>
      <c r="D72" s="6">
        <v>11</v>
      </c>
      <c r="E72" s="6">
        <v>10</v>
      </c>
      <c r="F72" s="25">
        <f t="shared" si="8"/>
        <v>0.90909090909090906</v>
      </c>
      <c r="G72" s="76">
        <v>0.81818181818181823</v>
      </c>
      <c r="H72" s="76">
        <v>0.90909090909090906</v>
      </c>
      <c r="I72" s="76">
        <v>0.63636363636363635</v>
      </c>
      <c r="J72" s="59">
        <v>0.90909090909090906</v>
      </c>
      <c r="K72" s="58">
        <v>0.76470588235294112</v>
      </c>
      <c r="L72" s="76">
        <v>0.90909090909090906</v>
      </c>
      <c r="M72" s="58">
        <f t="shared" si="9"/>
        <v>0.77005347593582885</v>
      </c>
      <c r="N72" s="85">
        <v>1.0386505407413631</v>
      </c>
      <c r="O72" s="58">
        <f t="shared" si="10"/>
        <v>0.81818181818181823</v>
      </c>
      <c r="P72">
        <v>0</v>
      </c>
      <c r="Q72" s="97">
        <v>2.3589738704966237E-2</v>
      </c>
      <c r="R72" s="97">
        <f t="shared" si="11"/>
        <v>1</v>
      </c>
      <c r="S72" s="58">
        <f>+O72</f>
        <v>0.81818181818181823</v>
      </c>
    </row>
    <row r="73" spans="1:19" ht="16.5" x14ac:dyDescent="0.3">
      <c r="A73" s="23" t="str">
        <f>+VLOOKUP(B73,'INDICADORES CAPTURA'!C:E,3,FALSE)</f>
        <v>MELISA MARTINEZ</v>
      </c>
      <c r="B73" s="24" t="s">
        <v>55</v>
      </c>
      <c r="C73" s="41">
        <f t="shared" si="7"/>
        <v>1</v>
      </c>
      <c r="D73" s="6">
        <v>4</v>
      </c>
      <c r="E73" s="6">
        <v>4</v>
      </c>
      <c r="F73" s="25">
        <f t="shared" si="8"/>
        <v>1</v>
      </c>
      <c r="G73" s="76">
        <v>1</v>
      </c>
      <c r="H73" s="76">
        <v>1</v>
      </c>
      <c r="I73" s="76">
        <v>1</v>
      </c>
      <c r="J73" s="59">
        <v>1</v>
      </c>
      <c r="K73" s="58">
        <v>0.88888888888888884</v>
      </c>
      <c r="L73" s="76">
        <v>1</v>
      </c>
      <c r="M73" s="58">
        <f t="shared" si="9"/>
        <v>0.96296296296296291</v>
      </c>
      <c r="N73" s="85">
        <v>1.0858985777949481</v>
      </c>
      <c r="O73" s="58">
        <f t="shared" si="10"/>
        <v>1</v>
      </c>
      <c r="P73">
        <v>0</v>
      </c>
      <c r="Q73" s="97">
        <v>9.453823520130189E-3</v>
      </c>
      <c r="R73" s="97">
        <f t="shared" si="11"/>
        <v>1</v>
      </c>
      <c r="S73" s="58">
        <f t="shared" si="12"/>
        <v>1</v>
      </c>
    </row>
    <row r="74" spans="1:19" ht="16.5" x14ac:dyDescent="0.3">
      <c r="A74" s="23" t="str">
        <f>+VLOOKUP(B74,'INDICADORES CAPTURA'!C:E,3,FALSE)</f>
        <v xml:space="preserve">SUSANA SILVA MENDOZA      </v>
      </c>
      <c r="B74" s="24" t="s">
        <v>11</v>
      </c>
      <c r="C74" s="41">
        <f t="shared" si="7"/>
        <v>1</v>
      </c>
      <c r="D74" s="6">
        <v>16</v>
      </c>
      <c r="E74" s="6">
        <v>16</v>
      </c>
      <c r="F74" s="25">
        <f t="shared" si="8"/>
        <v>1</v>
      </c>
      <c r="G74" s="76">
        <v>1</v>
      </c>
      <c r="H74" s="76">
        <v>1</v>
      </c>
      <c r="I74" s="76">
        <v>1</v>
      </c>
      <c r="J74" s="59">
        <v>1</v>
      </c>
      <c r="K74" s="58">
        <v>1</v>
      </c>
      <c r="L74" s="76">
        <v>1</v>
      </c>
      <c r="M74" s="58">
        <f t="shared" si="9"/>
        <v>1</v>
      </c>
      <c r="N74" s="85">
        <v>2.6859171788457799</v>
      </c>
      <c r="O74" s="58">
        <f t="shared" si="10"/>
        <v>1</v>
      </c>
      <c r="P74">
        <v>0</v>
      </c>
      <c r="Q74" s="97">
        <v>0.16982595881140233</v>
      </c>
      <c r="R74" s="97">
        <f t="shared" si="11"/>
        <v>0</v>
      </c>
      <c r="S74" s="58">
        <f>+O74</f>
        <v>1</v>
      </c>
    </row>
    <row r="75" spans="1:19" ht="16.5" x14ac:dyDescent="0.3">
      <c r="A75" s="23" t="str">
        <f>+VLOOKUP(B75,'INDICADORES CAPTURA'!C:E,3,FALSE)</f>
        <v>GIL MARTINEZ JENNIFER STEFANNIE</v>
      </c>
      <c r="B75" s="24" t="s">
        <v>187</v>
      </c>
      <c r="C75" s="41">
        <f t="shared" si="7"/>
        <v>1</v>
      </c>
      <c r="D75" s="6">
        <v>4</v>
      </c>
      <c r="E75" s="6">
        <v>4</v>
      </c>
      <c r="F75" s="25">
        <f t="shared" si="8"/>
        <v>1</v>
      </c>
      <c r="G75" s="76">
        <v>1</v>
      </c>
      <c r="H75" s="76">
        <v>1</v>
      </c>
      <c r="I75" s="76">
        <v>1</v>
      </c>
      <c r="J75" s="59">
        <v>1</v>
      </c>
      <c r="K75" s="58">
        <v>1</v>
      </c>
      <c r="L75" s="76">
        <v>1</v>
      </c>
      <c r="M75" s="58">
        <f t="shared" si="9"/>
        <v>1</v>
      </c>
      <c r="N75" s="85">
        <v>1.5073077307971954</v>
      </c>
      <c r="O75" s="58">
        <f t="shared" si="10"/>
        <v>1</v>
      </c>
      <c r="P75">
        <v>0</v>
      </c>
      <c r="Q75" s="97">
        <v>9.0971423948298536E-3</v>
      </c>
      <c r="R75" s="97">
        <f t="shared" si="11"/>
        <v>1</v>
      </c>
      <c r="S75" s="58">
        <f t="shared" si="12"/>
        <v>1</v>
      </c>
    </row>
    <row r="76" spans="1:19" ht="16.5" x14ac:dyDescent="0.3">
      <c r="A76" s="23" t="str">
        <f>+VLOOKUP(B76,'INDICADORES CAPTURA'!C:E,3,FALSE)</f>
        <v>MELISA MARTINEZ</v>
      </c>
      <c r="B76" s="24" t="s">
        <v>42</v>
      </c>
      <c r="C76" s="41">
        <f t="shared" si="7"/>
        <v>1</v>
      </c>
      <c r="D76" s="6">
        <v>7</v>
      </c>
      <c r="E76" s="6">
        <v>7</v>
      </c>
      <c r="F76" s="25">
        <f t="shared" si="8"/>
        <v>1</v>
      </c>
      <c r="G76" s="76">
        <v>1</v>
      </c>
      <c r="H76" s="76">
        <v>1</v>
      </c>
      <c r="I76" s="76">
        <v>1</v>
      </c>
      <c r="J76" s="59">
        <v>1</v>
      </c>
      <c r="K76" s="58">
        <v>1</v>
      </c>
      <c r="L76" s="76">
        <v>1</v>
      </c>
      <c r="M76" s="58">
        <f t="shared" si="9"/>
        <v>1</v>
      </c>
      <c r="N76" s="85">
        <v>1.1734626413893818</v>
      </c>
      <c r="O76" s="58">
        <f t="shared" si="10"/>
        <v>1</v>
      </c>
      <c r="P76">
        <v>0</v>
      </c>
      <c r="Q76" s="97">
        <v>9.5530746579393297E-2</v>
      </c>
      <c r="R76" s="97">
        <f t="shared" si="11"/>
        <v>0</v>
      </c>
      <c r="S76" s="58">
        <f>+O76</f>
        <v>1</v>
      </c>
    </row>
    <row r="77" spans="1:19" ht="16.5" x14ac:dyDescent="0.3">
      <c r="A77" s="23" t="str">
        <f>+VLOOKUP(B77,'INDICADORES CAPTURA'!C:E,3,FALSE)</f>
        <v>BOLAÑOS QUEVEDO ALEXIS</v>
      </c>
      <c r="B77" s="24" t="s">
        <v>112</v>
      </c>
      <c r="C77" s="41">
        <f t="shared" si="7"/>
        <v>0.97222222222222221</v>
      </c>
      <c r="D77" s="6">
        <v>12</v>
      </c>
      <c r="E77" s="6">
        <v>12</v>
      </c>
      <c r="F77" s="25">
        <f t="shared" si="8"/>
        <v>1</v>
      </c>
      <c r="G77" s="76">
        <v>0.91666666666666663</v>
      </c>
      <c r="H77" s="76">
        <v>1</v>
      </c>
      <c r="I77" s="76">
        <v>0.41666666666666669</v>
      </c>
      <c r="J77" s="59">
        <v>1</v>
      </c>
      <c r="K77" s="58">
        <v>0.8571428571428571</v>
      </c>
      <c r="L77" s="76">
        <v>1</v>
      </c>
      <c r="M77" s="58">
        <f t="shared" si="9"/>
        <v>0.75793650793650791</v>
      </c>
      <c r="N77" s="85">
        <v>1.0891887767904904</v>
      </c>
      <c r="O77" s="58">
        <f t="shared" si="10"/>
        <v>0.91666666666666663</v>
      </c>
      <c r="P77">
        <v>0</v>
      </c>
      <c r="Q77" s="97">
        <v>3.1965489210487273E-2</v>
      </c>
      <c r="R77" s="97">
        <f t="shared" si="11"/>
        <v>0</v>
      </c>
      <c r="S77" s="58">
        <f t="shared" si="12"/>
        <v>0.45833333333333331</v>
      </c>
    </row>
    <row r="78" spans="1:19" ht="16.5" x14ac:dyDescent="0.3">
      <c r="A78" s="23" t="str">
        <f>+VLOOKUP(B78,'INDICADORES CAPTURA'!C:E,3,FALSE)</f>
        <v>OSSA TABARES JAZMIN BERNARDA</v>
      </c>
      <c r="B78" s="24" t="s">
        <v>176</v>
      </c>
      <c r="C78" s="41">
        <f t="shared" si="7"/>
        <v>0.80555555555555569</v>
      </c>
      <c r="D78" s="6">
        <v>12</v>
      </c>
      <c r="E78" s="6">
        <v>10</v>
      </c>
      <c r="F78" s="25">
        <f t="shared" si="8"/>
        <v>0.83333333333333337</v>
      </c>
      <c r="G78" s="76">
        <v>0.75</v>
      </c>
      <c r="H78" s="76">
        <v>0.83333333333333337</v>
      </c>
      <c r="I78" s="76">
        <v>0.83333333333333337</v>
      </c>
      <c r="J78" s="59">
        <v>0.83333333333333337</v>
      </c>
      <c r="K78" s="58">
        <v>0.35</v>
      </c>
      <c r="L78" s="76">
        <v>0.83333333333333337</v>
      </c>
      <c r="M78" s="58">
        <f t="shared" si="9"/>
        <v>0.67222222222222217</v>
      </c>
      <c r="N78" s="85">
        <v>1.0267242297038799</v>
      </c>
      <c r="O78" s="58">
        <f t="shared" si="10"/>
        <v>0.75</v>
      </c>
      <c r="P78">
        <v>0</v>
      </c>
      <c r="Q78" s="97">
        <v>3.0302700532214781E-2</v>
      </c>
      <c r="R78" s="97">
        <f t="shared" si="11"/>
        <v>0</v>
      </c>
      <c r="S78" s="58">
        <f t="shared" si="12"/>
        <v>0.375</v>
      </c>
    </row>
    <row r="79" spans="1:19" ht="16.5" x14ac:dyDescent="0.3">
      <c r="A79" s="23" t="str">
        <f>+VLOOKUP(B79,'INDICADORES CAPTURA'!C:E,3,FALSE)</f>
        <v>MELISA MARTINEZ</v>
      </c>
      <c r="B79" s="24" t="s">
        <v>57</v>
      </c>
      <c r="C79" s="41">
        <f t="shared" si="7"/>
        <v>1</v>
      </c>
      <c r="D79" s="6">
        <v>13</v>
      </c>
      <c r="E79" s="6">
        <v>13</v>
      </c>
      <c r="F79" s="25">
        <f t="shared" si="8"/>
        <v>1</v>
      </c>
      <c r="G79" s="76">
        <v>1</v>
      </c>
      <c r="H79" s="76">
        <v>1</v>
      </c>
      <c r="I79" s="76">
        <v>0.84615384615384615</v>
      </c>
      <c r="J79" s="59">
        <v>1</v>
      </c>
      <c r="K79" s="58">
        <v>1</v>
      </c>
      <c r="L79" s="76">
        <v>1</v>
      </c>
      <c r="M79" s="58">
        <f t="shared" si="9"/>
        <v>0.94871794871794879</v>
      </c>
      <c r="N79" s="85">
        <v>1.0448136830078516</v>
      </c>
      <c r="O79" s="58">
        <f t="shared" si="10"/>
        <v>1</v>
      </c>
      <c r="P79">
        <v>0</v>
      </c>
      <c r="Q79" s="97">
        <v>2.7435995615427658E-2</v>
      </c>
      <c r="R79" s="97">
        <f t="shared" si="11"/>
        <v>1</v>
      </c>
      <c r="S79" s="58">
        <f t="shared" si="12"/>
        <v>1</v>
      </c>
    </row>
    <row r="80" spans="1:19" ht="16.5" x14ac:dyDescent="0.3">
      <c r="A80" s="23" t="str">
        <f>+VLOOKUP(B80,'INDICADORES CAPTURA'!C:E,3,FALSE)</f>
        <v>OSSA TABARES JAZMIN BERNARDA</v>
      </c>
      <c r="B80" s="24" t="s">
        <v>172</v>
      </c>
      <c r="C80" s="41">
        <f t="shared" si="7"/>
        <v>1</v>
      </c>
      <c r="D80" s="6">
        <v>5</v>
      </c>
      <c r="E80" s="6">
        <v>5</v>
      </c>
      <c r="F80" s="25">
        <f t="shared" si="8"/>
        <v>1</v>
      </c>
      <c r="G80" s="76">
        <v>1</v>
      </c>
      <c r="H80" s="76">
        <v>1</v>
      </c>
      <c r="I80" s="76">
        <v>1</v>
      </c>
      <c r="J80" s="59">
        <v>1</v>
      </c>
      <c r="K80" s="58">
        <v>1</v>
      </c>
      <c r="L80" s="76">
        <v>1</v>
      </c>
      <c r="M80" s="58">
        <f t="shared" si="9"/>
        <v>1</v>
      </c>
      <c r="N80" s="85">
        <v>0.96476293797046586</v>
      </c>
      <c r="O80" s="58">
        <f t="shared" si="10"/>
        <v>1</v>
      </c>
      <c r="P80">
        <v>0</v>
      </c>
      <c r="Q80" s="97">
        <v>1.8048674623765162E-2</v>
      </c>
      <c r="R80" s="97">
        <f t="shared" si="11"/>
        <v>1</v>
      </c>
      <c r="S80" s="58">
        <f t="shared" si="12"/>
        <v>1</v>
      </c>
    </row>
    <row r="81" spans="1:19" ht="16.5" x14ac:dyDescent="0.3">
      <c r="A81" s="23" t="str">
        <f>+VLOOKUP(B81,'INDICADORES CAPTURA'!C:E,3,FALSE)</f>
        <v xml:space="preserve">SUSANA SILVA MENDOZA      </v>
      </c>
      <c r="B81" s="24" t="s">
        <v>22</v>
      </c>
      <c r="C81" s="41">
        <f t="shared" si="7"/>
        <v>1</v>
      </c>
      <c r="D81" s="6">
        <v>5</v>
      </c>
      <c r="E81" s="6">
        <v>4</v>
      </c>
      <c r="F81" s="25">
        <f t="shared" si="8"/>
        <v>0.8</v>
      </c>
      <c r="G81" s="76">
        <v>1</v>
      </c>
      <c r="H81" s="76">
        <v>1</v>
      </c>
      <c r="I81" s="76">
        <v>0.8</v>
      </c>
      <c r="J81" s="59">
        <v>1</v>
      </c>
      <c r="K81" s="58">
        <v>1</v>
      </c>
      <c r="L81" s="76">
        <v>1</v>
      </c>
      <c r="M81" s="58">
        <f t="shared" si="9"/>
        <v>0.93333333333333324</v>
      </c>
      <c r="N81" s="85">
        <v>0.98928990804900152</v>
      </c>
      <c r="O81" s="58">
        <f t="shared" si="10"/>
        <v>1</v>
      </c>
      <c r="P81">
        <v>0</v>
      </c>
      <c r="Q81" s="97">
        <v>1.1910746484153682E-2</v>
      </c>
      <c r="R81" s="97">
        <f t="shared" si="11"/>
        <v>1</v>
      </c>
      <c r="S81" s="58">
        <f t="shared" si="12"/>
        <v>1</v>
      </c>
    </row>
    <row r="82" spans="1:19" ht="16.5" x14ac:dyDescent="0.3">
      <c r="A82" s="23" t="str">
        <f>+VLOOKUP(B82,'INDICADORES CAPTURA'!C:E,3,FALSE)</f>
        <v>SÁNCHEZ ZAMBRANO LEIDY NICOLE VANESSA</v>
      </c>
      <c r="B82" s="24" t="s">
        <v>143</v>
      </c>
      <c r="C82" s="41">
        <f t="shared" si="7"/>
        <v>0.83333333333333337</v>
      </c>
      <c r="D82" s="6">
        <v>4</v>
      </c>
      <c r="E82" s="6">
        <v>4</v>
      </c>
      <c r="F82" s="25">
        <f t="shared" si="8"/>
        <v>1</v>
      </c>
      <c r="G82" s="76">
        <v>0.75</v>
      </c>
      <c r="H82" s="76">
        <v>0.75</v>
      </c>
      <c r="I82" s="76">
        <v>0.5</v>
      </c>
      <c r="J82" s="59">
        <v>1</v>
      </c>
      <c r="K82" s="58">
        <v>1</v>
      </c>
      <c r="L82" s="76">
        <v>1</v>
      </c>
      <c r="M82" s="58">
        <f t="shared" si="9"/>
        <v>0.83333333333333337</v>
      </c>
      <c r="N82" s="85">
        <v>0</v>
      </c>
      <c r="O82" s="58">
        <f t="shared" si="10"/>
        <v>0.75</v>
      </c>
      <c r="P82">
        <v>0</v>
      </c>
      <c r="Q82" s="97">
        <v>2.5399999999999999E-2</v>
      </c>
      <c r="R82" s="97">
        <f t="shared" si="11"/>
        <v>1</v>
      </c>
      <c r="S82" s="58">
        <f t="shared" si="12"/>
        <v>0.875</v>
      </c>
    </row>
    <row r="83" spans="1:19" ht="16.5" x14ac:dyDescent="0.3">
      <c r="A83" s="23" t="str">
        <f>+VLOOKUP(B83,'INDICADORES CAPTURA'!C:E,3,FALSE)</f>
        <v>CAMPUZANO IRLET ANDREA</v>
      </c>
      <c r="B83" s="24" t="s">
        <v>102</v>
      </c>
      <c r="C83" s="41">
        <f t="shared" si="7"/>
        <v>1</v>
      </c>
      <c r="D83" s="6">
        <v>17</v>
      </c>
      <c r="E83" s="6">
        <v>17</v>
      </c>
      <c r="F83" s="25">
        <f t="shared" si="8"/>
        <v>1</v>
      </c>
      <c r="G83" s="76">
        <v>1</v>
      </c>
      <c r="H83" s="76">
        <v>1</v>
      </c>
      <c r="I83" s="76">
        <v>0.94117647058823528</v>
      </c>
      <c r="J83" s="59">
        <v>1</v>
      </c>
      <c r="K83" s="58">
        <v>0.78260869565217395</v>
      </c>
      <c r="L83" s="76">
        <v>1</v>
      </c>
      <c r="M83" s="58">
        <f t="shared" si="9"/>
        <v>0.90792838874680315</v>
      </c>
      <c r="N83" s="85">
        <v>1.1447375313337351</v>
      </c>
      <c r="O83" s="58">
        <f t="shared" si="10"/>
        <v>1</v>
      </c>
      <c r="P83">
        <v>0</v>
      </c>
      <c r="Q83" s="97">
        <v>3.2685649034015378E-2</v>
      </c>
      <c r="R83" s="97">
        <f t="shared" si="11"/>
        <v>0</v>
      </c>
      <c r="S83" s="58">
        <f t="shared" si="12"/>
        <v>0.5</v>
      </c>
    </row>
    <row r="84" spans="1:19" ht="16.5" x14ac:dyDescent="0.3">
      <c r="A84" s="23" t="str">
        <f>+VLOOKUP(B84,'INDICADORES CAPTURA'!C:E,3,FALSE)</f>
        <v>MELISA MARTINEZ</v>
      </c>
      <c r="B84" s="24" t="s">
        <v>53</v>
      </c>
      <c r="C84" s="41">
        <f t="shared" si="7"/>
        <v>1</v>
      </c>
      <c r="D84" s="6">
        <v>3</v>
      </c>
      <c r="E84" s="6">
        <v>3</v>
      </c>
      <c r="F84" s="25">
        <f t="shared" si="8"/>
        <v>1</v>
      </c>
      <c r="G84" s="76">
        <v>1</v>
      </c>
      <c r="H84" s="76">
        <v>1</v>
      </c>
      <c r="I84" s="76">
        <v>1</v>
      </c>
      <c r="J84" s="59">
        <v>1</v>
      </c>
      <c r="K84" s="58">
        <v>1</v>
      </c>
      <c r="L84" s="76">
        <v>1</v>
      </c>
      <c r="M84" s="58">
        <f t="shared" si="9"/>
        <v>1</v>
      </c>
      <c r="N84" s="85">
        <v>1.0418461991478942</v>
      </c>
      <c r="O84" s="58">
        <f t="shared" si="10"/>
        <v>1</v>
      </c>
      <c r="P84">
        <v>0</v>
      </c>
      <c r="Q84" s="97">
        <v>1.2262797223551933E-2</v>
      </c>
      <c r="R84" s="97">
        <f t="shared" si="11"/>
        <v>1</v>
      </c>
      <c r="S84" s="58">
        <f t="shared" ref="S84:S85" si="13">+O84</f>
        <v>1</v>
      </c>
    </row>
    <row r="85" spans="1:19" ht="16.5" x14ac:dyDescent="0.3">
      <c r="A85" s="23" t="str">
        <f>+VLOOKUP(B85,'INDICADORES CAPTURA'!C:E,3,FALSE)</f>
        <v xml:space="preserve">JUAN PABLO GIL ALMANZA    </v>
      </c>
      <c r="B85" s="24" t="s">
        <v>27</v>
      </c>
      <c r="C85" s="41">
        <f t="shared" si="7"/>
        <v>1</v>
      </c>
      <c r="D85" s="6">
        <v>16</v>
      </c>
      <c r="E85" s="6">
        <v>16</v>
      </c>
      <c r="F85" s="25">
        <f t="shared" si="8"/>
        <v>1</v>
      </c>
      <c r="G85" s="76">
        <v>1</v>
      </c>
      <c r="H85" s="76">
        <v>1</v>
      </c>
      <c r="I85" s="76">
        <v>0.625</v>
      </c>
      <c r="J85" s="59">
        <v>1</v>
      </c>
      <c r="K85" s="58">
        <v>1</v>
      </c>
      <c r="L85" s="76">
        <v>1</v>
      </c>
      <c r="M85" s="58">
        <f t="shared" si="9"/>
        <v>0.875</v>
      </c>
      <c r="N85" s="85">
        <v>1.0265768906055284</v>
      </c>
      <c r="O85" s="58">
        <f t="shared" si="10"/>
        <v>1</v>
      </c>
      <c r="P85">
        <v>0</v>
      </c>
      <c r="Q85" s="97">
        <v>5.5750737626577484E-3</v>
      </c>
      <c r="R85" s="97">
        <f t="shared" si="11"/>
        <v>1</v>
      </c>
      <c r="S85" s="58">
        <f t="shared" si="13"/>
        <v>1</v>
      </c>
    </row>
    <row r="86" spans="1:19" ht="16.5" x14ac:dyDescent="0.3">
      <c r="A86" s="23" t="str">
        <f>+VLOOKUP(B86,'INDICADORES CAPTURA'!C:E,3,FALSE)</f>
        <v>PEREZ ZAGARRA AUGUSTO EDUARDO</v>
      </c>
      <c r="B86" s="24" t="s">
        <v>72</v>
      </c>
      <c r="C86" s="41">
        <f t="shared" si="7"/>
        <v>1</v>
      </c>
      <c r="D86" s="6">
        <v>19</v>
      </c>
      <c r="E86" s="6">
        <v>19</v>
      </c>
      <c r="F86" s="25">
        <f t="shared" si="8"/>
        <v>1</v>
      </c>
      <c r="G86" s="76">
        <v>1</v>
      </c>
      <c r="H86" s="76">
        <v>1</v>
      </c>
      <c r="I86" s="76">
        <v>1</v>
      </c>
      <c r="J86" s="59">
        <v>1</v>
      </c>
      <c r="K86" s="58">
        <v>0.80769230769230771</v>
      </c>
      <c r="L86" s="76">
        <v>1</v>
      </c>
      <c r="M86" s="58">
        <f t="shared" si="9"/>
        <v>0.93589743589743579</v>
      </c>
      <c r="N86" s="85">
        <v>1.0046020779730855</v>
      </c>
      <c r="O86" s="58">
        <f t="shared" si="10"/>
        <v>1</v>
      </c>
      <c r="P86">
        <v>0</v>
      </c>
      <c r="Q86" s="97">
        <v>8.0080626808439262E-2</v>
      </c>
      <c r="R86" s="97">
        <f t="shared" si="11"/>
        <v>0</v>
      </c>
      <c r="S86" s="58">
        <f t="shared" si="12"/>
        <v>0.5</v>
      </c>
    </row>
    <row r="87" spans="1:19" ht="16.5" x14ac:dyDescent="0.3">
      <c r="A87" s="23" t="str">
        <f>+VLOOKUP(B87,'INDICADORES CAPTURA'!C:E,3,FALSE)</f>
        <v>CAMPUZANO IRLET ANDREA</v>
      </c>
      <c r="B87" s="24" t="s">
        <v>109</v>
      </c>
      <c r="C87" s="41">
        <f t="shared" si="7"/>
        <v>0.96969696969696972</v>
      </c>
      <c r="D87" s="6">
        <v>11</v>
      </c>
      <c r="E87" s="6">
        <v>11</v>
      </c>
      <c r="F87" s="25">
        <f t="shared" si="8"/>
        <v>1</v>
      </c>
      <c r="G87" s="76">
        <v>0.90909090909090906</v>
      </c>
      <c r="H87" s="76">
        <v>1</v>
      </c>
      <c r="I87" s="76">
        <v>0.81818181818181823</v>
      </c>
      <c r="J87" s="59">
        <v>1</v>
      </c>
      <c r="K87" s="58">
        <v>0.91666666666666663</v>
      </c>
      <c r="L87" s="76">
        <v>1</v>
      </c>
      <c r="M87" s="58">
        <f t="shared" si="9"/>
        <v>0.91161616161616166</v>
      </c>
      <c r="N87" s="85">
        <v>1.1204991879236526</v>
      </c>
      <c r="O87" s="58">
        <f t="shared" si="10"/>
        <v>0.90909090909090906</v>
      </c>
      <c r="P87">
        <v>0</v>
      </c>
      <c r="Q87" s="97">
        <v>1.6023394108507557E-2</v>
      </c>
      <c r="R87" s="97">
        <f t="shared" si="11"/>
        <v>1</v>
      </c>
      <c r="S87" s="58">
        <f t="shared" si="12"/>
        <v>0.95454545454545459</v>
      </c>
    </row>
    <row r="88" spans="1:19" ht="16.5" x14ac:dyDescent="0.3">
      <c r="A88" s="23" t="str">
        <f>+VLOOKUP(B88,'INDICADORES CAPTURA'!C:E,3,FALSE)</f>
        <v>MELISA MARTINEZ</v>
      </c>
      <c r="B88" s="24" t="s">
        <v>52</v>
      </c>
      <c r="C88" s="41">
        <f t="shared" si="7"/>
        <v>1</v>
      </c>
      <c r="D88" s="6">
        <v>15</v>
      </c>
      <c r="E88" s="6">
        <v>15</v>
      </c>
      <c r="F88" s="25">
        <f t="shared" si="8"/>
        <v>1</v>
      </c>
      <c r="G88" s="76">
        <v>1</v>
      </c>
      <c r="H88" s="76">
        <v>1</v>
      </c>
      <c r="I88" s="76">
        <v>0.93333333333333335</v>
      </c>
      <c r="J88" s="59">
        <v>1</v>
      </c>
      <c r="K88" s="58">
        <v>1</v>
      </c>
      <c r="L88" s="76">
        <v>1</v>
      </c>
      <c r="M88" s="58">
        <f t="shared" si="9"/>
        <v>0.97777777777777786</v>
      </c>
      <c r="N88" s="85">
        <v>0.98320593751493024</v>
      </c>
      <c r="O88" s="58">
        <f t="shared" si="10"/>
        <v>1</v>
      </c>
      <c r="P88">
        <v>0</v>
      </c>
      <c r="Q88" s="97">
        <v>1.7804094085895662E-2</v>
      </c>
      <c r="R88" s="97">
        <f t="shared" si="11"/>
        <v>1</v>
      </c>
      <c r="S88" s="58">
        <f t="shared" si="12"/>
        <v>1</v>
      </c>
    </row>
    <row r="89" spans="1:19" ht="16.5" x14ac:dyDescent="0.3">
      <c r="A89" s="23" t="str">
        <f>+VLOOKUP(B89,'INDICADORES CAPTURA'!C:E,3,FALSE)</f>
        <v>PIÑEROS MONTAÑA LAURA ESTEPHANIA</v>
      </c>
      <c r="B89" s="24" t="s">
        <v>133</v>
      </c>
      <c r="C89" s="41">
        <f t="shared" si="7"/>
        <v>1</v>
      </c>
      <c r="D89" s="6">
        <v>4</v>
      </c>
      <c r="E89" s="6">
        <v>4</v>
      </c>
      <c r="F89" s="25">
        <f t="shared" si="8"/>
        <v>1</v>
      </c>
      <c r="G89" s="76">
        <v>1</v>
      </c>
      <c r="H89" s="76">
        <v>1</v>
      </c>
      <c r="I89" s="76">
        <v>1</v>
      </c>
      <c r="J89" s="59">
        <v>1</v>
      </c>
      <c r="K89" s="58">
        <v>1</v>
      </c>
      <c r="L89" s="76">
        <v>1</v>
      </c>
      <c r="M89" s="58">
        <f t="shared" si="9"/>
        <v>1</v>
      </c>
      <c r="N89" s="85">
        <v>0.92064876646167726</v>
      </c>
      <c r="O89" s="58">
        <f t="shared" si="10"/>
        <v>1</v>
      </c>
      <c r="P89">
        <v>0</v>
      </c>
      <c r="Q89" s="97">
        <v>3.9665413232050271E-2</v>
      </c>
      <c r="R89" s="97">
        <f t="shared" si="11"/>
        <v>0</v>
      </c>
      <c r="S89" s="58">
        <f t="shared" si="12"/>
        <v>0.5</v>
      </c>
    </row>
    <row r="90" spans="1:19" ht="16.5" x14ac:dyDescent="0.3">
      <c r="A90" s="23" t="str">
        <f>+VLOOKUP(B90,'INDICADORES CAPTURA'!C:E,3,FALSE)</f>
        <v>GONZALEZ BARRANTES EDWIN JESSID</v>
      </c>
      <c r="B90" s="24" t="s">
        <v>83</v>
      </c>
      <c r="C90" s="41">
        <f t="shared" si="7"/>
        <v>0.90476190476190477</v>
      </c>
      <c r="D90" s="6">
        <v>14</v>
      </c>
      <c r="E90" s="6">
        <v>12</v>
      </c>
      <c r="F90" s="25">
        <f t="shared" si="8"/>
        <v>0.8571428571428571</v>
      </c>
      <c r="G90" s="76">
        <v>0.9285714285714286</v>
      </c>
      <c r="H90" s="76">
        <v>0.8571428571428571</v>
      </c>
      <c r="I90" s="76">
        <v>0.7857142857142857</v>
      </c>
      <c r="J90" s="59">
        <v>0.9285714285714286</v>
      </c>
      <c r="K90" s="58">
        <v>0.86206896551724133</v>
      </c>
      <c r="L90" s="76">
        <v>0.9285714285714286</v>
      </c>
      <c r="M90" s="58">
        <f t="shared" si="9"/>
        <v>0.85878489326765184</v>
      </c>
      <c r="N90" s="85">
        <v>1.1405553845919592</v>
      </c>
      <c r="O90" s="58">
        <f t="shared" si="10"/>
        <v>0.9285714285714286</v>
      </c>
      <c r="P90">
        <v>0</v>
      </c>
      <c r="Q90" s="97">
        <v>2.3175372314355926E-2</v>
      </c>
      <c r="R90" s="97">
        <f t="shared" si="11"/>
        <v>1</v>
      </c>
      <c r="S90" s="58">
        <f t="shared" si="12"/>
        <v>0.9642857142857143</v>
      </c>
    </row>
    <row r="91" spans="1:19" ht="16.5" x14ac:dyDescent="0.3">
      <c r="A91" s="23" t="str">
        <f>+VLOOKUP(B91,'INDICADORES CAPTURA'!C:E,3,FALSE)</f>
        <v xml:space="preserve">JUAN PABLO GIL ALMANZA    </v>
      </c>
      <c r="B91" s="24" t="s">
        <v>39</v>
      </c>
      <c r="C91" s="41">
        <f t="shared" si="7"/>
        <v>1</v>
      </c>
      <c r="D91" s="6">
        <v>14</v>
      </c>
      <c r="E91" s="6">
        <v>14</v>
      </c>
      <c r="F91" s="25">
        <f t="shared" si="8"/>
        <v>1</v>
      </c>
      <c r="G91" s="76">
        <v>1</v>
      </c>
      <c r="H91" s="76">
        <v>1</v>
      </c>
      <c r="I91" s="76">
        <v>1</v>
      </c>
      <c r="J91" s="59">
        <v>1</v>
      </c>
      <c r="K91" s="58">
        <v>1</v>
      </c>
      <c r="L91" s="76">
        <v>1</v>
      </c>
      <c r="M91" s="58">
        <f t="shared" si="9"/>
        <v>1</v>
      </c>
      <c r="N91" s="85">
        <v>1.0518476585015</v>
      </c>
      <c r="O91" s="58">
        <f t="shared" si="10"/>
        <v>1</v>
      </c>
      <c r="P91">
        <v>0</v>
      </c>
      <c r="Q91" s="97">
        <v>3.2843344898357482E-2</v>
      </c>
      <c r="R91" s="97">
        <f t="shared" si="11"/>
        <v>0</v>
      </c>
      <c r="S91" s="58">
        <f t="shared" si="12"/>
        <v>0.5</v>
      </c>
    </row>
    <row r="92" spans="1:19" ht="16.5" x14ac:dyDescent="0.3">
      <c r="A92" s="23" t="str">
        <f>+VLOOKUP(B92,'INDICADORES CAPTURA'!C:E,3,FALSE)</f>
        <v>OSSA TABARES JAZMIN BERNARDA</v>
      </c>
      <c r="B92" s="24" t="s">
        <v>171</v>
      </c>
      <c r="C92" s="41">
        <f t="shared" si="7"/>
        <v>1</v>
      </c>
      <c r="D92" s="6">
        <v>16</v>
      </c>
      <c r="E92" s="6">
        <v>16</v>
      </c>
      <c r="F92" s="25">
        <f t="shared" si="8"/>
        <v>1</v>
      </c>
      <c r="G92" s="76">
        <v>1</v>
      </c>
      <c r="H92" s="76">
        <v>1</v>
      </c>
      <c r="I92" s="76">
        <v>0.875</v>
      </c>
      <c r="J92" s="59">
        <v>1</v>
      </c>
      <c r="K92" s="58">
        <v>1</v>
      </c>
      <c r="L92" s="76">
        <v>1</v>
      </c>
      <c r="M92" s="58">
        <f t="shared" si="9"/>
        <v>0.95833333333333337</v>
      </c>
      <c r="N92" s="85">
        <v>1.0584516962613026</v>
      </c>
      <c r="O92" s="58">
        <f t="shared" si="10"/>
        <v>1</v>
      </c>
      <c r="P92">
        <v>0</v>
      </c>
      <c r="Q92" s="97">
        <v>2.4937466985696741E-2</v>
      </c>
      <c r="R92" s="97">
        <f t="shared" si="11"/>
        <v>1</v>
      </c>
      <c r="S92" s="58">
        <f t="shared" si="12"/>
        <v>1</v>
      </c>
    </row>
    <row r="93" spans="1:19" ht="16.5" x14ac:dyDescent="0.3">
      <c r="A93" s="23" t="e">
        <f>+VLOOKUP(B93,'INDICADORES CAPTURA'!C:E,3,FALSE)</f>
        <v>#N/A</v>
      </c>
      <c r="B93" s="24" t="s">
        <v>156</v>
      </c>
      <c r="C93" s="41">
        <f t="shared" si="7"/>
        <v>1</v>
      </c>
      <c r="D93" s="6">
        <v>13</v>
      </c>
      <c r="E93" s="6">
        <v>13</v>
      </c>
      <c r="F93" s="25">
        <f t="shared" si="8"/>
        <v>1</v>
      </c>
      <c r="G93" s="76">
        <v>1</v>
      </c>
      <c r="H93" s="76">
        <v>1</v>
      </c>
      <c r="I93" s="76">
        <v>1</v>
      </c>
      <c r="J93" s="59">
        <v>1</v>
      </c>
      <c r="K93" s="58">
        <v>0.92</v>
      </c>
      <c r="L93" s="76">
        <v>1</v>
      </c>
      <c r="M93" s="58">
        <f t="shared" si="9"/>
        <v>0.97333333333333327</v>
      </c>
      <c r="N93" s="85">
        <v>0</v>
      </c>
      <c r="O93" s="58">
        <f t="shared" si="10"/>
        <v>1</v>
      </c>
      <c r="P93">
        <v>0</v>
      </c>
      <c r="Q93" s="97">
        <v>0</v>
      </c>
      <c r="R93" s="97">
        <f t="shared" si="11"/>
        <v>1</v>
      </c>
      <c r="S93" s="58">
        <f t="shared" si="12"/>
        <v>1</v>
      </c>
    </row>
    <row r="94" spans="1:19" ht="16.5" x14ac:dyDescent="0.3">
      <c r="A94" s="23" t="str">
        <f>+VLOOKUP(B94,'INDICADORES CAPTURA'!C:E,3,FALSE)</f>
        <v xml:space="preserve">JUAN PABLO GIL ALMANZA    </v>
      </c>
      <c r="B94" s="24" t="s">
        <v>37</v>
      </c>
      <c r="C94" s="41">
        <f t="shared" si="7"/>
        <v>1</v>
      </c>
      <c r="D94" s="6">
        <v>5</v>
      </c>
      <c r="E94" s="6">
        <v>5</v>
      </c>
      <c r="F94" s="25">
        <f t="shared" si="8"/>
        <v>1</v>
      </c>
      <c r="G94" s="76">
        <v>1</v>
      </c>
      <c r="H94" s="76">
        <v>1</v>
      </c>
      <c r="I94" s="76">
        <v>1</v>
      </c>
      <c r="J94" s="59">
        <v>1</v>
      </c>
      <c r="K94" s="58">
        <v>1</v>
      </c>
      <c r="L94" s="76">
        <v>1</v>
      </c>
      <c r="M94" s="58">
        <f t="shared" si="9"/>
        <v>1</v>
      </c>
      <c r="N94" s="85">
        <v>1.1144580009126137</v>
      </c>
      <c r="O94" s="58">
        <f t="shared" si="10"/>
        <v>1</v>
      </c>
      <c r="P94">
        <v>0</v>
      </c>
      <c r="Q94" s="97">
        <v>1.0464532483108375E-2</v>
      </c>
      <c r="R94" s="97">
        <f t="shared" si="11"/>
        <v>1</v>
      </c>
      <c r="S94" s="58">
        <f t="shared" si="12"/>
        <v>1</v>
      </c>
    </row>
    <row r="95" spans="1:19" ht="16.5" x14ac:dyDescent="0.3">
      <c r="A95" s="23" t="str">
        <f>+VLOOKUP(B95,'INDICADORES CAPTURA'!C:E,3,FALSE)</f>
        <v>CAMPUZANO IRLET ANDREA</v>
      </c>
      <c r="B95" s="24" t="s">
        <v>107</v>
      </c>
      <c r="C95" s="41">
        <f t="shared" si="7"/>
        <v>0.875</v>
      </c>
      <c r="D95" s="6">
        <v>16</v>
      </c>
      <c r="E95" s="6">
        <v>14</v>
      </c>
      <c r="F95" s="25">
        <f t="shared" si="8"/>
        <v>0.875</v>
      </c>
      <c r="G95" s="76">
        <v>0.875</v>
      </c>
      <c r="H95" s="76">
        <v>0.875</v>
      </c>
      <c r="I95" s="76">
        <v>0.75</v>
      </c>
      <c r="J95" s="59">
        <v>0.875</v>
      </c>
      <c r="K95" s="58">
        <v>0.63636363636363635</v>
      </c>
      <c r="L95" s="76">
        <v>0.875</v>
      </c>
      <c r="M95" s="58">
        <f t="shared" si="9"/>
        <v>0.75378787878787878</v>
      </c>
      <c r="N95" s="85">
        <v>1.0708685338085906</v>
      </c>
      <c r="O95" s="58">
        <f t="shared" si="10"/>
        <v>0.875</v>
      </c>
      <c r="P95">
        <v>0</v>
      </c>
      <c r="Q95" s="97">
        <v>1.6850606479912496E-2</v>
      </c>
      <c r="R95" s="97">
        <f t="shared" si="11"/>
        <v>1</v>
      </c>
      <c r="S95" s="58">
        <f>+O95</f>
        <v>0.875</v>
      </c>
    </row>
    <row r="96" spans="1:19" ht="16.5" x14ac:dyDescent="0.3">
      <c r="A96" s="23" t="str">
        <f>+VLOOKUP(B96,'INDICADORES CAPTURA'!C:E,3,FALSE)</f>
        <v>OSSA TABARES JAZMIN BERNARDA</v>
      </c>
      <c r="B96" s="24" t="s">
        <v>174</v>
      </c>
      <c r="C96" s="41">
        <f t="shared" si="7"/>
        <v>1</v>
      </c>
      <c r="D96" s="6">
        <v>15</v>
      </c>
      <c r="E96" s="6">
        <v>15</v>
      </c>
      <c r="F96" s="25">
        <f t="shared" si="8"/>
        <v>1</v>
      </c>
      <c r="G96" s="76">
        <v>1</v>
      </c>
      <c r="H96" s="76">
        <v>1</v>
      </c>
      <c r="I96" s="76">
        <v>0.93333333333333335</v>
      </c>
      <c r="J96" s="59">
        <v>1</v>
      </c>
      <c r="K96" s="58">
        <v>0.73333333333333328</v>
      </c>
      <c r="L96" s="76">
        <v>1</v>
      </c>
      <c r="M96" s="58">
        <f t="shared" si="9"/>
        <v>0.88888888888888884</v>
      </c>
      <c r="N96" s="85">
        <v>1.0020662998285523</v>
      </c>
      <c r="O96" s="58">
        <f t="shared" si="10"/>
        <v>1</v>
      </c>
      <c r="P96">
        <v>0</v>
      </c>
      <c r="Q96" s="97">
        <v>1.5395606453687118E-2</v>
      </c>
      <c r="R96" s="97">
        <f t="shared" si="11"/>
        <v>1</v>
      </c>
      <c r="S96" s="58">
        <f t="shared" si="12"/>
        <v>1</v>
      </c>
    </row>
    <row r="97" spans="1:19" ht="16.5" x14ac:dyDescent="0.3">
      <c r="A97" s="23" t="str">
        <f>+VLOOKUP(B97,'INDICADORES CAPTURA'!C:E,3,FALSE)</f>
        <v>PEREZ ZAGARRA AUGUSTO EDUARDO</v>
      </c>
      <c r="B97" s="24" t="s">
        <v>79</v>
      </c>
      <c r="C97" s="41">
        <f t="shared" si="7"/>
        <v>1</v>
      </c>
      <c r="D97" s="6">
        <v>22</v>
      </c>
      <c r="E97" s="6">
        <v>20</v>
      </c>
      <c r="F97" s="25">
        <f t="shared" si="8"/>
        <v>0.90909090909090906</v>
      </c>
      <c r="G97" s="76">
        <v>1</v>
      </c>
      <c r="H97" s="76">
        <v>1</v>
      </c>
      <c r="I97" s="76">
        <v>0.90909090909090906</v>
      </c>
      <c r="J97" s="59">
        <v>1</v>
      </c>
      <c r="K97" s="58">
        <v>0.27659574468085107</v>
      </c>
      <c r="L97" s="76">
        <v>1</v>
      </c>
      <c r="M97" s="58">
        <f t="shared" si="9"/>
        <v>0.72856221792392006</v>
      </c>
      <c r="N97" s="85">
        <v>0.85339122311103255</v>
      </c>
      <c r="O97" s="58">
        <f t="shared" si="10"/>
        <v>1</v>
      </c>
      <c r="P97">
        <v>0</v>
      </c>
      <c r="Q97" s="97">
        <v>6.3959841902166539E-2</v>
      </c>
      <c r="R97" s="97">
        <f t="shared" si="11"/>
        <v>0</v>
      </c>
      <c r="S97" s="58">
        <f t="shared" si="12"/>
        <v>0.5</v>
      </c>
    </row>
    <row r="98" spans="1:19" ht="16.5" x14ac:dyDescent="0.3">
      <c r="A98" s="23" t="str">
        <f>+VLOOKUP(B98,'INDICADORES CAPTURA'!C:E,3,FALSE)</f>
        <v>CAMPUZANO IRLET ANDREA</v>
      </c>
      <c r="B98" s="24" t="s">
        <v>108</v>
      </c>
      <c r="C98" s="41">
        <f t="shared" si="7"/>
        <v>1</v>
      </c>
      <c r="D98" s="6">
        <v>19</v>
      </c>
      <c r="E98" s="6">
        <v>19</v>
      </c>
      <c r="F98" s="25">
        <f t="shared" si="8"/>
        <v>1</v>
      </c>
      <c r="G98" s="76">
        <v>1</v>
      </c>
      <c r="H98" s="76">
        <v>1</v>
      </c>
      <c r="I98" s="76">
        <v>0.84210526315789469</v>
      </c>
      <c r="J98" s="59">
        <v>1</v>
      </c>
      <c r="K98" s="58">
        <v>0.74193548387096775</v>
      </c>
      <c r="L98" s="76">
        <v>1</v>
      </c>
      <c r="M98" s="58">
        <f t="shared" si="9"/>
        <v>0.86134691567628752</v>
      </c>
      <c r="N98" s="85">
        <v>1.1008927290991777</v>
      </c>
      <c r="O98" s="58">
        <f t="shared" si="10"/>
        <v>1</v>
      </c>
      <c r="P98">
        <v>0</v>
      </c>
      <c r="Q98" s="97">
        <v>3.1129834008713071E-2</v>
      </c>
      <c r="R98" s="97">
        <f t="shared" si="11"/>
        <v>0</v>
      </c>
      <c r="S98" s="58">
        <f t="shared" si="12"/>
        <v>0.5</v>
      </c>
    </row>
    <row r="99" spans="1:19" ht="16.5" x14ac:dyDescent="0.3">
      <c r="A99" s="23" t="str">
        <f>+VLOOKUP(B99,'INDICADORES CAPTURA'!C:E,3,FALSE)</f>
        <v>OSSA TABARES JAZMIN BERNARDA</v>
      </c>
      <c r="B99" s="24" t="s">
        <v>180</v>
      </c>
      <c r="C99" s="41">
        <f t="shared" si="7"/>
        <v>0.91666666666666663</v>
      </c>
      <c r="D99" s="6">
        <v>12</v>
      </c>
      <c r="E99" s="6">
        <v>11</v>
      </c>
      <c r="F99" s="25">
        <f t="shared" si="8"/>
        <v>0.91666666666666663</v>
      </c>
      <c r="G99" s="76">
        <v>0.91666666666666663</v>
      </c>
      <c r="H99" s="76">
        <v>0.91666666666666663</v>
      </c>
      <c r="I99" s="76">
        <v>0.91666666666666663</v>
      </c>
      <c r="J99" s="59">
        <v>0.91666666666666663</v>
      </c>
      <c r="K99" s="58">
        <v>0.90909090909090906</v>
      </c>
      <c r="L99" s="76">
        <v>0.91666666666666663</v>
      </c>
      <c r="M99" s="58">
        <f t="shared" si="9"/>
        <v>0.91414141414141403</v>
      </c>
      <c r="N99" s="85">
        <v>1.1832045415394625</v>
      </c>
      <c r="O99" s="58">
        <f t="shared" si="10"/>
        <v>0.91666666666666663</v>
      </c>
      <c r="P99">
        <v>0</v>
      </c>
      <c r="Q99" s="97">
        <v>3.8960939485420315E-2</v>
      </c>
      <c r="R99" s="97">
        <f t="shared" si="11"/>
        <v>0</v>
      </c>
      <c r="S99" s="58">
        <f t="shared" si="12"/>
        <v>0.45833333333333331</v>
      </c>
    </row>
    <row r="100" spans="1:19" ht="16.5" x14ac:dyDescent="0.3">
      <c r="A100" s="23" t="str">
        <f>+VLOOKUP(B100,'INDICADORES CAPTURA'!C:E,3,FALSE)</f>
        <v>GIL MARTINEZ JENNIFER STEFANNIE</v>
      </c>
      <c r="B100" s="24" t="s">
        <v>182</v>
      </c>
      <c r="C100" s="41">
        <f t="shared" si="7"/>
        <v>1</v>
      </c>
      <c r="D100" s="6">
        <v>11</v>
      </c>
      <c r="E100" s="6">
        <v>11</v>
      </c>
      <c r="F100" s="25">
        <f t="shared" si="8"/>
        <v>1</v>
      </c>
      <c r="G100" s="76">
        <v>1</v>
      </c>
      <c r="H100" s="76">
        <v>1</v>
      </c>
      <c r="I100" s="76">
        <v>1</v>
      </c>
      <c r="J100" s="59">
        <v>1</v>
      </c>
      <c r="K100" s="58">
        <v>1</v>
      </c>
      <c r="L100" s="76">
        <v>1</v>
      </c>
      <c r="M100" s="58">
        <f t="shared" si="9"/>
        <v>1</v>
      </c>
      <c r="N100" s="85">
        <v>0.76333244787445043</v>
      </c>
      <c r="O100" s="58">
        <f t="shared" si="10"/>
        <v>1</v>
      </c>
      <c r="P100">
        <v>0</v>
      </c>
      <c r="Q100" s="97">
        <v>1.8343674666324219E-2</v>
      </c>
      <c r="R100" s="97">
        <f t="shared" si="11"/>
        <v>1</v>
      </c>
      <c r="S100" s="58">
        <f t="shared" si="12"/>
        <v>1</v>
      </c>
    </row>
    <row r="101" spans="1:19" ht="16.5" x14ac:dyDescent="0.3">
      <c r="A101" s="23" t="str">
        <f>+VLOOKUP(B101,'INDICADORES CAPTURA'!C:E,3,FALSE)</f>
        <v>MARTINEZ VARGAS CHRISTAN RICARDO</v>
      </c>
      <c r="B101" s="24" t="s">
        <v>163</v>
      </c>
      <c r="C101" s="41">
        <f t="shared" si="7"/>
        <v>0.88888888888888884</v>
      </c>
      <c r="D101" s="6">
        <v>9</v>
      </c>
      <c r="E101" s="6">
        <v>8</v>
      </c>
      <c r="F101" s="25">
        <f t="shared" si="8"/>
        <v>0.88888888888888884</v>
      </c>
      <c r="G101" s="76">
        <v>0.88888888888888884</v>
      </c>
      <c r="H101" s="76">
        <v>0.88888888888888884</v>
      </c>
      <c r="I101" s="76">
        <v>0.77777777777777779</v>
      </c>
      <c r="J101" s="59">
        <v>0.88888888888888884</v>
      </c>
      <c r="K101" s="58">
        <v>0.2857142857142857</v>
      </c>
      <c r="L101" s="76">
        <v>0.88888888888888884</v>
      </c>
      <c r="M101" s="58">
        <f t="shared" si="9"/>
        <v>0.6507936507936507</v>
      </c>
      <c r="N101" s="85">
        <v>1.1540772081966257</v>
      </c>
      <c r="O101" s="58">
        <f t="shared" si="10"/>
        <v>0.88888888888888884</v>
      </c>
      <c r="P101">
        <v>0</v>
      </c>
      <c r="Q101" s="97">
        <v>3.2221438518293885E-2</v>
      </c>
      <c r="R101" s="97">
        <f t="shared" si="11"/>
        <v>0</v>
      </c>
      <c r="S101" s="58">
        <f>+O101</f>
        <v>0.88888888888888884</v>
      </c>
    </row>
    <row r="102" spans="1:19" ht="16.5" x14ac:dyDescent="0.3">
      <c r="A102" s="23" t="str">
        <f>+VLOOKUP(B102,'INDICADORES CAPTURA'!C:E,3,FALSE)</f>
        <v>GONZALEZ BARRANTES EDWIN JESSID</v>
      </c>
      <c r="B102" s="24" t="s">
        <v>91</v>
      </c>
      <c r="C102" s="41">
        <f t="shared" si="7"/>
        <v>0.87179487179487181</v>
      </c>
      <c r="D102" s="6">
        <v>13</v>
      </c>
      <c r="E102" s="6">
        <v>11</v>
      </c>
      <c r="F102" s="25">
        <f t="shared" si="8"/>
        <v>0.84615384615384615</v>
      </c>
      <c r="G102" s="76">
        <v>0.84615384615384615</v>
      </c>
      <c r="H102" s="76">
        <v>0.84615384615384615</v>
      </c>
      <c r="I102" s="76">
        <v>0.84615384615384615</v>
      </c>
      <c r="J102" s="59">
        <v>0.92307692307692313</v>
      </c>
      <c r="K102" s="58">
        <v>0.6</v>
      </c>
      <c r="L102" s="76">
        <v>0.92307692307692313</v>
      </c>
      <c r="M102" s="58">
        <f t="shared" si="9"/>
        <v>0.78974358974358971</v>
      </c>
      <c r="N102" s="85">
        <v>1.0383875195161041</v>
      </c>
      <c r="O102" s="58">
        <f t="shared" si="10"/>
        <v>0.84615384615384615</v>
      </c>
      <c r="P102">
        <v>0</v>
      </c>
      <c r="Q102" s="97">
        <v>4.6041184258474491E-2</v>
      </c>
      <c r="R102" s="97">
        <f t="shared" si="11"/>
        <v>0</v>
      </c>
      <c r="S102" s="58">
        <f t="shared" si="12"/>
        <v>0.42307692307692307</v>
      </c>
    </row>
    <row r="103" spans="1:19" ht="16.5" x14ac:dyDescent="0.3">
      <c r="A103" s="23" t="str">
        <f>+VLOOKUP(B103,'INDICADORES CAPTURA'!C:E,3,FALSE)</f>
        <v>SÁNCHEZ ZAMBRANO LEIDY NICOLE VANESSA</v>
      </c>
      <c r="B103" s="24" t="s">
        <v>149</v>
      </c>
      <c r="C103" s="41">
        <f t="shared" si="7"/>
        <v>1</v>
      </c>
      <c r="D103" s="6">
        <v>9</v>
      </c>
      <c r="E103" s="6">
        <v>9</v>
      </c>
      <c r="F103" s="25">
        <f t="shared" si="8"/>
        <v>1</v>
      </c>
      <c r="G103" s="76">
        <v>1</v>
      </c>
      <c r="H103" s="76">
        <v>1</v>
      </c>
      <c r="I103" s="76">
        <v>0.66666666666666663</v>
      </c>
      <c r="J103" s="59">
        <v>1</v>
      </c>
      <c r="K103" s="58">
        <v>0.95652173913043481</v>
      </c>
      <c r="L103" s="76">
        <v>1</v>
      </c>
      <c r="M103" s="58">
        <f t="shared" si="9"/>
        <v>0.87439613526570048</v>
      </c>
      <c r="N103" s="85">
        <v>0</v>
      </c>
      <c r="O103" s="58">
        <f t="shared" si="10"/>
        <v>1</v>
      </c>
      <c r="P103">
        <v>0</v>
      </c>
      <c r="Q103" s="97">
        <v>2.5399999999999999E-2</v>
      </c>
      <c r="R103" s="97">
        <f t="shared" si="11"/>
        <v>1</v>
      </c>
      <c r="S103" s="58">
        <f t="shared" si="12"/>
        <v>1</v>
      </c>
    </row>
    <row r="104" spans="1:19" ht="16.5" x14ac:dyDescent="0.3">
      <c r="A104" s="23" t="str">
        <f>+VLOOKUP(B104,'INDICADORES CAPTURA'!C:E,3,FALSE)</f>
        <v>CAMPUZANO IRLET ANDREA</v>
      </c>
      <c r="B104" s="24" t="s">
        <v>100</v>
      </c>
      <c r="C104" s="41">
        <f t="shared" si="7"/>
        <v>1</v>
      </c>
      <c r="D104" s="6">
        <v>22</v>
      </c>
      <c r="E104" s="6">
        <v>22</v>
      </c>
      <c r="F104" s="25">
        <f t="shared" si="8"/>
        <v>1</v>
      </c>
      <c r="G104" s="76">
        <v>1</v>
      </c>
      <c r="H104" s="76">
        <v>1</v>
      </c>
      <c r="I104" s="76">
        <v>1</v>
      </c>
      <c r="J104" s="59">
        <v>1</v>
      </c>
      <c r="K104" s="58">
        <v>0.82499999999999996</v>
      </c>
      <c r="L104" s="76">
        <v>1</v>
      </c>
      <c r="M104" s="58">
        <f t="shared" si="9"/>
        <v>0.94166666666666676</v>
      </c>
      <c r="N104" s="85">
        <v>1.0927890824869195</v>
      </c>
      <c r="O104" s="58">
        <f t="shared" si="10"/>
        <v>1</v>
      </c>
      <c r="P104">
        <v>0</v>
      </c>
      <c r="Q104" s="97">
        <v>3.5190159032172645E-2</v>
      </c>
      <c r="R104" s="97">
        <f t="shared" si="11"/>
        <v>0</v>
      </c>
      <c r="S104" s="58">
        <f t="shared" si="12"/>
        <v>0.5</v>
      </c>
    </row>
    <row r="105" spans="1:19" ht="16.5" x14ac:dyDescent="0.3">
      <c r="A105" s="23" t="str">
        <f>+VLOOKUP(B105,'INDICADORES CAPTURA'!C:E,3,FALSE)</f>
        <v>PEREZ ZAGARRA AUGUSTO EDUARDO</v>
      </c>
      <c r="B105" s="24" t="s">
        <v>77</v>
      </c>
      <c r="C105" s="41">
        <f t="shared" si="7"/>
        <v>0.65333333333333332</v>
      </c>
      <c r="D105" s="6">
        <v>25</v>
      </c>
      <c r="E105" s="6">
        <v>16</v>
      </c>
      <c r="F105" s="25">
        <f t="shared" si="8"/>
        <v>0.64</v>
      </c>
      <c r="G105" s="76">
        <v>0.64</v>
      </c>
      <c r="H105" s="76">
        <v>0.64</v>
      </c>
      <c r="I105" s="76">
        <v>0.64</v>
      </c>
      <c r="J105" s="59">
        <v>0.68</v>
      </c>
      <c r="K105" s="58">
        <v>0.30232558139534882</v>
      </c>
      <c r="L105" s="76">
        <v>0.68</v>
      </c>
      <c r="M105" s="58">
        <f t="shared" si="9"/>
        <v>0.54077519379844963</v>
      </c>
      <c r="N105" s="85">
        <v>0.89122277190911159</v>
      </c>
      <c r="O105" s="58">
        <f t="shared" si="10"/>
        <v>0.64</v>
      </c>
      <c r="P105">
        <v>0</v>
      </c>
      <c r="Q105" s="97">
        <v>8.4508742027996894E-2</v>
      </c>
      <c r="R105" s="97">
        <f t="shared" si="11"/>
        <v>0</v>
      </c>
      <c r="S105" s="58">
        <f t="shared" si="12"/>
        <v>0.32</v>
      </c>
    </row>
    <row r="106" spans="1:19" ht="16.5" x14ac:dyDescent="0.3">
      <c r="A106" s="23" t="str">
        <f>+VLOOKUP(B106,'INDICADORES CAPTURA'!C:E,3,FALSE)</f>
        <v>BOLAÑOS QUEVEDO ALEXIS</v>
      </c>
      <c r="B106" s="24" t="s">
        <v>114</v>
      </c>
      <c r="C106" s="41">
        <f t="shared" si="7"/>
        <v>1</v>
      </c>
      <c r="D106" s="6">
        <v>16</v>
      </c>
      <c r="E106" s="6">
        <v>16</v>
      </c>
      <c r="F106" s="25">
        <f t="shared" si="8"/>
        <v>1</v>
      </c>
      <c r="G106" s="76">
        <v>1</v>
      </c>
      <c r="H106" s="76">
        <v>1</v>
      </c>
      <c r="I106" s="76">
        <v>1</v>
      </c>
      <c r="J106" s="59">
        <v>1</v>
      </c>
      <c r="K106" s="58">
        <v>0.14285714285714285</v>
      </c>
      <c r="L106" s="76">
        <v>1</v>
      </c>
      <c r="M106" s="58">
        <f t="shared" si="9"/>
        <v>0.7142857142857143</v>
      </c>
      <c r="N106" s="85">
        <v>0.95912082251155895</v>
      </c>
      <c r="O106" s="58">
        <f t="shared" si="10"/>
        <v>1</v>
      </c>
      <c r="P106">
        <v>0</v>
      </c>
      <c r="Q106" s="97">
        <v>1.4623030760941215E-2</v>
      </c>
      <c r="R106" s="97">
        <f t="shared" si="11"/>
        <v>1</v>
      </c>
      <c r="S106" s="58">
        <f t="shared" si="12"/>
        <v>1</v>
      </c>
    </row>
    <row r="107" spans="1:19" ht="16.5" x14ac:dyDescent="0.3">
      <c r="A107" s="23" t="str">
        <f>+VLOOKUP(B107,'INDICADORES CAPTURA'!C:E,3,FALSE)</f>
        <v>PEREZ ZAGARRA AUGUSTO EDUARDO</v>
      </c>
      <c r="B107" s="24" t="s">
        <v>78</v>
      </c>
      <c r="C107" s="41">
        <f t="shared" si="7"/>
        <v>1</v>
      </c>
      <c r="D107" s="6">
        <v>24</v>
      </c>
      <c r="E107" s="6">
        <v>24</v>
      </c>
      <c r="F107" s="25">
        <f t="shared" si="8"/>
        <v>1</v>
      </c>
      <c r="G107" s="76">
        <v>1</v>
      </c>
      <c r="H107" s="76">
        <v>1</v>
      </c>
      <c r="I107" s="76">
        <v>1</v>
      </c>
      <c r="J107" s="59">
        <v>1</v>
      </c>
      <c r="K107" s="58">
        <v>0.17391304347826086</v>
      </c>
      <c r="L107" s="76">
        <v>1</v>
      </c>
      <c r="M107" s="58">
        <f t="shared" si="9"/>
        <v>0.72463768115942029</v>
      </c>
      <c r="N107" s="85">
        <v>1.0347179607480004</v>
      </c>
      <c r="O107" s="58">
        <f t="shared" si="10"/>
        <v>1</v>
      </c>
      <c r="P107">
        <v>0</v>
      </c>
      <c r="Q107" s="97">
        <v>6.1085540005301919E-2</v>
      </c>
      <c r="R107" s="97">
        <f t="shared" si="11"/>
        <v>0</v>
      </c>
      <c r="S107" s="58">
        <f t="shared" si="12"/>
        <v>0.5</v>
      </c>
    </row>
    <row r="108" spans="1:19" ht="16.5" x14ac:dyDescent="0.3">
      <c r="A108" s="23" t="str">
        <f>+VLOOKUP(B108,'INDICADORES CAPTURA'!C:E,3,FALSE)</f>
        <v>MELISA MARTINEZ</v>
      </c>
      <c r="B108" s="24" t="s">
        <v>45</v>
      </c>
      <c r="C108" s="41">
        <f t="shared" si="7"/>
        <v>1</v>
      </c>
      <c r="D108" s="6">
        <v>20</v>
      </c>
      <c r="E108" s="6">
        <v>20</v>
      </c>
      <c r="F108" s="25">
        <f t="shared" si="8"/>
        <v>1</v>
      </c>
      <c r="G108" s="76">
        <v>1</v>
      </c>
      <c r="H108" s="76">
        <v>1</v>
      </c>
      <c r="I108" s="76">
        <v>0.7</v>
      </c>
      <c r="J108" s="59">
        <v>1</v>
      </c>
      <c r="K108" s="58">
        <v>1</v>
      </c>
      <c r="L108" s="76">
        <v>1</v>
      </c>
      <c r="M108" s="58">
        <f t="shared" si="9"/>
        <v>0.9</v>
      </c>
      <c r="N108" s="85">
        <v>0.88482229005102719</v>
      </c>
      <c r="O108" s="58">
        <f t="shared" si="10"/>
        <v>1</v>
      </c>
      <c r="P108">
        <v>0</v>
      </c>
      <c r="Q108" s="97">
        <v>2.6106302517216171E-2</v>
      </c>
      <c r="R108" s="97">
        <f t="shared" si="11"/>
        <v>1</v>
      </c>
      <c r="S108" s="58">
        <f t="shared" si="12"/>
        <v>1</v>
      </c>
    </row>
    <row r="109" spans="1:19" ht="16.5" x14ac:dyDescent="0.3">
      <c r="A109" s="23" t="str">
        <f>+VLOOKUP(B109,'INDICADORES CAPTURA'!C:E,3,FALSE)</f>
        <v>SÁNCHEZ ZAMBRANO LEIDY NICOLE VANESSA</v>
      </c>
      <c r="B109" s="24" t="s">
        <v>147</v>
      </c>
      <c r="C109" s="41">
        <f t="shared" si="7"/>
        <v>0.89743589743589747</v>
      </c>
      <c r="D109" s="6">
        <v>13</v>
      </c>
      <c r="E109" s="6">
        <v>13</v>
      </c>
      <c r="F109" s="25">
        <f t="shared" si="8"/>
        <v>1</v>
      </c>
      <c r="G109" s="76">
        <v>0.84615384615384615</v>
      </c>
      <c r="H109" s="76">
        <v>0.84615384615384615</v>
      </c>
      <c r="I109" s="76">
        <v>0.84615384615384615</v>
      </c>
      <c r="J109" s="59">
        <v>1</v>
      </c>
      <c r="K109" s="58">
        <v>1</v>
      </c>
      <c r="L109" s="76">
        <v>1</v>
      </c>
      <c r="M109" s="58">
        <f t="shared" si="9"/>
        <v>0.94871794871794879</v>
      </c>
      <c r="N109" s="85">
        <v>0.87333085500152596</v>
      </c>
      <c r="O109" s="58">
        <f t="shared" si="10"/>
        <v>0.84615384615384615</v>
      </c>
      <c r="P109">
        <v>0</v>
      </c>
      <c r="Q109" s="97">
        <v>2.5399999999999999E-2</v>
      </c>
      <c r="R109" s="97">
        <f t="shared" si="11"/>
        <v>1</v>
      </c>
      <c r="S109" s="58">
        <f t="shared" si="12"/>
        <v>0.92307692307692313</v>
      </c>
    </row>
    <row r="110" spans="1:19" ht="16.5" x14ac:dyDescent="0.3">
      <c r="A110" s="23" t="str">
        <f>+VLOOKUP(B110,'INDICADORES CAPTURA'!C:E,3,FALSE)</f>
        <v>BOLAÑOS QUEVEDO ALEXIS</v>
      </c>
      <c r="B110" s="24" t="s">
        <v>118</v>
      </c>
      <c r="C110" s="41">
        <f t="shared" si="7"/>
        <v>1</v>
      </c>
      <c r="D110" s="6">
        <v>12</v>
      </c>
      <c r="E110" s="6">
        <v>12</v>
      </c>
      <c r="F110" s="25">
        <f t="shared" si="8"/>
        <v>1</v>
      </c>
      <c r="G110" s="76">
        <v>1</v>
      </c>
      <c r="H110" s="76">
        <v>1</v>
      </c>
      <c r="I110" s="76">
        <v>0</v>
      </c>
      <c r="J110" s="59">
        <v>1</v>
      </c>
      <c r="K110" s="58">
        <v>0</v>
      </c>
      <c r="L110" s="76">
        <v>1</v>
      </c>
      <c r="M110" s="58">
        <f t="shared" si="9"/>
        <v>0.33333333333333331</v>
      </c>
      <c r="N110" s="85">
        <v>1.1169145560930267</v>
      </c>
      <c r="O110" s="58">
        <f t="shared" si="10"/>
        <v>1</v>
      </c>
      <c r="P110">
        <v>0</v>
      </c>
      <c r="Q110" s="97">
        <v>5.748871562950042E-2</v>
      </c>
      <c r="R110" s="97">
        <f t="shared" si="11"/>
        <v>0</v>
      </c>
      <c r="S110" s="58">
        <f>+O110</f>
        <v>1</v>
      </c>
    </row>
    <row r="111" spans="1:19" ht="16.5" x14ac:dyDescent="0.3">
      <c r="A111" s="23" t="str">
        <f>+VLOOKUP(B111,'INDICADORES CAPTURA'!C:E,3,FALSE)</f>
        <v>MARTINEZ VARGAS CHRISTAN RICARDO</v>
      </c>
      <c r="B111" s="24" t="s">
        <v>166</v>
      </c>
      <c r="C111" s="41">
        <f t="shared" si="7"/>
        <v>0.91666666666666663</v>
      </c>
      <c r="D111" s="6">
        <v>12</v>
      </c>
      <c r="E111" s="6">
        <v>11</v>
      </c>
      <c r="F111" s="25">
        <f t="shared" si="8"/>
        <v>0.91666666666666663</v>
      </c>
      <c r="G111" s="76">
        <v>0.91666666666666663</v>
      </c>
      <c r="H111" s="76">
        <v>0.91666666666666663</v>
      </c>
      <c r="I111" s="76">
        <v>0.91666666666666663</v>
      </c>
      <c r="J111" s="59">
        <v>0.91666666666666663</v>
      </c>
      <c r="K111" s="58">
        <v>0.80645161290322576</v>
      </c>
      <c r="L111" s="76">
        <v>0.91666666666666663</v>
      </c>
      <c r="M111" s="58">
        <f t="shared" si="9"/>
        <v>0.8799283154121863</v>
      </c>
      <c r="N111" s="85">
        <v>0.92570134895493805</v>
      </c>
      <c r="O111" s="58">
        <f t="shared" si="10"/>
        <v>0.91666666666666663</v>
      </c>
      <c r="P111">
        <v>0</v>
      </c>
      <c r="Q111" s="97">
        <v>3.0788971899519443E-2</v>
      </c>
      <c r="R111" s="97">
        <f t="shared" si="11"/>
        <v>0</v>
      </c>
      <c r="S111" s="58">
        <f t="shared" si="12"/>
        <v>0.45833333333333331</v>
      </c>
    </row>
    <row r="112" spans="1:19" ht="16.5" x14ac:dyDescent="0.3">
      <c r="A112" s="23" t="str">
        <f>+VLOOKUP(B112,'INDICADORES CAPTURA'!C:E,3,FALSE)</f>
        <v>SÁNCHEZ ZAMBRANO LEIDY NICOLE VANESSA</v>
      </c>
      <c r="B112" s="24" t="s">
        <v>146</v>
      </c>
      <c r="C112" s="41">
        <f t="shared" si="7"/>
        <v>0.85185185185185175</v>
      </c>
      <c r="D112" s="6">
        <v>9</v>
      </c>
      <c r="E112" s="6">
        <v>9</v>
      </c>
      <c r="F112" s="25">
        <f t="shared" si="8"/>
        <v>1</v>
      </c>
      <c r="G112" s="76">
        <v>0.77777777777777779</v>
      </c>
      <c r="H112" s="76">
        <v>0.77777777777777779</v>
      </c>
      <c r="I112" s="76">
        <v>0.22222222222222221</v>
      </c>
      <c r="J112" s="59">
        <v>1</v>
      </c>
      <c r="K112" s="58">
        <v>0.95</v>
      </c>
      <c r="L112" s="76">
        <v>1</v>
      </c>
      <c r="M112" s="58">
        <f t="shared" si="9"/>
        <v>0.7240740740740742</v>
      </c>
      <c r="N112" s="85">
        <v>0</v>
      </c>
      <c r="O112" s="58">
        <f t="shared" si="10"/>
        <v>0.77777777777777779</v>
      </c>
      <c r="P112">
        <v>0</v>
      </c>
      <c r="Q112" s="97">
        <v>2.5399999999999999E-2</v>
      </c>
      <c r="R112" s="97">
        <f t="shared" si="11"/>
        <v>1</v>
      </c>
      <c r="S112" s="58">
        <f>+O112</f>
        <v>0.77777777777777779</v>
      </c>
    </row>
    <row r="113" spans="1:19" ht="16.5" x14ac:dyDescent="0.3">
      <c r="A113" s="23" t="str">
        <f>+VLOOKUP(B113,'INDICADORES CAPTURA'!C:E,3,FALSE)</f>
        <v>MEJÍA BLANDÓN ASTRID KARINA</v>
      </c>
      <c r="B113" s="24" t="s">
        <v>60</v>
      </c>
      <c r="C113" s="41">
        <f t="shared" si="7"/>
        <v>1</v>
      </c>
      <c r="D113" s="6">
        <v>9</v>
      </c>
      <c r="E113" s="6">
        <v>9</v>
      </c>
      <c r="F113" s="25">
        <f t="shared" si="8"/>
        <v>1</v>
      </c>
      <c r="G113" s="76">
        <v>1</v>
      </c>
      <c r="H113" s="76">
        <v>1</v>
      </c>
      <c r="I113" s="76">
        <v>0.88888888888888884</v>
      </c>
      <c r="J113" s="59">
        <v>1</v>
      </c>
      <c r="K113" s="58">
        <v>0.61538461538461542</v>
      </c>
      <c r="L113" s="76">
        <v>1</v>
      </c>
      <c r="M113" s="58">
        <f t="shared" si="9"/>
        <v>0.83475783475783472</v>
      </c>
      <c r="N113" s="85">
        <v>0.97355096105720129</v>
      </c>
      <c r="O113" s="58">
        <f t="shared" si="10"/>
        <v>1</v>
      </c>
      <c r="P113">
        <v>0</v>
      </c>
      <c r="Q113" s="97">
        <v>4.3764866376063652E-2</v>
      </c>
      <c r="R113" s="97">
        <f t="shared" si="11"/>
        <v>0</v>
      </c>
      <c r="S113" s="58">
        <f t="shared" si="12"/>
        <v>0.5</v>
      </c>
    </row>
    <row r="114" spans="1:19" ht="16.5" x14ac:dyDescent="0.3">
      <c r="A114" s="23" t="str">
        <f>+VLOOKUP(B114,'INDICADORES CAPTURA'!C:E,3,FALSE)</f>
        <v>BOLAÑOS QUEVEDO ALEXIS</v>
      </c>
      <c r="B114" s="24" t="s">
        <v>110</v>
      </c>
      <c r="C114" s="41">
        <f t="shared" si="7"/>
        <v>0.92307692307692302</v>
      </c>
      <c r="D114" s="6">
        <v>13</v>
      </c>
      <c r="E114" s="6">
        <v>12</v>
      </c>
      <c r="F114" s="25">
        <f t="shared" si="8"/>
        <v>0.92307692307692313</v>
      </c>
      <c r="G114" s="76">
        <v>0.92307692307692313</v>
      </c>
      <c r="H114" s="76">
        <v>0.92307692307692313</v>
      </c>
      <c r="I114" s="76">
        <v>0.92307692307692313</v>
      </c>
      <c r="J114" s="59">
        <v>0.92307692307692313</v>
      </c>
      <c r="K114" s="58">
        <v>0.12</v>
      </c>
      <c r="L114" s="76">
        <v>0.92307692307692313</v>
      </c>
      <c r="M114" s="58">
        <f t="shared" si="9"/>
        <v>0.65538461538461545</v>
      </c>
      <c r="N114" s="85">
        <v>1.1763410763039355</v>
      </c>
      <c r="O114" s="58">
        <f t="shared" si="10"/>
        <v>0.92307692307692313</v>
      </c>
      <c r="P114">
        <v>0</v>
      </c>
      <c r="Q114" s="97">
        <v>6.5749012230098519E-2</v>
      </c>
      <c r="R114" s="97">
        <f t="shared" si="11"/>
        <v>0</v>
      </c>
      <c r="S114" s="58">
        <f>+O114</f>
        <v>0.92307692307692313</v>
      </c>
    </row>
    <row r="115" spans="1:19" ht="16.5" x14ac:dyDescent="0.3">
      <c r="A115" s="23" t="str">
        <f>+VLOOKUP(B115,'INDICADORES CAPTURA'!C:E,3,FALSE)</f>
        <v>PIÑEROS MONTAÑA LAURA ESTEPHANIA</v>
      </c>
      <c r="B115" s="24" t="s">
        <v>138</v>
      </c>
      <c r="C115" s="41">
        <f t="shared" si="7"/>
        <v>1</v>
      </c>
      <c r="D115" s="6">
        <v>19</v>
      </c>
      <c r="E115" s="6">
        <v>19</v>
      </c>
      <c r="F115" s="25">
        <f t="shared" si="8"/>
        <v>1</v>
      </c>
      <c r="G115" s="76">
        <v>1</v>
      </c>
      <c r="H115" s="76">
        <v>1</v>
      </c>
      <c r="I115" s="76">
        <v>1</v>
      </c>
      <c r="J115" s="59">
        <v>1</v>
      </c>
      <c r="K115" s="58">
        <v>1</v>
      </c>
      <c r="L115" s="76">
        <v>1</v>
      </c>
      <c r="M115" s="58">
        <f t="shared" si="9"/>
        <v>1</v>
      </c>
      <c r="N115" s="85">
        <v>1.0544136251055842</v>
      </c>
      <c r="O115" s="58">
        <f t="shared" si="10"/>
        <v>1</v>
      </c>
      <c r="P115">
        <v>0</v>
      </c>
      <c r="Q115" s="97">
        <v>1.1808016997418401E-2</v>
      </c>
      <c r="R115" s="97">
        <f t="shared" si="11"/>
        <v>1</v>
      </c>
      <c r="S115" s="58">
        <f t="shared" si="12"/>
        <v>1</v>
      </c>
    </row>
    <row r="116" spans="1:19" ht="16.5" x14ac:dyDescent="0.3">
      <c r="A116" s="23" t="str">
        <f>+VLOOKUP(B116,'INDICADORES CAPTURA'!C:E,3,FALSE)</f>
        <v>GONZALEZ BARRANTES EDWIN JESSID</v>
      </c>
      <c r="B116" s="24" t="s">
        <v>93</v>
      </c>
      <c r="C116" s="41">
        <f t="shared" si="7"/>
        <v>1</v>
      </c>
      <c r="D116" s="6">
        <v>16</v>
      </c>
      <c r="E116" s="6">
        <v>16</v>
      </c>
      <c r="F116" s="25">
        <f t="shared" si="8"/>
        <v>1</v>
      </c>
      <c r="G116" s="76">
        <v>1</v>
      </c>
      <c r="H116" s="76">
        <v>1</v>
      </c>
      <c r="I116" s="76">
        <v>1</v>
      </c>
      <c r="J116" s="59">
        <v>1</v>
      </c>
      <c r="K116" s="58">
        <v>1</v>
      </c>
      <c r="L116" s="76">
        <v>1</v>
      </c>
      <c r="M116" s="58">
        <f t="shared" si="9"/>
        <v>1</v>
      </c>
      <c r="N116" s="85">
        <v>1.0492259773148158</v>
      </c>
      <c r="O116" s="58">
        <f t="shared" si="10"/>
        <v>1</v>
      </c>
      <c r="P116">
        <v>0</v>
      </c>
      <c r="Q116" s="97">
        <v>2.0657704702220357E-2</v>
      </c>
      <c r="R116" s="97">
        <f t="shared" si="11"/>
        <v>1</v>
      </c>
      <c r="S116" s="58">
        <f t="shared" si="12"/>
        <v>1</v>
      </c>
    </row>
    <row r="117" spans="1:19" ht="16.5" x14ac:dyDescent="0.3">
      <c r="A117" s="23" t="str">
        <f>+VLOOKUP(B117,'INDICADORES CAPTURA'!C:E,3,FALSE)</f>
        <v>PIÑEROS MONTAÑA LAURA ESTEPHANIA</v>
      </c>
      <c r="B117" s="24" t="s">
        <v>139</v>
      </c>
      <c r="C117" s="41">
        <f t="shared" si="7"/>
        <v>1</v>
      </c>
      <c r="D117" s="6">
        <v>19</v>
      </c>
      <c r="E117" s="6">
        <v>19</v>
      </c>
      <c r="F117" s="25">
        <f t="shared" si="8"/>
        <v>1</v>
      </c>
      <c r="G117" s="76">
        <v>1</v>
      </c>
      <c r="H117" s="76">
        <v>1</v>
      </c>
      <c r="I117" s="76">
        <v>1</v>
      </c>
      <c r="J117" s="59">
        <v>1</v>
      </c>
      <c r="K117" s="58">
        <v>1</v>
      </c>
      <c r="L117" s="76">
        <v>1</v>
      </c>
      <c r="M117" s="58">
        <f t="shared" si="9"/>
        <v>1</v>
      </c>
      <c r="N117" s="85">
        <v>1.2316437290617255</v>
      </c>
      <c r="O117" s="58">
        <f t="shared" si="10"/>
        <v>1</v>
      </c>
      <c r="P117">
        <v>0</v>
      </c>
      <c r="Q117" s="97">
        <v>4.0580489120972965E-2</v>
      </c>
      <c r="R117" s="97">
        <f t="shared" si="11"/>
        <v>0</v>
      </c>
      <c r="S117" s="58">
        <f t="shared" si="12"/>
        <v>0.5</v>
      </c>
    </row>
    <row r="118" spans="1:19" ht="16.5" x14ac:dyDescent="0.3">
      <c r="A118" s="23" t="str">
        <f>+VLOOKUP(B118,'INDICADORES CAPTURA'!C:E,3,FALSE)</f>
        <v>CAMPUZANO IRLET ANDREA</v>
      </c>
      <c r="B118" s="24" t="s">
        <v>106</v>
      </c>
      <c r="C118" s="41">
        <f t="shared" si="7"/>
        <v>0.94117647058823517</v>
      </c>
      <c r="D118" s="6">
        <v>17</v>
      </c>
      <c r="E118" s="6">
        <v>16</v>
      </c>
      <c r="F118" s="25">
        <f t="shared" si="8"/>
        <v>0.94117647058823528</v>
      </c>
      <c r="G118" s="76">
        <v>0.94117647058823528</v>
      </c>
      <c r="H118" s="76">
        <v>0.94117647058823528</v>
      </c>
      <c r="I118" s="76">
        <v>0.94117647058823528</v>
      </c>
      <c r="J118" s="59">
        <v>0.94117647058823528</v>
      </c>
      <c r="K118" s="58">
        <v>0.9642857142857143</v>
      </c>
      <c r="L118" s="76">
        <v>0.94117647058823528</v>
      </c>
      <c r="M118" s="58">
        <f t="shared" si="9"/>
        <v>0.94887955182072836</v>
      </c>
      <c r="N118" s="85">
        <v>1.0083755259182861</v>
      </c>
      <c r="O118" s="58">
        <f t="shared" si="10"/>
        <v>0.94117647058823528</v>
      </c>
      <c r="P118">
        <v>0</v>
      </c>
      <c r="Q118" s="97">
        <v>3.488691812506494E-2</v>
      </c>
      <c r="R118" s="97">
        <f t="shared" si="11"/>
        <v>0</v>
      </c>
      <c r="S118" s="58">
        <f t="shared" si="12"/>
        <v>0.47058823529411764</v>
      </c>
    </row>
    <row r="119" spans="1:19" ht="16.5" x14ac:dyDescent="0.3">
      <c r="A119" s="23" t="str">
        <f>+VLOOKUP(B119,'INDICADORES CAPTURA'!C:E,3,FALSE)</f>
        <v xml:space="preserve">SUSANA SILVA MENDOZA      </v>
      </c>
      <c r="B119" s="24" t="s">
        <v>17</v>
      </c>
      <c r="C119" s="41">
        <f t="shared" si="7"/>
        <v>1</v>
      </c>
      <c r="D119" s="6">
        <v>15</v>
      </c>
      <c r="E119" s="6">
        <v>15</v>
      </c>
      <c r="F119" s="25">
        <f t="shared" si="8"/>
        <v>1</v>
      </c>
      <c r="G119" s="76">
        <v>1</v>
      </c>
      <c r="H119" s="76">
        <v>1</v>
      </c>
      <c r="I119" s="76">
        <v>1</v>
      </c>
      <c r="J119" s="59">
        <v>1</v>
      </c>
      <c r="K119" s="58">
        <v>1</v>
      </c>
      <c r="L119" s="76">
        <v>1</v>
      </c>
      <c r="M119" s="58">
        <f t="shared" si="9"/>
        <v>1</v>
      </c>
      <c r="N119" s="85">
        <v>1.1839680179181065</v>
      </c>
      <c r="O119" s="58">
        <f t="shared" si="10"/>
        <v>1</v>
      </c>
      <c r="P119">
        <v>0</v>
      </c>
      <c r="Q119" s="97">
        <v>1.6270928814788706E-2</v>
      </c>
      <c r="R119" s="97">
        <f t="shared" si="11"/>
        <v>1</v>
      </c>
      <c r="S119" s="58">
        <f>+O119</f>
        <v>1</v>
      </c>
    </row>
    <row r="120" spans="1:19" ht="16.5" x14ac:dyDescent="0.3">
      <c r="A120" s="23" t="str">
        <f>+VLOOKUP(B120,'INDICADORES CAPTURA'!C:E,3,FALSE)</f>
        <v>MARTINEZ VARGAS CHRISTAN RICARDO</v>
      </c>
      <c r="B120" s="24" t="s">
        <v>162</v>
      </c>
      <c r="C120" s="41">
        <f t="shared" si="7"/>
        <v>0.93333333333333324</v>
      </c>
      <c r="D120" s="6">
        <v>5</v>
      </c>
      <c r="E120" s="6">
        <v>5</v>
      </c>
      <c r="F120" s="25">
        <f t="shared" si="8"/>
        <v>1</v>
      </c>
      <c r="G120" s="76">
        <v>0.8</v>
      </c>
      <c r="H120" s="76">
        <v>1</v>
      </c>
      <c r="I120" s="76">
        <v>1</v>
      </c>
      <c r="J120" s="59">
        <v>1</v>
      </c>
      <c r="K120" s="58">
        <v>0.25</v>
      </c>
      <c r="L120" s="76">
        <v>1</v>
      </c>
      <c r="M120" s="58">
        <f t="shared" si="9"/>
        <v>0.75</v>
      </c>
      <c r="N120" s="85">
        <v>1.06010263677516</v>
      </c>
      <c r="O120" s="58">
        <f t="shared" si="10"/>
        <v>0.8</v>
      </c>
      <c r="P120">
        <v>0</v>
      </c>
      <c r="Q120" s="97">
        <v>2.1794744025940102E-2</v>
      </c>
      <c r="R120" s="97">
        <f t="shared" si="11"/>
        <v>1</v>
      </c>
      <c r="S120" s="58">
        <f t="shared" si="12"/>
        <v>0.9</v>
      </c>
    </row>
    <row r="121" spans="1:19" ht="16.5" x14ac:dyDescent="0.3">
      <c r="A121" s="23" t="str">
        <f>+VLOOKUP(B121,'INDICADORES CAPTURA'!C:E,3,FALSE)</f>
        <v>GIL MARTINEZ JENNIFER STEFANNIE</v>
      </c>
      <c r="B121" s="24" t="s">
        <v>195</v>
      </c>
      <c r="C121" s="41">
        <f t="shared" si="7"/>
        <v>1</v>
      </c>
      <c r="D121" s="6">
        <v>2</v>
      </c>
      <c r="E121" s="6">
        <v>2</v>
      </c>
      <c r="F121" s="25">
        <f t="shared" si="8"/>
        <v>1</v>
      </c>
      <c r="G121" s="76">
        <v>1</v>
      </c>
      <c r="H121" s="76">
        <v>1</v>
      </c>
      <c r="I121" s="76">
        <v>0.5</v>
      </c>
      <c r="J121" s="59">
        <v>1</v>
      </c>
      <c r="K121" s="58">
        <v>1</v>
      </c>
      <c r="L121" s="76">
        <v>1</v>
      </c>
      <c r="M121" s="58">
        <f t="shared" si="9"/>
        <v>0.83333333333333337</v>
      </c>
      <c r="N121" s="85">
        <v>1.002692606501346</v>
      </c>
      <c r="O121" s="58">
        <f t="shared" si="10"/>
        <v>1</v>
      </c>
      <c r="P121">
        <v>0</v>
      </c>
      <c r="Q121" s="97">
        <v>1.6193881911306784E-2</v>
      </c>
      <c r="R121" s="97">
        <f t="shared" si="11"/>
        <v>1</v>
      </c>
      <c r="S121" s="58">
        <f>+O121</f>
        <v>1</v>
      </c>
    </row>
    <row r="122" spans="1:19" ht="16.5" x14ac:dyDescent="0.3">
      <c r="A122" s="23" t="str">
        <f>+VLOOKUP(B122,'INDICADORES CAPTURA'!C:E,3,FALSE)</f>
        <v xml:space="preserve">JUAN PABLO GIL ALMANZA    </v>
      </c>
      <c r="B122" s="24" t="s">
        <v>30</v>
      </c>
      <c r="C122" s="41">
        <f t="shared" si="7"/>
        <v>1</v>
      </c>
      <c r="D122" s="6">
        <v>15</v>
      </c>
      <c r="E122" s="6">
        <v>15</v>
      </c>
      <c r="F122" s="25">
        <f t="shared" si="8"/>
        <v>1</v>
      </c>
      <c r="G122" s="76">
        <v>1</v>
      </c>
      <c r="H122" s="76">
        <v>1</v>
      </c>
      <c r="I122" s="76">
        <v>0.93333333333333335</v>
      </c>
      <c r="J122" s="59">
        <v>1</v>
      </c>
      <c r="K122" s="58">
        <v>1</v>
      </c>
      <c r="L122" s="76">
        <v>1</v>
      </c>
      <c r="M122" s="58">
        <f t="shared" si="9"/>
        <v>0.97777777777777786</v>
      </c>
      <c r="N122" s="85">
        <v>1.113367350715752</v>
      </c>
      <c r="O122" s="58">
        <f t="shared" si="10"/>
        <v>1</v>
      </c>
      <c r="P122">
        <v>0</v>
      </c>
      <c r="Q122" s="97">
        <v>3.3607264175104901E-2</v>
      </c>
      <c r="R122" s="97">
        <f t="shared" si="11"/>
        <v>0</v>
      </c>
      <c r="S122" s="58">
        <f t="shared" si="12"/>
        <v>0.5</v>
      </c>
    </row>
    <row r="123" spans="1:19" ht="16.5" x14ac:dyDescent="0.3">
      <c r="A123" s="23" t="str">
        <f>+VLOOKUP(B123,'INDICADORES CAPTURA'!C:E,3,FALSE)</f>
        <v xml:space="preserve">JUAN PABLO GIL ALMANZA    </v>
      </c>
      <c r="B123" s="24" t="s">
        <v>31</v>
      </c>
      <c r="C123" s="41">
        <f t="shared" si="7"/>
        <v>1</v>
      </c>
      <c r="D123" s="6">
        <v>7</v>
      </c>
      <c r="E123" s="6">
        <v>7</v>
      </c>
      <c r="F123" s="25">
        <f t="shared" si="8"/>
        <v>1</v>
      </c>
      <c r="G123" s="76">
        <v>1</v>
      </c>
      <c r="H123" s="76">
        <v>1</v>
      </c>
      <c r="I123" s="76">
        <v>1</v>
      </c>
      <c r="J123" s="59">
        <v>1</v>
      </c>
      <c r="K123" s="58">
        <v>1</v>
      </c>
      <c r="L123" s="76">
        <v>1</v>
      </c>
      <c r="M123" s="58">
        <f t="shared" si="9"/>
        <v>1</v>
      </c>
      <c r="N123" s="85">
        <v>0.90608294578084625</v>
      </c>
      <c r="O123" s="58">
        <f t="shared" si="10"/>
        <v>1</v>
      </c>
      <c r="P123">
        <v>0</v>
      </c>
      <c r="Q123" s="97">
        <v>3.5228232551921645E-2</v>
      </c>
      <c r="R123" s="97">
        <f t="shared" si="11"/>
        <v>0</v>
      </c>
      <c r="S123" s="58">
        <f t="shared" si="12"/>
        <v>0.5</v>
      </c>
    </row>
    <row r="124" spans="1:19" ht="16.5" x14ac:dyDescent="0.3">
      <c r="A124" s="23" t="str">
        <f>+VLOOKUP(B124,'INDICADORES CAPTURA'!C:E,3,FALSE)</f>
        <v>MEJÍA BLANDÓN ASTRID KARINA</v>
      </c>
      <c r="B124" s="24" t="s">
        <v>70</v>
      </c>
      <c r="C124" s="41">
        <f t="shared" si="7"/>
        <v>1</v>
      </c>
      <c r="D124" s="6">
        <v>12</v>
      </c>
      <c r="E124" s="6">
        <v>12</v>
      </c>
      <c r="F124" s="25">
        <f t="shared" si="8"/>
        <v>1</v>
      </c>
      <c r="G124" s="76">
        <v>1</v>
      </c>
      <c r="H124" s="76">
        <v>1</v>
      </c>
      <c r="I124" s="76">
        <v>0.91666666666666663</v>
      </c>
      <c r="J124" s="59">
        <v>1</v>
      </c>
      <c r="K124" s="58">
        <v>0.76190476190476186</v>
      </c>
      <c r="L124" s="76">
        <v>1</v>
      </c>
      <c r="M124" s="58">
        <f t="shared" si="9"/>
        <v>0.89285714285714279</v>
      </c>
      <c r="N124" s="85">
        <v>0.87781535463530214</v>
      </c>
      <c r="O124" s="58">
        <f t="shared" si="10"/>
        <v>1</v>
      </c>
      <c r="P124">
        <v>0</v>
      </c>
      <c r="Q124" s="97">
        <v>1.6991097979926643E-2</v>
      </c>
      <c r="R124" s="97">
        <f t="shared" si="11"/>
        <v>1</v>
      </c>
      <c r="S124" s="58">
        <f t="shared" si="12"/>
        <v>1</v>
      </c>
    </row>
    <row r="125" spans="1:19" ht="16.5" x14ac:dyDescent="0.3">
      <c r="A125" s="23" t="str">
        <f>+VLOOKUP(B125,'INDICADORES CAPTURA'!C:E,3,FALSE)</f>
        <v>OSSA TABARES JAZMIN BERNARDA</v>
      </c>
      <c r="B125" s="24" t="s">
        <v>177</v>
      </c>
      <c r="C125" s="41">
        <f t="shared" si="7"/>
        <v>1</v>
      </c>
      <c r="D125" s="6">
        <v>5</v>
      </c>
      <c r="E125" s="6">
        <v>5</v>
      </c>
      <c r="F125" s="25">
        <f t="shared" si="8"/>
        <v>1</v>
      </c>
      <c r="G125" s="76">
        <v>1</v>
      </c>
      <c r="H125" s="76">
        <v>1</v>
      </c>
      <c r="I125" s="76">
        <v>1</v>
      </c>
      <c r="J125" s="59">
        <v>1</v>
      </c>
      <c r="K125" s="58">
        <v>0.66666666666666663</v>
      </c>
      <c r="L125" s="76">
        <v>1</v>
      </c>
      <c r="M125" s="58">
        <f t="shared" si="9"/>
        <v>0.88888888888888884</v>
      </c>
      <c r="N125" s="85">
        <v>0.88682271291264536</v>
      </c>
      <c r="O125" s="58">
        <f t="shared" si="10"/>
        <v>1</v>
      </c>
      <c r="P125">
        <v>0</v>
      </c>
      <c r="Q125" s="97">
        <v>2.0466033631986191E-2</v>
      </c>
      <c r="R125" s="97">
        <f t="shared" si="11"/>
        <v>1</v>
      </c>
      <c r="S125" s="58">
        <f t="shared" si="12"/>
        <v>1</v>
      </c>
    </row>
    <row r="126" spans="1:19" ht="16.5" x14ac:dyDescent="0.3">
      <c r="A126" s="23" t="str">
        <f>+VLOOKUP(B126,'INDICADORES CAPTURA'!C:E,3,FALSE)</f>
        <v>GIL MARTINEZ JENNIFER STEFANNIE</v>
      </c>
      <c r="B126" s="24" t="s">
        <v>185</v>
      </c>
      <c r="C126" s="41">
        <f t="shared" si="7"/>
        <v>1</v>
      </c>
      <c r="D126" s="6">
        <v>12</v>
      </c>
      <c r="E126" s="6">
        <v>12</v>
      </c>
      <c r="F126" s="25">
        <f t="shared" si="8"/>
        <v>1</v>
      </c>
      <c r="G126" s="76">
        <v>1</v>
      </c>
      <c r="H126" s="76">
        <v>1</v>
      </c>
      <c r="I126" s="76">
        <v>1</v>
      </c>
      <c r="J126" s="59">
        <v>1</v>
      </c>
      <c r="K126" s="58">
        <v>1</v>
      </c>
      <c r="L126" s="76">
        <v>1</v>
      </c>
      <c r="M126" s="58">
        <f t="shared" si="9"/>
        <v>1</v>
      </c>
      <c r="N126" s="85">
        <v>1.0333303442946065</v>
      </c>
      <c r="O126" s="58">
        <f t="shared" si="10"/>
        <v>1</v>
      </c>
      <c r="P126">
        <v>0</v>
      </c>
      <c r="Q126" s="97">
        <v>3.1365362903299693E-2</v>
      </c>
      <c r="R126" s="97">
        <f t="shared" si="11"/>
        <v>0</v>
      </c>
      <c r="S126" s="58">
        <f t="shared" si="12"/>
        <v>0.5</v>
      </c>
    </row>
    <row r="127" spans="1:19" ht="16.5" x14ac:dyDescent="0.3">
      <c r="A127" s="23" t="str">
        <f>+VLOOKUP(B127,'INDICADORES CAPTURA'!C:E,3,FALSE)</f>
        <v>OSSA TABARES JAZMIN BERNARDA</v>
      </c>
      <c r="B127" s="24" t="s">
        <v>179</v>
      </c>
      <c r="C127" s="41">
        <f t="shared" si="7"/>
        <v>1</v>
      </c>
      <c r="D127" s="6">
        <v>7</v>
      </c>
      <c r="E127" s="6">
        <v>7</v>
      </c>
      <c r="F127" s="25">
        <f t="shared" si="8"/>
        <v>1</v>
      </c>
      <c r="G127" s="76">
        <v>1</v>
      </c>
      <c r="H127" s="76">
        <v>1</v>
      </c>
      <c r="I127" s="76">
        <v>0.42857142857142855</v>
      </c>
      <c r="J127" s="59">
        <v>1</v>
      </c>
      <c r="K127" s="58">
        <v>1</v>
      </c>
      <c r="L127" s="76">
        <v>1</v>
      </c>
      <c r="M127" s="58">
        <f t="shared" si="9"/>
        <v>0.80952380952380965</v>
      </c>
      <c r="N127" s="85">
        <v>1.1768073832564594</v>
      </c>
      <c r="O127" s="58">
        <f t="shared" si="10"/>
        <v>1</v>
      </c>
      <c r="P127">
        <v>0</v>
      </c>
      <c r="Q127" s="97">
        <v>3.4246724981231158E-2</v>
      </c>
      <c r="R127" s="97">
        <f t="shared" si="11"/>
        <v>0</v>
      </c>
      <c r="S127" s="58">
        <f t="shared" si="12"/>
        <v>0.5</v>
      </c>
    </row>
    <row r="128" spans="1:19" ht="16.5" x14ac:dyDescent="0.3">
      <c r="A128" s="23" t="str">
        <f>+VLOOKUP(B128,'INDICADORES CAPTURA'!C:E,3,FALSE)</f>
        <v>GONZALEZ BARRANTES EDWIN JESSID</v>
      </c>
      <c r="B128" s="24" t="s">
        <v>90</v>
      </c>
      <c r="C128" s="41">
        <f t="shared" si="7"/>
        <v>0.93333333333333324</v>
      </c>
      <c r="D128" s="6">
        <v>15</v>
      </c>
      <c r="E128" s="6">
        <v>14</v>
      </c>
      <c r="F128" s="25">
        <f t="shared" si="8"/>
        <v>0.93333333333333335</v>
      </c>
      <c r="G128" s="76">
        <v>0.93333333333333335</v>
      </c>
      <c r="H128" s="76">
        <v>0.93333333333333335</v>
      </c>
      <c r="I128" s="76">
        <v>0.93333333333333335</v>
      </c>
      <c r="J128" s="59">
        <v>0.93333333333333335</v>
      </c>
      <c r="K128" s="58">
        <v>0.92592592592592593</v>
      </c>
      <c r="L128" s="76">
        <v>0.93333333333333335</v>
      </c>
      <c r="M128" s="58">
        <f t="shared" si="9"/>
        <v>0.93086419753086425</v>
      </c>
      <c r="N128" s="85">
        <v>1.4460714624419557</v>
      </c>
      <c r="O128" s="58">
        <f t="shared" si="10"/>
        <v>0.93333333333333335</v>
      </c>
      <c r="P128">
        <v>0</v>
      </c>
      <c r="Q128" s="97">
        <v>7.6213431678016794E-2</v>
      </c>
      <c r="R128" s="97">
        <f t="shared" si="11"/>
        <v>0</v>
      </c>
      <c r="S128" s="58">
        <f t="shared" si="12"/>
        <v>0.46666666666666667</v>
      </c>
    </row>
    <row r="129" spans="1:19" ht="16.5" x14ac:dyDescent="0.3">
      <c r="A129" s="23" t="str">
        <f>+VLOOKUP(B129,'INDICADORES CAPTURA'!C:E,3,FALSE)</f>
        <v xml:space="preserve">SUSANA SILVA MENDOZA      </v>
      </c>
      <c r="B129" s="24" t="s">
        <v>24</v>
      </c>
      <c r="C129" s="41">
        <f t="shared" si="7"/>
        <v>0.83333333333333337</v>
      </c>
      <c r="D129" s="6">
        <v>6</v>
      </c>
      <c r="E129" s="6">
        <v>5</v>
      </c>
      <c r="F129" s="25">
        <f t="shared" si="8"/>
        <v>0.83333333333333337</v>
      </c>
      <c r="G129" s="76">
        <v>0.83333333333333337</v>
      </c>
      <c r="H129" s="76">
        <v>0.83333333333333337</v>
      </c>
      <c r="I129" s="76">
        <v>0.83333333333333337</v>
      </c>
      <c r="J129" s="59">
        <v>0.83333333333333337</v>
      </c>
      <c r="K129" s="58">
        <v>1</v>
      </c>
      <c r="L129" s="76">
        <v>0.83333333333333337</v>
      </c>
      <c r="M129" s="58">
        <f t="shared" si="9"/>
        <v>0.88888888888888895</v>
      </c>
      <c r="N129" s="85">
        <v>1.0138424832148571</v>
      </c>
      <c r="O129" s="58">
        <f t="shared" si="10"/>
        <v>0.83333333333333337</v>
      </c>
      <c r="P129">
        <v>0</v>
      </c>
      <c r="Q129" s="97">
        <v>1.1592073471034053E-2</v>
      </c>
      <c r="R129" s="97">
        <f t="shared" si="11"/>
        <v>1</v>
      </c>
      <c r="S129" s="58">
        <f t="shared" si="12"/>
        <v>0.91666666666666674</v>
      </c>
    </row>
    <row r="130" spans="1:19" ht="16.5" x14ac:dyDescent="0.3">
      <c r="A130" s="23" t="str">
        <f>+VLOOKUP(B130,'INDICADORES CAPTURA'!C:E,3,FALSE)</f>
        <v>PEREZ ZAGARRA AUGUSTO EDUARDO</v>
      </c>
      <c r="B130" s="24" t="s">
        <v>76</v>
      </c>
      <c r="C130" s="41">
        <f t="shared" si="7"/>
        <v>1</v>
      </c>
      <c r="D130" s="6">
        <v>21</v>
      </c>
      <c r="E130" s="6">
        <v>21</v>
      </c>
      <c r="F130" s="25">
        <f t="shared" si="8"/>
        <v>1</v>
      </c>
      <c r="G130" s="76">
        <v>1</v>
      </c>
      <c r="H130" s="76">
        <v>1</v>
      </c>
      <c r="I130" s="76">
        <v>0.95238095238095233</v>
      </c>
      <c r="J130" s="59">
        <v>1</v>
      </c>
      <c r="K130" s="58">
        <v>0.65625</v>
      </c>
      <c r="L130" s="76">
        <v>1</v>
      </c>
      <c r="M130" s="58">
        <f t="shared" si="9"/>
        <v>0.86954365079365081</v>
      </c>
      <c r="N130" s="85">
        <v>0.92235928395148559</v>
      </c>
      <c r="O130" s="58">
        <f t="shared" si="10"/>
        <v>1</v>
      </c>
      <c r="P130">
        <v>0</v>
      </c>
      <c r="Q130" s="97">
        <v>0.10205034113484547</v>
      </c>
      <c r="R130" s="97">
        <f t="shared" si="11"/>
        <v>0</v>
      </c>
      <c r="S130" s="58">
        <f>+O130</f>
        <v>1</v>
      </c>
    </row>
    <row r="131" spans="1:19" ht="16.5" x14ac:dyDescent="0.3">
      <c r="A131" s="23" t="str">
        <f>+VLOOKUP(B131,'INDICADORES CAPTURA'!C:E,3,FALSE)</f>
        <v>MEJÍA BLANDÓN ASTRID KARINA</v>
      </c>
      <c r="B131" s="24" t="s">
        <v>67</v>
      </c>
      <c r="C131" s="41">
        <f t="shared" ref="C131:C189" si="14">+AVERAGE(G131,H131,L131)</f>
        <v>0.81818181818181823</v>
      </c>
      <c r="D131" s="6">
        <v>11</v>
      </c>
      <c r="E131" s="6">
        <v>8</v>
      </c>
      <c r="F131" s="25">
        <f t="shared" ref="F131:F189" si="15">+E131/D131</f>
        <v>0.72727272727272729</v>
      </c>
      <c r="G131" s="76">
        <v>0.81818181818181823</v>
      </c>
      <c r="H131" s="76">
        <v>0.81818181818181823</v>
      </c>
      <c r="I131" s="76">
        <v>0.72727272727272729</v>
      </c>
      <c r="J131" s="59">
        <v>0.81818181818181823</v>
      </c>
      <c r="K131" s="58">
        <v>0.88888888888888884</v>
      </c>
      <c r="L131" s="76">
        <v>0.81818181818181823</v>
      </c>
      <c r="M131" s="58">
        <f t="shared" ref="M131:M189" si="16">+AVERAGE(I131,J131,K131)</f>
        <v>0.81144781144781142</v>
      </c>
      <c r="N131" s="85">
        <v>0.98666315020613415</v>
      </c>
      <c r="O131" s="58">
        <f t="shared" ref="O131:O189" si="17">+G131</f>
        <v>0.81818181818181823</v>
      </c>
      <c r="P131">
        <v>0</v>
      </c>
      <c r="Q131" s="97">
        <v>2.1798660592227816E-2</v>
      </c>
      <c r="R131" s="97">
        <f t="shared" ref="R131:R189" si="18">+IF(Q131&lt;3%,100%,0)</f>
        <v>1</v>
      </c>
      <c r="S131" s="58">
        <f t="shared" ref="S131:S186" si="19">+AVERAGE(O131,R131)</f>
        <v>0.90909090909090917</v>
      </c>
    </row>
    <row r="132" spans="1:19" ht="16.5" x14ac:dyDescent="0.3">
      <c r="A132" s="23" t="e">
        <f>+VLOOKUP(B132,'INDICADORES CAPTURA'!C:E,3,FALSE)</f>
        <v>#N/A</v>
      </c>
      <c r="B132" s="24" t="s">
        <v>157</v>
      </c>
      <c r="C132" s="41">
        <f t="shared" si="14"/>
        <v>1</v>
      </c>
      <c r="D132" s="6">
        <v>12</v>
      </c>
      <c r="E132" s="6">
        <v>12</v>
      </c>
      <c r="F132" s="25">
        <f t="shared" si="15"/>
        <v>1</v>
      </c>
      <c r="G132" s="76">
        <v>1</v>
      </c>
      <c r="H132" s="76">
        <v>1</v>
      </c>
      <c r="I132" s="76">
        <v>0.91666666666666663</v>
      </c>
      <c r="J132" s="59">
        <v>1</v>
      </c>
      <c r="K132" s="58">
        <v>1</v>
      </c>
      <c r="L132" s="76">
        <v>1</v>
      </c>
      <c r="M132" s="58">
        <f t="shared" si="16"/>
        <v>0.97222222222222221</v>
      </c>
      <c r="N132" s="85">
        <v>0</v>
      </c>
      <c r="O132" s="58">
        <f t="shared" si="17"/>
        <v>1</v>
      </c>
      <c r="P132">
        <v>0</v>
      </c>
      <c r="Q132" s="97">
        <v>0</v>
      </c>
      <c r="R132" s="97">
        <f t="shared" si="18"/>
        <v>1</v>
      </c>
      <c r="S132" s="58">
        <f t="shared" si="19"/>
        <v>1</v>
      </c>
    </row>
    <row r="133" spans="1:19" ht="16.5" x14ac:dyDescent="0.3">
      <c r="A133" s="23" t="str">
        <f>+VLOOKUP(B133,'INDICADORES CAPTURA'!C:E,3,FALSE)</f>
        <v>MEJÍA BLANDÓN ASTRID KARINA</v>
      </c>
      <c r="B133" s="24" t="s">
        <v>64</v>
      </c>
      <c r="C133" s="41">
        <f t="shared" si="14"/>
        <v>0.94871794871794879</v>
      </c>
      <c r="D133" s="6">
        <v>13</v>
      </c>
      <c r="E133" s="6">
        <v>12</v>
      </c>
      <c r="F133" s="25">
        <f t="shared" si="15"/>
        <v>0.92307692307692313</v>
      </c>
      <c r="G133" s="76">
        <v>0.92307692307692313</v>
      </c>
      <c r="H133" s="76">
        <v>0.92307692307692313</v>
      </c>
      <c r="I133" s="76">
        <v>0.53846153846153844</v>
      </c>
      <c r="J133" s="59">
        <v>1</v>
      </c>
      <c r="K133" s="58">
        <v>0.77777777777777779</v>
      </c>
      <c r="L133" s="76">
        <v>1</v>
      </c>
      <c r="M133" s="58">
        <f t="shared" si="16"/>
        <v>0.77207977207977196</v>
      </c>
      <c r="N133" s="85">
        <v>1.0166735449548558</v>
      </c>
      <c r="O133" s="58">
        <f t="shared" si="17"/>
        <v>0.92307692307692313</v>
      </c>
      <c r="P133">
        <v>0</v>
      </c>
      <c r="Q133" s="97">
        <v>3.3588679435140129E-2</v>
      </c>
      <c r="R133" s="97">
        <f t="shared" si="18"/>
        <v>0</v>
      </c>
      <c r="S133" s="58">
        <f t="shared" si="19"/>
        <v>0.46153846153846156</v>
      </c>
    </row>
    <row r="134" spans="1:19" ht="16.5" x14ac:dyDescent="0.3">
      <c r="A134" s="23" t="str">
        <f>+VLOOKUP(B134,'INDICADORES CAPTURA'!C:E,3,FALSE)</f>
        <v>GONZALEZ BARRANTES EDWIN JESSID</v>
      </c>
      <c r="B134" s="24" t="s">
        <v>99</v>
      </c>
      <c r="C134" s="41">
        <f t="shared" si="14"/>
        <v>1</v>
      </c>
      <c r="D134" s="6">
        <v>16</v>
      </c>
      <c r="E134" s="6">
        <v>16</v>
      </c>
      <c r="F134" s="25">
        <f t="shared" si="15"/>
        <v>1</v>
      </c>
      <c r="G134" s="76">
        <v>1</v>
      </c>
      <c r="H134" s="76">
        <v>1</v>
      </c>
      <c r="I134" s="76">
        <v>1</v>
      </c>
      <c r="J134" s="59">
        <v>1</v>
      </c>
      <c r="K134" s="58">
        <v>0.75</v>
      </c>
      <c r="L134" s="76">
        <v>1</v>
      </c>
      <c r="M134" s="58">
        <f t="shared" si="16"/>
        <v>0.91666666666666663</v>
      </c>
      <c r="N134" s="85">
        <v>1.18072455586679</v>
      </c>
      <c r="O134" s="58">
        <f t="shared" si="17"/>
        <v>1</v>
      </c>
      <c r="P134">
        <v>0</v>
      </c>
      <c r="Q134" s="97">
        <v>1.5854690656224257E-2</v>
      </c>
      <c r="R134" s="97">
        <f t="shared" si="18"/>
        <v>1</v>
      </c>
      <c r="S134" s="58">
        <f t="shared" si="19"/>
        <v>1</v>
      </c>
    </row>
    <row r="135" spans="1:19" ht="16.5" x14ac:dyDescent="0.3">
      <c r="A135" s="23" t="str">
        <f>+VLOOKUP(B135,'INDICADORES CAPTURA'!C:E,3,FALSE)</f>
        <v>MEJÍA BLANDÓN ASTRID KARINA</v>
      </c>
      <c r="B135" s="24" t="s">
        <v>58</v>
      </c>
      <c r="C135" s="41">
        <f t="shared" si="14"/>
        <v>1</v>
      </c>
      <c r="D135" s="6">
        <v>8</v>
      </c>
      <c r="E135" s="6">
        <v>8</v>
      </c>
      <c r="F135" s="25">
        <f t="shared" si="15"/>
        <v>1</v>
      </c>
      <c r="G135" s="76">
        <v>1</v>
      </c>
      <c r="H135" s="76">
        <v>1</v>
      </c>
      <c r="I135" s="76">
        <v>1</v>
      </c>
      <c r="J135" s="59">
        <v>1</v>
      </c>
      <c r="K135" s="58">
        <v>1</v>
      </c>
      <c r="L135" s="76">
        <v>1</v>
      </c>
      <c r="M135" s="58">
        <f t="shared" si="16"/>
        <v>1</v>
      </c>
      <c r="N135" s="85">
        <v>1.4124246952616459</v>
      </c>
      <c r="O135" s="58">
        <f t="shared" si="17"/>
        <v>1</v>
      </c>
      <c r="P135">
        <v>0</v>
      </c>
      <c r="Q135" s="97">
        <v>1.979091172476356E-2</v>
      </c>
      <c r="R135" s="97">
        <f t="shared" si="18"/>
        <v>1</v>
      </c>
      <c r="S135" s="58">
        <f t="shared" ref="S135:S136" si="20">+O135</f>
        <v>1</v>
      </c>
    </row>
    <row r="136" spans="1:19" ht="16.5" x14ac:dyDescent="0.3">
      <c r="A136" s="23" t="str">
        <f>+VLOOKUP(B136,'INDICADORES CAPTURA'!C:E,3,FALSE)</f>
        <v>BOLAÑOS QUEVEDO ALEXIS</v>
      </c>
      <c r="B136" s="24" t="s">
        <v>122</v>
      </c>
      <c r="C136" s="41">
        <f t="shared" si="14"/>
        <v>1</v>
      </c>
      <c r="D136" s="6">
        <v>3</v>
      </c>
      <c r="E136" s="6">
        <v>3</v>
      </c>
      <c r="F136" s="25">
        <f t="shared" si="15"/>
        <v>1</v>
      </c>
      <c r="G136" s="76">
        <v>1</v>
      </c>
      <c r="H136" s="76">
        <v>1</v>
      </c>
      <c r="I136" s="76">
        <v>1</v>
      </c>
      <c r="J136" s="59">
        <v>1</v>
      </c>
      <c r="K136" s="58">
        <v>0</v>
      </c>
      <c r="L136" s="76">
        <v>1</v>
      </c>
      <c r="M136" s="58">
        <f t="shared" si="16"/>
        <v>0.66666666666666663</v>
      </c>
      <c r="N136" s="85">
        <v>1.1109339735251027</v>
      </c>
      <c r="O136" s="58">
        <f t="shared" si="17"/>
        <v>1</v>
      </c>
      <c r="P136">
        <v>0</v>
      </c>
      <c r="Q136" s="97">
        <v>2.6112423114070898E-2</v>
      </c>
      <c r="R136" s="97">
        <f t="shared" si="18"/>
        <v>1</v>
      </c>
      <c r="S136" s="58">
        <f t="shared" si="20"/>
        <v>1</v>
      </c>
    </row>
    <row r="137" spans="1:19" ht="16.5" x14ac:dyDescent="0.3">
      <c r="A137" s="23" t="str">
        <f>+VLOOKUP(B137,'INDICADORES CAPTURA'!C:E,3,FALSE)</f>
        <v>BOLAÑOS QUEVEDO ALEXIS</v>
      </c>
      <c r="B137" s="24" t="s">
        <v>121</v>
      </c>
      <c r="C137" s="41">
        <f t="shared" si="14"/>
        <v>0.88888888888888884</v>
      </c>
      <c r="D137" s="6">
        <v>18</v>
      </c>
      <c r="E137" s="6">
        <v>15</v>
      </c>
      <c r="F137" s="25">
        <f t="shared" si="15"/>
        <v>0.83333333333333337</v>
      </c>
      <c r="G137" s="76">
        <v>0.88888888888888884</v>
      </c>
      <c r="H137" s="76">
        <v>0.88888888888888884</v>
      </c>
      <c r="I137" s="76">
        <v>0.83333333333333337</v>
      </c>
      <c r="J137" s="59">
        <v>0.88888888888888884</v>
      </c>
      <c r="K137" s="58">
        <v>0.66666666666666663</v>
      </c>
      <c r="L137" s="76">
        <v>0.88888888888888884</v>
      </c>
      <c r="M137" s="58">
        <f t="shared" si="16"/>
        <v>0.79629629629629628</v>
      </c>
      <c r="N137" s="85">
        <v>1.4395204244963393</v>
      </c>
      <c r="O137" s="58">
        <f t="shared" si="17"/>
        <v>0.88888888888888884</v>
      </c>
      <c r="P137">
        <v>0</v>
      </c>
      <c r="Q137" s="97">
        <v>2.6215157135286854E-2</v>
      </c>
      <c r="R137" s="97">
        <f t="shared" si="18"/>
        <v>1</v>
      </c>
      <c r="S137" s="58">
        <v>0</v>
      </c>
    </row>
    <row r="138" spans="1:19" ht="16.5" x14ac:dyDescent="0.3">
      <c r="A138" s="23" t="str">
        <f>+VLOOKUP(B138,'INDICADORES CAPTURA'!C:E,3,FALSE)</f>
        <v>MELISA MARTINEZ</v>
      </c>
      <c r="B138" s="24" t="s">
        <v>50</v>
      </c>
      <c r="C138" s="41">
        <f t="shared" si="14"/>
        <v>1</v>
      </c>
      <c r="D138" s="6">
        <v>6</v>
      </c>
      <c r="E138" s="6">
        <v>6</v>
      </c>
      <c r="F138" s="25">
        <f t="shared" si="15"/>
        <v>1</v>
      </c>
      <c r="G138" s="76">
        <v>1</v>
      </c>
      <c r="H138" s="76">
        <v>1</v>
      </c>
      <c r="I138" s="76">
        <v>1</v>
      </c>
      <c r="J138" s="59">
        <v>1</v>
      </c>
      <c r="K138" s="58">
        <v>1</v>
      </c>
      <c r="L138" s="76">
        <v>1</v>
      </c>
      <c r="M138" s="58">
        <f t="shared" si="16"/>
        <v>1</v>
      </c>
      <c r="N138" s="85">
        <v>1.0207812410080639</v>
      </c>
      <c r="O138" s="58">
        <f t="shared" si="17"/>
        <v>1</v>
      </c>
      <c r="P138">
        <v>0</v>
      </c>
      <c r="Q138" s="97">
        <v>1.399122830756493E-2</v>
      </c>
      <c r="R138" s="97">
        <f t="shared" si="18"/>
        <v>1</v>
      </c>
      <c r="S138" s="58">
        <f t="shared" si="19"/>
        <v>1</v>
      </c>
    </row>
    <row r="139" spans="1:19" ht="16.5" x14ac:dyDescent="0.3">
      <c r="A139" s="23" t="str">
        <f>+VLOOKUP(B139,'INDICADORES CAPTURA'!C:E,3,FALSE)</f>
        <v>BOLAÑOS QUEVEDO ALEXIS</v>
      </c>
      <c r="B139" s="24" t="s">
        <v>115</v>
      </c>
      <c r="C139" s="41">
        <f t="shared" si="14"/>
        <v>1</v>
      </c>
      <c r="D139" s="6">
        <v>10</v>
      </c>
      <c r="E139" s="6">
        <v>10</v>
      </c>
      <c r="F139" s="25">
        <f t="shared" si="15"/>
        <v>1</v>
      </c>
      <c r="G139" s="76">
        <v>1</v>
      </c>
      <c r="H139" s="76">
        <v>1</v>
      </c>
      <c r="I139" s="76">
        <v>0.8</v>
      </c>
      <c r="J139" s="59">
        <v>1</v>
      </c>
      <c r="K139" s="58">
        <v>0.58064516129032262</v>
      </c>
      <c r="L139" s="76">
        <v>1</v>
      </c>
      <c r="M139" s="58">
        <f t="shared" si="16"/>
        <v>0.79354838709677422</v>
      </c>
      <c r="N139" s="85">
        <v>0.79624000083991209</v>
      </c>
      <c r="O139" s="58">
        <f t="shared" si="17"/>
        <v>1</v>
      </c>
      <c r="P139">
        <v>0</v>
      </c>
      <c r="Q139" s="97">
        <v>5.1655010373400354E-2</v>
      </c>
      <c r="R139" s="97">
        <f t="shared" si="18"/>
        <v>0</v>
      </c>
      <c r="S139" s="58">
        <f t="shared" si="19"/>
        <v>0.5</v>
      </c>
    </row>
    <row r="140" spans="1:19" ht="16.5" x14ac:dyDescent="0.3">
      <c r="A140" s="23" t="str">
        <f>+VLOOKUP(B140,'INDICADORES CAPTURA'!C:E,3,FALSE)</f>
        <v>OSSA TABARES JAZMIN BERNARDA</v>
      </c>
      <c r="B140" s="24" t="s">
        <v>173</v>
      </c>
      <c r="C140" s="41">
        <f t="shared" si="14"/>
        <v>1</v>
      </c>
      <c r="D140" s="6">
        <v>15</v>
      </c>
      <c r="E140" s="6">
        <v>15</v>
      </c>
      <c r="F140" s="25">
        <f t="shared" si="15"/>
        <v>1</v>
      </c>
      <c r="G140" s="76">
        <v>1</v>
      </c>
      <c r="H140" s="76">
        <v>1</v>
      </c>
      <c r="I140" s="76">
        <v>1</v>
      </c>
      <c r="J140" s="59">
        <v>1</v>
      </c>
      <c r="K140" s="58">
        <v>1</v>
      </c>
      <c r="L140" s="76">
        <v>1</v>
      </c>
      <c r="M140" s="58">
        <f t="shared" si="16"/>
        <v>1</v>
      </c>
      <c r="N140" s="85">
        <v>0.92248946034194301</v>
      </c>
      <c r="O140" s="58">
        <f t="shared" si="17"/>
        <v>1</v>
      </c>
      <c r="P140">
        <v>0</v>
      </c>
      <c r="Q140" s="97">
        <v>1.4908367985377957E-2</v>
      </c>
      <c r="R140" s="97">
        <f t="shared" si="18"/>
        <v>1</v>
      </c>
      <c r="S140" s="58">
        <f t="shared" si="19"/>
        <v>1</v>
      </c>
    </row>
    <row r="141" spans="1:19" ht="16.5" x14ac:dyDescent="0.3">
      <c r="A141" s="23" t="str">
        <f>+VLOOKUP(B141,'INDICADORES CAPTURA'!C:E,3,FALSE)</f>
        <v>MELISA MARTINEZ</v>
      </c>
      <c r="B141" s="24" t="s">
        <v>43</v>
      </c>
      <c r="C141" s="41">
        <f t="shared" si="14"/>
        <v>1</v>
      </c>
      <c r="D141" s="6">
        <v>14</v>
      </c>
      <c r="E141" s="6">
        <v>14</v>
      </c>
      <c r="F141" s="25">
        <f t="shared" si="15"/>
        <v>1</v>
      </c>
      <c r="G141" s="76">
        <v>1</v>
      </c>
      <c r="H141" s="76">
        <v>1</v>
      </c>
      <c r="I141" s="76">
        <v>1</v>
      </c>
      <c r="J141" s="59">
        <v>1</v>
      </c>
      <c r="K141" s="58">
        <v>1</v>
      </c>
      <c r="L141" s="76">
        <v>1</v>
      </c>
      <c r="M141" s="58">
        <f t="shared" si="16"/>
        <v>1</v>
      </c>
      <c r="N141" s="85">
        <v>1.1859239879233825</v>
      </c>
      <c r="O141" s="58">
        <f t="shared" si="17"/>
        <v>1</v>
      </c>
      <c r="P141">
        <v>0</v>
      </c>
      <c r="Q141" s="97">
        <v>1.2410560277453539E-2</v>
      </c>
      <c r="R141" s="97">
        <f t="shared" si="18"/>
        <v>1</v>
      </c>
      <c r="S141" s="58">
        <f t="shared" si="19"/>
        <v>1</v>
      </c>
    </row>
    <row r="142" spans="1:19" ht="16.5" x14ac:dyDescent="0.3">
      <c r="A142" s="23" t="str">
        <f>+VLOOKUP(B142,'INDICADORES CAPTURA'!C:E,3,FALSE)</f>
        <v>CAMPUZANO IRLET ANDREA</v>
      </c>
      <c r="B142" s="24" t="s">
        <v>103</v>
      </c>
      <c r="C142" s="41">
        <f t="shared" si="14"/>
        <v>1</v>
      </c>
      <c r="D142" s="6">
        <v>1</v>
      </c>
      <c r="E142" s="6">
        <v>1</v>
      </c>
      <c r="F142" s="25">
        <f t="shared" si="15"/>
        <v>1</v>
      </c>
      <c r="G142" s="76">
        <v>1</v>
      </c>
      <c r="H142" s="76">
        <v>1</v>
      </c>
      <c r="I142" s="76">
        <v>1</v>
      </c>
      <c r="J142" s="59">
        <v>1</v>
      </c>
      <c r="K142" s="58">
        <v>1</v>
      </c>
      <c r="L142" s="76">
        <v>1</v>
      </c>
      <c r="M142" s="58">
        <f t="shared" si="16"/>
        <v>1</v>
      </c>
      <c r="N142" s="85">
        <v>1.1493266279893399</v>
      </c>
      <c r="O142" s="58">
        <f t="shared" si="17"/>
        <v>1</v>
      </c>
      <c r="P142">
        <v>0</v>
      </c>
      <c r="Q142" s="97">
        <v>1.7946206043347856E-2</v>
      </c>
      <c r="R142" s="97">
        <f t="shared" si="18"/>
        <v>1</v>
      </c>
      <c r="S142" s="58">
        <f>+O142</f>
        <v>1</v>
      </c>
    </row>
    <row r="143" spans="1:19" ht="16.5" x14ac:dyDescent="0.3">
      <c r="A143" s="23" t="str">
        <f>+VLOOKUP(B143,'INDICADORES CAPTURA'!C:E,3,FALSE)</f>
        <v>PEREZ ZAGARRA AUGUSTO EDUARDO</v>
      </c>
      <c r="B143" s="24" t="s">
        <v>82</v>
      </c>
      <c r="C143" s="41">
        <f t="shared" si="14"/>
        <v>1</v>
      </c>
      <c r="D143" s="6">
        <v>22</v>
      </c>
      <c r="E143" s="6">
        <v>22</v>
      </c>
      <c r="F143" s="25">
        <f t="shared" si="15"/>
        <v>1</v>
      </c>
      <c r="G143" s="76">
        <v>1</v>
      </c>
      <c r="H143" s="76">
        <v>1</v>
      </c>
      <c r="I143" s="76">
        <v>0.86363636363636365</v>
      </c>
      <c r="J143" s="59">
        <v>1</v>
      </c>
      <c r="K143" s="58">
        <v>8.771929824561403E-2</v>
      </c>
      <c r="L143" s="76">
        <v>1</v>
      </c>
      <c r="M143" s="58">
        <f t="shared" si="16"/>
        <v>0.65045188729399261</v>
      </c>
      <c r="N143" s="85">
        <v>1.23150399075202</v>
      </c>
      <c r="O143" s="58">
        <f t="shared" si="17"/>
        <v>1</v>
      </c>
      <c r="P143">
        <v>0</v>
      </c>
      <c r="Q143" s="97">
        <v>6.3257297154733952E-2</v>
      </c>
      <c r="R143" s="97">
        <f t="shared" si="18"/>
        <v>0</v>
      </c>
      <c r="S143" s="58">
        <f t="shared" si="19"/>
        <v>0.5</v>
      </c>
    </row>
    <row r="144" spans="1:19" ht="16.5" x14ac:dyDescent="0.3">
      <c r="A144" s="23" t="str">
        <f>+VLOOKUP(B144,'INDICADORES CAPTURA'!C:E,3,FALSE)</f>
        <v>CAMPUZANO IRLET ANDREA</v>
      </c>
      <c r="B144" s="24" t="s">
        <v>101</v>
      </c>
      <c r="C144" s="41">
        <f t="shared" si="14"/>
        <v>1</v>
      </c>
      <c r="D144" s="6">
        <v>19</v>
      </c>
      <c r="E144" s="6">
        <v>19</v>
      </c>
      <c r="F144" s="25">
        <f t="shared" si="15"/>
        <v>1</v>
      </c>
      <c r="G144" s="76">
        <v>1</v>
      </c>
      <c r="H144" s="76">
        <v>1</v>
      </c>
      <c r="I144" s="76">
        <v>0.89473684210526316</v>
      </c>
      <c r="J144" s="59">
        <v>1</v>
      </c>
      <c r="K144" s="58">
        <v>0.8666666666666667</v>
      </c>
      <c r="L144" s="76">
        <v>1</v>
      </c>
      <c r="M144" s="58">
        <f t="shared" si="16"/>
        <v>0.92046783625730999</v>
      </c>
      <c r="N144" s="85">
        <v>0.86136963141883727</v>
      </c>
      <c r="O144" s="58">
        <f t="shared" si="17"/>
        <v>1</v>
      </c>
      <c r="P144">
        <v>0</v>
      </c>
      <c r="Q144" s="97">
        <v>3.252765012419033E-2</v>
      </c>
      <c r="R144" s="97">
        <f t="shared" si="18"/>
        <v>0</v>
      </c>
      <c r="S144" s="58">
        <f t="shared" si="19"/>
        <v>0.5</v>
      </c>
    </row>
    <row r="145" spans="1:19" ht="16.5" x14ac:dyDescent="0.3">
      <c r="A145" s="23" t="str">
        <f>+VLOOKUP(B145,'INDICADORES CAPTURA'!C:E,3,FALSE)</f>
        <v>GONZALEZ BARRANTES EDWIN JESSID</v>
      </c>
      <c r="B145" s="24" t="s">
        <v>87</v>
      </c>
      <c r="C145" s="41">
        <f t="shared" si="14"/>
        <v>1</v>
      </c>
      <c r="D145" s="6">
        <v>8</v>
      </c>
      <c r="E145" s="6">
        <v>8</v>
      </c>
      <c r="F145" s="25">
        <f t="shared" si="15"/>
        <v>1</v>
      </c>
      <c r="G145" s="76">
        <v>1</v>
      </c>
      <c r="H145" s="76">
        <v>1</v>
      </c>
      <c r="I145" s="76">
        <v>1</v>
      </c>
      <c r="J145" s="59">
        <v>1</v>
      </c>
      <c r="K145" s="58">
        <v>1</v>
      </c>
      <c r="L145" s="76">
        <v>1</v>
      </c>
      <c r="M145" s="58">
        <f t="shared" si="16"/>
        <v>1</v>
      </c>
      <c r="N145" s="85">
        <v>1.0009205897014157</v>
      </c>
      <c r="O145" s="58">
        <f t="shared" si="17"/>
        <v>1</v>
      </c>
      <c r="P145">
        <v>0</v>
      </c>
      <c r="Q145" s="97">
        <v>2.3491886285020712E-2</v>
      </c>
      <c r="R145" s="97">
        <f t="shared" si="18"/>
        <v>1</v>
      </c>
      <c r="S145" s="58">
        <f t="shared" si="19"/>
        <v>1</v>
      </c>
    </row>
    <row r="146" spans="1:19" ht="16.5" x14ac:dyDescent="0.3">
      <c r="A146" s="23" t="str">
        <f>+VLOOKUP(B146,'INDICADORES CAPTURA'!C:E,3,FALSE)</f>
        <v xml:space="preserve">SUSANA SILVA MENDOZA      </v>
      </c>
      <c r="B146" s="24" t="s">
        <v>15</v>
      </c>
      <c r="C146" s="41">
        <f t="shared" si="14"/>
        <v>1</v>
      </c>
      <c r="D146" s="6">
        <v>3</v>
      </c>
      <c r="E146" s="6">
        <v>3</v>
      </c>
      <c r="F146" s="25">
        <f t="shared" si="15"/>
        <v>1</v>
      </c>
      <c r="G146" s="76">
        <v>1</v>
      </c>
      <c r="H146" s="76">
        <v>1</v>
      </c>
      <c r="I146" s="76">
        <v>0.66666666666666663</v>
      </c>
      <c r="J146" s="59">
        <v>1</v>
      </c>
      <c r="K146" s="58">
        <v>1</v>
      </c>
      <c r="L146" s="76">
        <v>1</v>
      </c>
      <c r="M146" s="58">
        <f t="shared" si="16"/>
        <v>0.88888888888888884</v>
      </c>
      <c r="N146" s="85">
        <v>1.1051650648477578</v>
      </c>
      <c r="O146" s="58">
        <f t="shared" si="17"/>
        <v>1</v>
      </c>
      <c r="P146">
        <v>0</v>
      </c>
      <c r="Q146" s="97">
        <v>3.8544675727764488E-2</v>
      </c>
      <c r="R146" s="97">
        <f t="shared" si="18"/>
        <v>0</v>
      </c>
      <c r="S146" s="58">
        <f t="shared" si="19"/>
        <v>0.5</v>
      </c>
    </row>
    <row r="147" spans="1:19" ht="16.5" x14ac:dyDescent="0.3">
      <c r="A147" s="23" t="str">
        <f>+VLOOKUP(B147,'INDICADORES CAPTURA'!C:E,3,FALSE)</f>
        <v>BOLAÑOS QUEVEDO ALEXIS</v>
      </c>
      <c r="B147" s="24" t="s">
        <v>113</v>
      </c>
      <c r="C147" s="41">
        <f t="shared" si="14"/>
        <v>0.83333333333333337</v>
      </c>
      <c r="D147" s="6">
        <v>6</v>
      </c>
      <c r="E147" s="6">
        <v>5</v>
      </c>
      <c r="F147" s="25">
        <f t="shared" si="15"/>
        <v>0.83333333333333337</v>
      </c>
      <c r="G147" s="76">
        <v>0.83333333333333337</v>
      </c>
      <c r="H147" s="76">
        <v>0.83333333333333337</v>
      </c>
      <c r="I147" s="76">
        <v>0.33333333333333331</v>
      </c>
      <c r="J147" s="59">
        <v>0.83333333333333337</v>
      </c>
      <c r="K147" s="58">
        <v>0.63157894736842102</v>
      </c>
      <c r="L147" s="76">
        <v>0.83333333333333337</v>
      </c>
      <c r="M147" s="58">
        <f t="shared" si="16"/>
        <v>0.59941520467836262</v>
      </c>
      <c r="N147" s="85">
        <v>0.87401666017216106</v>
      </c>
      <c r="O147" s="58">
        <f t="shared" si="17"/>
        <v>0.83333333333333337</v>
      </c>
      <c r="P147">
        <v>0</v>
      </c>
      <c r="Q147" s="97">
        <v>2.0158398746034104E-2</v>
      </c>
      <c r="R147" s="97">
        <f t="shared" si="18"/>
        <v>1</v>
      </c>
      <c r="S147" s="58">
        <f t="shared" ref="S147:S150" si="21">+O147</f>
        <v>0.83333333333333337</v>
      </c>
    </row>
    <row r="148" spans="1:19" ht="16.5" x14ac:dyDescent="0.3">
      <c r="A148" s="23" t="str">
        <f>+VLOOKUP(B148,'INDICADORES CAPTURA'!C:E,3,FALSE)</f>
        <v>MELISA MARTINEZ</v>
      </c>
      <c r="B148" s="24" t="s">
        <v>51</v>
      </c>
      <c r="C148" s="41">
        <f t="shared" si="14"/>
        <v>0.79999999999999993</v>
      </c>
      <c r="D148" s="6">
        <v>5</v>
      </c>
      <c r="E148" s="6">
        <v>5</v>
      </c>
      <c r="F148" s="25">
        <f t="shared" si="15"/>
        <v>1</v>
      </c>
      <c r="G148" s="76">
        <v>1</v>
      </c>
      <c r="H148" s="76">
        <v>1</v>
      </c>
      <c r="I148" s="76">
        <v>1</v>
      </c>
      <c r="J148" s="59">
        <v>0.4</v>
      </c>
      <c r="K148" s="58">
        <v>1</v>
      </c>
      <c r="L148" s="76">
        <v>0.4</v>
      </c>
      <c r="M148" s="58">
        <f t="shared" si="16"/>
        <v>0.79999999999999993</v>
      </c>
      <c r="N148" s="85">
        <v>0.98595944459669216</v>
      </c>
      <c r="O148" s="58">
        <f t="shared" si="17"/>
        <v>1</v>
      </c>
      <c r="P148">
        <v>0</v>
      </c>
      <c r="Q148" s="97">
        <v>1.5248279678115146E-2</v>
      </c>
      <c r="R148" s="97">
        <f t="shared" si="18"/>
        <v>1</v>
      </c>
      <c r="S148" s="58">
        <f t="shared" si="21"/>
        <v>1</v>
      </c>
    </row>
    <row r="149" spans="1:19" ht="16.5" x14ac:dyDescent="0.3">
      <c r="A149" s="23" t="str">
        <f>+VLOOKUP(B149,'INDICADORES CAPTURA'!C:E,3,FALSE)</f>
        <v>GIL MARTINEZ JENNIFER STEFANNIE</v>
      </c>
      <c r="B149" s="24" t="s">
        <v>188</v>
      </c>
      <c r="C149" s="41">
        <f t="shared" si="14"/>
        <v>1</v>
      </c>
      <c r="D149" s="6">
        <v>4</v>
      </c>
      <c r="E149" s="6">
        <v>4</v>
      </c>
      <c r="F149" s="25">
        <f t="shared" si="15"/>
        <v>1</v>
      </c>
      <c r="G149" s="76">
        <v>1</v>
      </c>
      <c r="H149" s="76">
        <v>1</v>
      </c>
      <c r="I149" s="76">
        <v>1</v>
      </c>
      <c r="J149" s="59">
        <v>1</v>
      </c>
      <c r="K149" s="58">
        <v>0.91666666666666663</v>
      </c>
      <c r="L149" s="76">
        <v>1</v>
      </c>
      <c r="M149" s="58">
        <f t="shared" si="16"/>
        <v>0.97222222222222221</v>
      </c>
      <c r="N149" s="85">
        <v>1.2025124086276995</v>
      </c>
      <c r="O149" s="58">
        <f t="shared" si="17"/>
        <v>1</v>
      </c>
      <c r="P149">
        <v>0</v>
      </c>
      <c r="Q149" s="97">
        <v>1.6818271550727858E-2</v>
      </c>
      <c r="R149" s="97">
        <f t="shared" si="18"/>
        <v>1</v>
      </c>
      <c r="S149" s="58">
        <f t="shared" si="21"/>
        <v>1</v>
      </c>
    </row>
    <row r="150" spans="1:19" ht="16.5" x14ac:dyDescent="0.3">
      <c r="A150" s="23" t="str">
        <f>+VLOOKUP(B150,'INDICADORES CAPTURA'!C:E,3,FALSE)</f>
        <v>BOLAÑOS QUEVEDO ALEXIS</v>
      </c>
      <c r="B150" s="24" t="s">
        <v>119</v>
      </c>
      <c r="C150" s="41">
        <f t="shared" si="14"/>
        <v>1</v>
      </c>
      <c r="D150" s="6">
        <v>7</v>
      </c>
      <c r="E150" s="6">
        <v>7</v>
      </c>
      <c r="F150" s="25">
        <f t="shared" si="15"/>
        <v>1</v>
      </c>
      <c r="G150" s="76">
        <v>1</v>
      </c>
      <c r="H150" s="76">
        <v>1</v>
      </c>
      <c r="I150" s="76">
        <v>1</v>
      </c>
      <c r="J150" s="59">
        <v>1</v>
      </c>
      <c r="K150" s="58">
        <v>0.41935483870967744</v>
      </c>
      <c r="L150" s="76">
        <v>1</v>
      </c>
      <c r="M150" s="58">
        <f t="shared" si="16"/>
        <v>0.80645161290322587</v>
      </c>
      <c r="N150" s="85">
        <v>1.0510409952502668</v>
      </c>
      <c r="O150" s="58">
        <f t="shared" si="17"/>
        <v>1</v>
      </c>
      <c r="P150">
        <v>0</v>
      </c>
      <c r="Q150" s="97">
        <v>3.9171555093455872E-2</v>
      </c>
      <c r="R150" s="97">
        <f t="shared" si="18"/>
        <v>0</v>
      </c>
      <c r="S150" s="58">
        <f t="shared" si="21"/>
        <v>1</v>
      </c>
    </row>
    <row r="151" spans="1:19" ht="16.5" x14ac:dyDescent="0.3">
      <c r="A151" s="23" t="str">
        <f>+VLOOKUP(B151,'INDICADORES CAPTURA'!C:E,3,FALSE)</f>
        <v>MELISA MARTINEZ</v>
      </c>
      <c r="B151" s="24" t="s">
        <v>44</v>
      </c>
      <c r="C151" s="41">
        <f t="shared" si="14"/>
        <v>1</v>
      </c>
      <c r="D151" s="6">
        <v>14</v>
      </c>
      <c r="E151" s="6">
        <v>14</v>
      </c>
      <c r="F151" s="25">
        <f t="shared" si="15"/>
        <v>1</v>
      </c>
      <c r="G151" s="76">
        <v>1</v>
      </c>
      <c r="H151" s="76">
        <v>1</v>
      </c>
      <c r="I151" s="76">
        <v>0.9285714285714286</v>
      </c>
      <c r="J151" s="59">
        <v>1</v>
      </c>
      <c r="K151" s="58">
        <v>1</v>
      </c>
      <c r="L151" s="76">
        <v>1</v>
      </c>
      <c r="M151" s="58">
        <f t="shared" si="16"/>
        <v>0.97619047619047628</v>
      </c>
      <c r="N151" s="85">
        <v>1.0106447267902268</v>
      </c>
      <c r="O151" s="58">
        <f t="shared" si="17"/>
        <v>1</v>
      </c>
      <c r="P151">
        <v>0</v>
      </c>
      <c r="Q151" s="97">
        <v>2.2557999572409209E-2</v>
      </c>
      <c r="R151" s="97">
        <f t="shared" si="18"/>
        <v>1</v>
      </c>
      <c r="S151" s="58">
        <f t="shared" si="19"/>
        <v>1</v>
      </c>
    </row>
    <row r="152" spans="1:19" ht="16.5" x14ac:dyDescent="0.3">
      <c r="A152" s="23" t="str">
        <f>+VLOOKUP(B152,'INDICADORES CAPTURA'!C:E,3,FALSE)</f>
        <v>SÁNCHEZ ZAMBRANO LEIDY NICOLE VANESSA</v>
      </c>
      <c r="B152" s="24" t="s">
        <v>153</v>
      </c>
      <c r="C152" s="41">
        <f t="shared" si="14"/>
        <v>1</v>
      </c>
      <c r="D152" s="6">
        <v>12</v>
      </c>
      <c r="E152" s="6">
        <v>12</v>
      </c>
      <c r="F152" s="25">
        <f t="shared" si="15"/>
        <v>1</v>
      </c>
      <c r="G152" s="76">
        <v>1</v>
      </c>
      <c r="H152" s="76">
        <v>1</v>
      </c>
      <c r="I152" s="76">
        <v>1</v>
      </c>
      <c r="J152" s="59">
        <v>1</v>
      </c>
      <c r="K152" s="58">
        <v>1</v>
      </c>
      <c r="L152" s="76">
        <v>1</v>
      </c>
      <c r="M152" s="58">
        <f t="shared" si="16"/>
        <v>1</v>
      </c>
      <c r="N152" s="85">
        <v>0</v>
      </c>
      <c r="O152" s="58">
        <f t="shared" si="17"/>
        <v>1</v>
      </c>
      <c r="P152">
        <v>0</v>
      </c>
      <c r="Q152" s="97">
        <v>2.5399999999999999E-2</v>
      </c>
      <c r="R152" s="97">
        <f t="shared" si="18"/>
        <v>1</v>
      </c>
      <c r="S152" s="58">
        <f t="shared" si="19"/>
        <v>1</v>
      </c>
    </row>
    <row r="153" spans="1:19" ht="16.5" x14ac:dyDescent="0.3">
      <c r="A153" s="23" t="str">
        <f>+VLOOKUP(B153,'INDICADORES CAPTURA'!C:E,3,FALSE)</f>
        <v>OSSA TABARES JAZMIN BERNARDA</v>
      </c>
      <c r="B153" s="24" t="s">
        <v>181</v>
      </c>
      <c r="C153" s="41">
        <f t="shared" si="14"/>
        <v>0.94117647058823517</v>
      </c>
      <c r="D153" s="6">
        <v>17</v>
      </c>
      <c r="E153" s="6">
        <v>16</v>
      </c>
      <c r="F153" s="25">
        <f t="shared" si="15"/>
        <v>0.94117647058823528</v>
      </c>
      <c r="G153" s="76">
        <v>0.94117647058823528</v>
      </c>
      <c r="H153" s="76">
        <v>0.94117647058823528</v>
      </c>
      <c r="I153" s="76">
        <v>0.94117647058823528</v>
      </c>
      <c r="J153" s="59">
        <v>0.94117647058823528</v>
      </c>
      <c r="K153" s="58">
        <v>1</v>
      </c>
      <c r="L153" s="76">
        <v>0.94117647058823528</v>
      </c>
      <c r="M153" s="58">
        <f t="shared" si="16"/>
        <v>0.96078431372549022</v>
      </c>
      <c r="N153" s="85">
        <v>0.87842172738269109</v>
      </c>
      <c r="O153" s="58">
        <f t="shared" si="17"/>
        <v>0.94117647058823528</v>
      </c>
      <c r="P153">
        <v>0</v>
      </c>
      <c r="Q153" s="97">
        <v>1.9982794492950092E-2</v>
      </c>
      <c r="R153" s="97">
        <f t="shared" si="18"/>
        <v>1</v>
      </c>
      <c r="S153" s="58">
        <f t="shared" si="19"/>
        <v>0.97058823529411764</v>
      </c>
    </row>
    <row r="154" spans="1:19" ht="16.5" x14ac:dyDescent="0.3">
      <c r="A154" s="23" t="str">
        <f>+VLOOKUP(B154,'INDICADORES CAPTURA'!C:E,3,FALSE)</f>
        <v>CAMPUZANO IRLET ANDREA</v>
      </c>
      <c r="B154" s="24" t="s">
        <v>104</v>
      </c>
      <c r="C154" s="41">
        <f t="shared" si="14"/>
        <v>0.85416666666666663</v>
      </c>
      <c r="D154" s="6">
        <v>16</v>
      </c>
      <c r="E154" s="6">
        <v>14</v>
      </c>
      <c r="F154" s="25">
        <f t="shared" si="15"/>
        <v>0.875</v>
      </c>
      <c r="G154" s="76">
        <v>0.875</v>
      </c>
      <c r="H154" s="76">
        <v>0.8125</v>
      </c>
      <c r="I154" s="76">
        <v>0.4375</v>
      </c>
      <c r="J154" s="59">
        <v>0.875</v>
      </c>
      <c r="K154" s="58">
        <v>0.65217391304347827</v>
      </c>
      <c r="L154" s="76">
        <v>0.875</v>
      </c>
      <c r="M154" s="58">
        <f t="shared" si="16"/>
        <v>0.65489130434782605</v>
      </c>
      <c r="N154" s="85">
        <v>1.3067737668463437</v>
      </c>
      <c r="O154" s="58">
        <f t="shared" si="17"/>
        <v>0.875</v>
      </c>
      <c r="P154">
        <v>0</v>
      </c>
      <c r="Q154" s="97">
        <v>4.9915468803769722E-2</v>
      </c>
      <c r="R154" s="97">
        <f t="shared" si="18"/>
        <v>0</v>
      </c>
      <c r="S154" s="58">
        <f t="shared" si="19"/>
        <v>0.4375</v>
      </c>
    </row>
    <row r="155" spans="1:19" ht="16.5" x14ac:dyDescent="0.3">
      <c r="A155" s="23" t="str">
        <f>+VLOOKUP(B155,'INDICADORES CAPTURA'!C:E,3,FALSE)</f>
        <v>GIL MARTINEZ JENNIFER STEFANNIE</v>
      </c>
      <c r="B155" s="24" t="s">
        <v>19</v>
      </c>
      <c r="C155" s="41">
        <f t="shared" si="14"/>
        <v>0.33333333333333331</v>
      </c>
      <c r="D155" s="6">
        <v>1</v>
      </c>
      <c r="E155" s="6">
        <v>1</v>
      </c>
      <c r="F155" s="25">
        <f t="shared" si="15"/>
        <v>1</v>
      </c>
      <c r="G155" s="76">
        <v>1</v>
      </c>
      <c r="H155" s="76">
        <v>0</v>
      </c>
      <c r="I155" s="76">
        <v>0</v>
      </c>
      <c r="J155" s="59">
        <v>1</v>
      </c>
      <c r="K155" s="58">
        <v>1</v>
      </c>
      <c r="L155" s="76">
        <v>0</v>
      </c>
      <c r="M155" s="58">
        <f t="shared" si="16"/>
        <v>0.66666666666666663</v>
      </c>
      <c r="N155" s="85">
        <v>0</v>
      </c>
      <c r="O155" s="58">
        <f t="shared" si="17"/>
        <v>1</v>
      </c>
      <c r="P155">
        <v>0</v>
      </c>
      <c r="Q155" s="97">
        <v>0</v>
      </c>
      <c r="R155" s="97">
        <f t="shared" si="18"/>
        <v>1</v>
      </c>
      <c r="S155" s="58">
        <f>+O155</f>
        <v>1</v>
      </c>
    </row>
    <row r="156" spans="1:19" ht="16.5" x14ac:dyDescent="0.3">
      <c r="A156" s="23" t="str">
        <f>+VLOOKUP(B156,'INDICADORES CAPTURA'!C:E,3,FALSE)</f>
        <v>GIL MARTINEZ JENNIFER STEFANNIE</v>
      </c>
      <c r="B156" s="24" t="s">
        <v>189</v>
      </c>
      <c r="C156" s="41">
        <f t="shared" si="14"/>
        <v>1</v>
      </c>
      <c r="D156" s="6">
        <v>12</v>
      </c>
      <c r="E156" s="6">
        <v>12</v>
      </c>
      <c r="F156" s="25">
        <f t="shared" si="15"/>
        <v>1</v>
      </c>
      <c r="G156" s="76">
        <v>1</v>
      </c>
      <c r="H156" s="76">
        <v>1</v>
      </c>
      <c r="I156" s="76">
        <v>1</v>
      </c>
      <c r="J156" s="59">
        <v>1</v>
      </c>
      <c r="K156" s="58">
        <v>1</v>
      </c>
      <c r="L156" s="76">
        <v>1</v>
      </c>
      <c r="M156" s="58">
        <f t="shared" si="16"/>
        <v>1</v>
      </c>
      <c r="N156" s="85">
        <v>0.99588100500698618</v>
      </c>
      <c r="O156" s="58">
        <f t="shared" si="17"/>
        <v>1</v>
      </c>
      <c r="P156">
        <v>0</v>
      </c>
      <c r="Q156" s="97">
        <v>2.6841791552631923E-2</v>
      </c>
      <c r="R156" s="97">
        <f t="shared" si="18"/>
        <v>1</v>
      </c>
      <c r="S156" s="58">
        <f t="shared" si="19"/>
        <v>1</v>
      </c>
    </row>
    <row r="157" spans="1:19" ht="16.5" x14ac:dyDescent="0.3">
      <c r="A157" s="23" t="str">
        <f>+VLOOKUP(B157,'INDICADORES CAPTURA'!C:E,3,FALSE)</f>
        <v>SÁNCHEZ ZAMBRANO LEIDY NICOLE VANESSA</v>
      </c>
      <c r="B157" s="24" t="s">
        <v>145</v>
      </c>
      <c r="C157" s="41">
        <f t="shared" si="14"/>
        <v>1</v>
      </c>
      <c r="D157" s="6">
        <v>10</v>
      </c>
      <c r="E157" s="6">
        <v>10</v>
      </c>
      <c r="F157" s="25">
        <f t="shared" si="15"/>
        <v>1</v>
      </c>
      <c r="G157" s="76">
        <v>1</v>
      </c>
      <c r="H157" s="76">
        <v>1</v>
      </c>
      <c r="I157" s="76">
        <v>1</v>
      </c>
      <c r="J157" s="59">
        <v>1</v>
      </c>
      <c r="K157" s="58">
        <v>1</v>
      </c>
      <c r="L157" s="76">
        <v>1</v>
      </c>
      <c r="M157" s="58">
        <f t="shared" si="16"/>
        <v>1</v>
      </c>
      <c r="N157" s="85">
        <v>0</v>
      </c>
      <c r="O157" s="58">
        <f t="shared" si="17"/>
        <v>1</v>
      </c>
      <c r="P157">
        <v>0</v>
      </c>
      <c r="Q157" s="97">
        <v>2.5399999999999999E-2</v>
      </c>
      <c r="R157" s="97">
        <f t="shared" si="18"/>
        <v>1</v>
      </c>
      <c r="S157" s="58">
        <f>+O157</f>
        <v>1</v>
      </c>
    </row>
    <row r="158" spans="1:19" ht="16.5" x14ac:dyDescent="0.3">
      <c r="A158" s="23" t="str">
        <f>+VLOOKUP(B158,'INDICADORES CAPTURA'!C:E,3,FALSE)</f>
        <v>OSSA TABARES JAZMIN BERNARDA</v>
      </c>
      <c r="B158" s="24" t="s">
        <v>178</v>
      </c>
      <c r="C158" s="41">
        <f t="shared" si="14"/>
        <v>1</v>
      </c>
      <c r="D158" s="6">
        <v>7</v>
      </c>
      <c r="E158" s="6">
        <v>7</v>
      </c>
      <c r="F158" s="25">
        <f t="shared" si="15"/>
        <v>1</v>
      </c>
      <c r="G158" s="76">
        <v>1</v>
      </c>
      <c r="H158" s="76">
        <v>1</v>
      </c>
      <c r="I158" s="76">
        <v>0.8571428571428571</v>
      </c>
      <c r="J158" s="59">
        <v>1</v>
      </c>
      <c r="K158" s="58">
        <v>1</v>
      </c>
      <c r="L158" s="76">
        <v>1</v>
      </c>
      <c r="M158" s="58">
        <f t="shared" si="16"/>
        <v>0.95238095238095244</v>
      </c>
      <c r="N158" s="85">
        <v>1.0556348489095022</v>
      </c>
      <c r="O158" s="58">
        <f t="shared" si="17"/>
        <v>1</v>
      </c>
      <c r="P158">
        <v>0</v>
      </c>
      <c r="Q158" s="97">
        <v>1.1305330004009059E-2</v>
      </c>
      <c r="R158" s="97">
        <f t="shared" si="18"/>
        <v>1</v>
      </c>
      <c r="S158" s="58">
        <f t="shared" si="19"/>
        <v>1</v>
      </c>
    </row>
    <row r="159" spans="1:19" ht="16.5" x14ac:dyDescent="0.3">
      <c r="A159" s="23" t="str">
        <f>+VLOOKUP(B159,'INDICADORES CAPTURA'!C:E,3,FALSE)</f>
        <v>GONZALEZ BARRANTES EDWIN JESSID</v>
      </c>
      <c r="B159" s="24" t="s">
        <v>89</v>
      </c>
      <c r="C159" s="41">
        <f t="shared" si="14"/>
        <v>1</v>
      </c>
      <c r="D159" s="6">
        <v>15</v>
      </c>
      <c r="E159" s="6">
        <v>15</v>
      </c>
      <c r="F159" s="25">
        <f t="shared" si="15"/>
        <v>1</v>
      </c>
      <c r="G159" s="76">
        <v>1</v>
      </c>
      <c r="H159" s="76">
        <v>1</v>
      </c>
      <c r="I159" s="76">
        <v>1</v>
      </c>
      <c r="J159" s="59">
        <v>1</v>
      </c>
      <c r="K159" s="58">
        <v>1</v>
      </c>
      <c r="L159" s="76">
        <v>1</v>
      </c>
      <c r="M159" s="58">
        <f t="shared" si="16"/>
        <v>1</v>
      </c>
      <c r="N159" s="85">
        <v>1.1743987221934002</v>
      </c>
      <c r="O159" s="58">
        <f t="shared" si="17"/>
        <v>1</v>
      </c>
      <c r="P159">
        <v>0</v>
      </c>
      <c r="Q159" s="97">
        <v>5.7175695638287623E-2</v>
      </c>
      <c r="R159" s="97">
        <f t="shared" si="18"/>
        <v>0</v>
      </c>
      <c r="S159" s="58">
        <f>+O159</f>
        <v>1</v>
      </c>
    </row>
    <row r="160" spans="1:19" ht="16.5" x14ac:dyDescent="0.3">
      <c r="A160" s="23" t="str">
        <f>+VLOOKUP(B160,'INDICADORES CAPTURA'!C:E,3,FALSE)</f>
        <v>GIL MARTINEZ JENNIFER STEFANNIE</v>
      </c>
      <c r="B160" s="24" t="s">
        <v>197</v>
      </c>
      <c r="C160" s="41">
        <f t="shared" si="14"/>
        <v>1</v>
      </c>
      <c r="D160" s="6">
        <v>9</v>
      </c>
      <c r="E160" s="6">
        <v>9</v>
      </c>
      <c r="F160" s="25">
        <f t="shared" si="15"/>
        <v>1</v>
      </c>
      <c r="G160" s="76">
        <v>1</v>
      </c>
      <c r="H160" s="76">
        <v>1</v>
      </c>
      <c r="I160" s="76">
        <v>1</v>
      </c>
      <c r="J160" s="59">
        <v>1</v>
      </c>
      <c r="K160" s="58">
        <v>1</v>
      </c>
      <c r="L160" s="76">
        <v>1</v>
      </c>
      <c r="M160" s="58">
        <f t="shared" si="16"/>
        <v>1</v>
      </c>
      <c r="N160" s="85">
        <v>1.026918827529038</v>
      </c>
      <c r="O160" s="58">
        <f t="shared" si="17"/>
        <v>1</v>
      </c>
      <c r="P160">
        <v>0</v>
      </c>
      <c r="Q160" s="97">
        <v>1.3761177308069292E-2</v>
      </c>
      <c r="R160" s="97">
        <f t="shared" si="18"/>
        <v>1</v>
      </c>
      <c r="S160" s="58">
        <f t="shared" si="19"/>
        <v>1</v>
      </c>
    </row>
    <row r="161" spans="1:19" ht="16.5" x14ac:dyDescent="0.3">
      <c r="A161" s="23" t="str">
        <f>+VLOOKUP(B161,'INDICADORES CAPTURA'!C:E,3,FALSE)</f>
        <v>MARTINEZ VARGAS CHRISTAN RICARDO</v>
      </c>
      <c r="B161" s="24" t="s">
        <v>165</v>
      </c>
      <c r="C161" s="41">
        <f t="shared" si="14"/>
        <v>1</v>
      </c>
      <c r="D161" s="6">
        <v>12</v>
      </c>
      <c r="E161" s="6">
        <v>12</v>
      </c>
      <c r="F161" s="25">
        <f t="shared" si="15"/>
        <v>1</v>
      </c>
      <c r="G161" s="76">
        <v>1</v>
      </c>
      <c r="H161" s="76">
        <v>1</v>
      </c>
      <c r="I161" s="76">
        <v>8.3333333333333329E-2</v>
      </c>
      <c r="J161" s="59">
        <v>1</v>
      </c>
      <c r="K161" s="58">
        <v>9.375E-2</v>
      </c>
      <c r="L161" s="76">
        <v>1</v>
      </c>
      <c r="M161" s="58">
        <f t="shared" si="16"/>
        <v>0.3923611111111111</v>
      </c>
      <c r="N161" s="85">
        <v>2.0070681264414856</v>
      </c>
      <c r="O161" s="58">
        <f t="shared" si="17"/>
        <v>1</v>
      </c>
      <c r="P161">
        <v>0</v>
      </c>
      <c r="Q161" s="97">
        <v>5.8555367803400114E-2</v>
      </c>
      <c r="R161" s="97">
        <f t="shared" si="18"/>
        <v>0</v>
      </c>
      <c r="S161" s="58">
        <f t="shared" ref="S161:S162" si="22">+O161</f>
        <v>1</v>
      </c>
    </row>
    <row r="162" spans="1:19" ht="16.5" x14ac:dyDescent="0.3">
      <c r="A162" s="23" t="str">
        <f>+VLOOKUP(B162,'INDICADORES CAPTURA'!C:E,3,FALSE)</f>
        <v>BOLAÑOS QUEVEDO ALEXIS</v>
      </c>
      <c r="B162" s="24" t="s">
        <v>116</v>
      </c>
      <c r="C162" s="41">
        <f t="shared" si="14"/>
        <v>1</v>
      </c>
      <c r="D162" s="6">
        <v>12</v>
      </c>
      <c r="E162" s="6">
        <v>12</v>
      </c>
      <c r="F162" s="25">
        <f t="shared" si="15"/>
        <v>1</v>
      </c>
      <c r="G162" s="76">
        <v>1</v>
      </c>
      <c r="H162" s="76">
        <v>1</v>
      </c>
      <c r="I162" s="76">
        <v>0.83333333333333337</v>
      </c>
      <c r="J162" s="59">
        <v>1</v>
      </c>
      <c r="K162" s="58">
        <v>0.5161290322580645</v>
      </c>
      <c r="L162" s="76">
        <v>1</v>
      </c>
      <c r="M162" s="58">
        <f t="shared" si="16"/>
        <v>0.78315412186379929</v>
      </c>
      <c r="N162" s="85">
        <v>1.3897614823678393</v>
      </c>
      <c r="O162" s="58">
        <f t="shared" si="17"/>
        <v>1</v>
      </c>
      <c r="P162">
        <v>0</v>
      </c>
      <c r="Q162" s="97">
        <v>3.5993424260345942E-2</v>
      </c>
      <c r="R162" s="97">
        <f t="shared" si="18"/>
        <v>0</v>
      </c>
      <c r="S162" s="58">
        <f t="shared" si="22"/>
        <v>1</v>
      </c>
    </row>
    <row r="163" spans="1:19" ht="16.5" x14ac:dyDescent="0.3">
      <c r="A163" s="23" t="str">
        <f>+VLOOKUP(B163,'INDICADORES CAPTURA'!C:E,3,FALSE)</f>
        <v>SÁNCHEZ ZAMBRANO LEIDY NICOLE VANESSA</v>
      </c>
      <c r="B163" s="24" t="s">
        <v>152</v>
      </c>
      <c r="C163" s="41">
        <f t="shared" si="14"/>
        <v>1</v>
      </c>
      <c r="D163" s="6">
        <v>14</v>
      </c>
      <c r="E163" s="6">
        <v>14</v>
      </c>
      <c r="F163" s="25">
        <f t="shared" si="15"/>
        <v>1</v>
      </c>
      <c r="G163" s="76">
        <v>1</v>
      </c>
      <c r="H163" s="76">
        <v>1</v>
      </c>
      <c r="I163" s="76">
        <v>1</v>
      </c>
      <c r="J163" s="59">
        <v>1</v>
      </c>
      <c r="K163" s="58">
        <v>1</v>
      </c>
      <c r="L163" s="76">
        <v>1</v>
      </c>
      <c r="M163" s="58">
        <f t="shared" si="16"/>
        <v>1</v>
      </c>
      <c r="N163" s="85">
        <v>1.0409142540651517</v>
      </c>
      <c r="O163" s="58">
        <f t="shared" si="17"/>
        <v>1</v>
      </c>
      <c r="P163">
        <v>0</v>
      </c>
      <c r="Q163" s="97">
        <v>2.6116449450980697E-2</v>
      </c>
      <c r="R163" s="97">
        <f t="shared" si="18"/>
        <v>1</v>
      </c>
      <c r="S163" s="58">
        <f t="shared" si="19"/>
        <v>1</v>
      </c>
    </row>
    <row r="164" spans="1:19" ht="16.5" x14ac:dyDescent="0.3">
      <c r="A164" s="23" t="str">
        <f>+VLOOKUP(B164,'INDICADORES CAPTURA'!C:E,3,FALSE)</f>
        <v>GONZALEZ BARRANTES EDWIN JESSID</v>
      </c>
      <c r="B164" s="24" t="s">
        <v>98</v>
      </c>
      <c r="C164" s="41">
        <f t="shared" si="14"/>
        <v>1</v>
      </c>
      <c r="D164" s="6">
        <v>10</v>
      </c>
      <c r="E164" s="6">
        <v>10</v>
      </c>
      <c r="F164" s="25">
        <f t="shared" si="15"/>
        <v>1</v>
      </c>
      <c r="G164" s="76">
        <v>1</v>
      </c>
      <c r="H164" s="76">
        <v>1</v>
      </c>
      <c r="I164" s="76">
        <v>0.3</v>
      </c>
      <c r="J164" s="59">
        <v>1</v>
      </c>
      <c r="K164" s="58">
        <v>0.83333333333333337</v>
      </c>
      <c r="L164" s="76">
        <v>1</v>
      </c>
      <c r="M164" s="58">
        <f t="shared" si="16"/>
        <v>0.71111111111111114</v>
      </c>
      <c r="N164" s="85">
        <v>0.96749337831071536</v>
      </c>
      <c r="O164" s="58">
        <f t="shared" si="17"/>
        <v>1</v>
      </c>
      <c r="P164">
        <v>0</v>
      </c>
      <c r="Q164" s="97">
        <v>3.8105960395320465E-2</v>
      </c>
      <c r="R164" s="97">
        <f t="shared" si="18"/>
        <v>0</v>
      </c>
      <c r="S164" s="58">
        <f>+O164</f>
        <v>1</v>
      </c>
    </row>
    <row r="165" spans="1:19" ht="16.5" x14ac:dyDescent="0.3">
      <c r="A165" s="23" t="str">
        <f>+VLOOKUP(B165,'INDICADORES CAPTURA'!C:E,3,FALSE)</f>
        <v xml:space="preserve">SUSANA SILVA MENDOZA      </v>
      </c>
      <c r="B165" s="24" t="s">
        <v>13</v>
      </c>
      <c r="C165" s="41">
        <f t="shared" si="14"/>
        <v>1</v>
      </c>
      <c r="D165" s="6">
        <v>21</v>
      </c>
      <c r="E165" s="6">
        <v>21</v>
      </c>
      <c r="F165" s="25">
        <f t="shared" si="15"/>
        <v>1</v>
      </c>
      <c r="G165" s="76">
        <v>1</v>
      </c>
      <c r="H165" s="76">
        <v>1</v>
      </c>
      <c r="I165" s="76">
        <v>1</v>
      </c>
      <c r="J165" s="59">
        <v>1</v>
      </c>
      <c r="K165" s="58">
        <v>1</v>
      </c>
      <c r="L165" s="76">
        <v>1</v>
      </c>
      <c r="M165" s="58">
        <f t="shared" si="16"/>
        <v>1</v>
      </c>
      <c r="N165" s="85">
        <v>1.2889293972126517</v>
      </c>
      <c r="O165" s="58">
        <f t="shared" si="17"/>
        <v>1</v>
      </c>
      <c r="P165">
        <v>0</v>
      </c>
      <c r="Q165" s="97">
        <v>1.5469963945527897E-2</v>
      </c>
      <c r="R165" s="97">
        <f t="shared" si="18"/>
        <v>1</v>
      </c>
      <c r="S165" s="58">
        <f t="shared" si="19"/>
        <v>1</v>
      </c>
    </row>
    <row r="166" spans="1:19" ht="16.5" x14ac:dyDescent="0.3">
      <c r="A166" s="23" t="str">
        <f>+VLOOKUP(B166,'INDICADORES CAPTURA'!C:E,3,FALSE)</f>
        <v>PIÑEROS MONTAÑA LAURA ESTEPHANIA</v>
      </c>
      <c r="B166" s="24" t="s">
        <v>134</v>
      </c>
      <c r="C166" s="41">
        <f t="shared" si="14"/>
        <v>1</v>
      </c>
      <c r="D166" s="6">
        <v>6</v>
      </c>
      <c r="E166" s="6">
        <v>6</v>
      </c>
      <c r="F166" s="25">
        <f t="shared" si="15"/>
        <v>1</v>
      </c>
      <c r="G166" s="76">
        <v>1</v>
      </c>
      <c r="H166" s="76">
        <v>1</v>
      </c>
      <c r="I166" s="76">
        <v>1</v>
      </c>
      <c r="J166" s="59">
        <v>1</v>
      </c>
      <c r="K166" s="58">
        <v>0.875</v>
      </c>
      <c r="L166" s="76">
        <v>1</v>
      </c>
      <c r="M166" s="58">
        <f t="shared" si="16"/>
        <v>0.95833333333333337</v>
      </c>
      <c r="N166" s="85">
        <v>1.0394563581635836</v>
      </c>
      <c r="O166" s="58">
        <f t="shared" si="17"/>
        <v>1</v>
      </c>
      <c r="P166">
        <v>0</v>
      </c>
      <c r="Q166" s="97">
        <v>6.7715611849884722E-3</v>
      </c>
      <c r="R166" s="97">
        <f t="shared" si="18"/>
        <v>1</v>
      </c>
      <c r="S166" s="58">
        <f t="shared" si="19"/>
        <v>1</v>
      </c>
    </row>
    <row r="167" spans="1:19" ht="16.5" x14ac:dyDescent="0.3">
      <c r="A167" s="23" t="str">
        <f>+VLOOKUP(B167,'INDICADORES CAPTURA'!C:E,3,FALSE)</f>
        <v>GIL MARTINEZ JENNIFER STEFANNIE</v>
      </c>
      <c r="B167" s="24" t="s">
        <v>196</v>
      </c>
      <c r="C167" s="41">
        <f t="shared" si="14"/>
        <v>1</v>
      </c>
      <c r="D167" s="6">
        <v>9</v>
      </c>
      <c r="E167" s="6">
        <v>9</v>
      </c>
      <c r="F167" s="25">
        <f t="shared" si="15"/>
        <v>1</v>
      </c>
      <c r="G167" s="76">
        <v>1</v>
      </c>
      <c r="H167" s="76">
        <v>1</v>
      </c>
      <c r="I167" s="76">
        <v>0.88888888888888884</v>
      </c>
      <c r="J167" s="59">
        <v>1</v>
      </c>
      <c r="K167" s="58">
        <v>1</v>
      </c>
      <c r="L167" s="76">
        <v>1</v>
      </c>
      <c r="M167" s="58">
        <f t="shared" si="16"/>
        <v>0.96296296296296291</v>
      </c>
      <c r="N167" s="85">
        <v>0.93530017765279616</v>
      </c>
      <c r="O167" s="58">
        <f t="shared" si="17"/>
        <v>1</v>
      </c>
      <c r="P167">
        <v>0</v>
      </c>
      <c r="Q167" s="97">
        <v>3.0395658349763023E-2</v>
      </c>
      <c r="R167" s="97">
        <f t="shared" si="18"/>
        <v>0</v>
      </c>
      <c r="S167" s="58">
        <f t="shared" si="19"/>
        <v>0.5</v>
      </c>
    </row>
    <row r="168" spans="1:19" ht="16.5" x14ac:dyDescent="0.3">
      <c r="A168" s="23" t="str">
        <f>+VLOOKUP(B168,'INDICADORES CAPTURA'!C:E,3,FALSE)</f>
        <v>BOLAÑOS QUEVEDO ALEXIS</v>
      </c>
      <c r="B168" s="24" t="s">
        <v>120</v>
      </c>
      <c r="C168" s="41">
        <f t="shared" si="14"/>
        <v>0.72222222222222221</v>
      </c>
      <c r="D168" s="6">
        <v>18</v>
      </c>
      <c r="E168" s="6">
        <v>13</v>
      </c>
      <c r="F168" s="25">
        <f t="shared" si="15"/>
        <v>0.72222222222222221</v>
      </c>
      <c r="G168" s="76">
        <v>0.72222222222222221</v>
      </c>
      <c r="H168" s="76">
        <v>0.72222222222222221</v>
      </c>
      <c r="I168" s="76">
        <v>0.61111111111111116</v>
      </c>
      <c r="J168" s="59">
        <v>0.72222222222222221</v>
      </c>
      <c r="K168" s="58">
        <v>0.35714285714285715</v>
      </c>
      <c r="L168" s="76">
        <v>0.72222222222222221</v>
      </c>
      <c r="M168" s="58">
        <f t="shared" si="16"/>
        <v>0.5634920634920636</v>
      </c>
      <c r="N168" s="85">
        <v>1.034293934846366</v>
      </c>
      <c r="O168" s="58">
        <f t="shared" si="17"/>
        <v>0.72222222222222221</v>
      </c>
      <c r="P168">
        <v>0</v>
      </c>
      <c r="Q168" s="97">
        <v>7.6383826953453984E-2</v>
      </c>
      <c r="R168" s="97">
        <f t="shared" si="18"/>
        <v>0</v>
      </c>
      <c r="S168" s="58">
        <f t="shared" si="19"/>
        <v>0.3611111111111111</v>
      </c>
    </row>
    <row r="169" spans="1:19" ht="16.5" x14ac:dyDescent="0.3">
      <c r="A169" s="23" t="str">
        <f>+VLOOKUP(B169,'INDICADORES CAPTURA'!C:E,3,FALSE)</f>
        <v>GONZALEZ BARRANTES EDWIN JESSID</v>
      </c>
      <c r="B169" s="24" t="s">
        <v>86</v>
      </c>
      <c r="C169" s="41">
        <f t="shared" si="14"/>
        <v>1</v>
      </c>
      <c r="D169" s="6">
        <v>10</v>
      </c>
      <c r="E169" s="6">
        <v>10</v>
      </c>
      <c r="F169" s="25">
        <f t="shared" si="15"/>
        <v>1</v>
      </c>
      <c r="G169" s="76">
        <v>1</v>
      </c>
      <c r="H169" s="76">
        <v>1</v>
      </c>
      <c r="I169" s="76">
        <v>0.2</v>
      </c>
      <c r="J169" s="59">
        <v>1</v>
      </c>
      <c r="K169" s="58">
        <v>1</v>
      </c>
      <c r="L169" s="76">
        <v>1</v>
      </c>
      <c r="M169" s="58">
        <f t="shared" si="16"/>
        <v>0.73333333333333339</v>
      </c>
      <c r="N169" s="85">
        <v>0.78169200341435474</v>
      </c>
      <c r="O169" s="58">
        <f t="shared" si="17"/>
        <v>1</v>
      </c>
      <c r="P169">
        <v>0</v>
      </c>
      <c r="Q169" s="97">
        <v>6.9598296176224178E-2</v>
      </c>
      <c r="R169" s="97">
        <f t="shared" si="18"/>
        <v>0</v>
      </c>
      <c r="S169" s="58">
        <f>+O169</f>
        <v>1</v>
      </c>
    </row>
    <row r="170" spans="1:19" ht="16.5" x14ac:dyDescent="0.3">
      <c r="A170" s="23" t="str">
        <f>+VLOOKUP(B170,'INDICADORES CAPTURA'!C:E,3,FALSE)</f>
        <v>GONZALEZ BARRANTES EDWIN JESSID</v>
      </c>
      <c r="B170" s="24" t="s">
        <v>84</v>
      </c>
      <c r="C170" s="41">
        <f t="shared" si="14"/>
        <v>0.94444444444444431</v>
      </c>
      <c r="D170" s="6">
        <v>18</v>
      </c>
      <c r="E170" s="6">
        <v>18</v>
      </c>
      <c r="F170" s="25">
        <f t="shared" si="15"/>
        <v>1</v>
      </c>
      <c r="G170" s="76">
        <v>0.94444444444444442</v>
      </c>
      <c r="H170" s="76">
        <v>0.94444444444444442</v>
      </c>
      <c r="I170" s="76">
        <v>0</v>
      </c>
      <c r="J170" s="59">
        <v>0.94444444444444442</v>
      </c>
      <c r="K170" s="58">
        <v>1</v>
      </c>
      <c r="L170" s="76">
        <v>0.94444444444444442</v>
      </c>
      <c r="M170" s="58">
        <f t="shared" si="16"/>
        <v>0.64814814814814814</v>
      </c>
      <c r="N170" s="85">
        <v>1.4131856166811856</v>
      </c>
      <c r="O170" s="58">
        <f t="shared" si="17"/>
        <v>0.94444444444444442</v>
      </c>
      <c r="P170">
        <v>0</v>
      </c>
      <c r="Q170" s="97">
        <v>3.7780061800578059E-2</v>
      </c>
      <c r="R170" s="97">
        <f t="shared" si="18"/>
        <v>0</v>
      </c>
      <c r="S170" s="58">
        <f t="shared" si="19"/>
        <v>0.47222222222222221</v>
      </c>
    </row>
    <row r="171" spans="1:19" ht="16.5" x14ac:dyDescent="0.3">
      <c r="A171" s="23" t="str">
        <f>+VLOOKUP(B171,'INDICADORES CAPTURA'!C:E,3,FALSE)</f>
        <v>MARTINEZ VARGAS CHRISTAN RICARDO</v>
      </c>
      <c r="B171" s="24" t="s">
        <v>164</v>
      </c>
      <c r="C171" s="41">
        <f t="shared" si="14"/>
        <v>0.81818181818181823</v>
      </c>
      <c r="D171" s="6">
        <v>11</v>
      </c>
      <c r="E171" s="6">
        <v>9</v>
      </c>
      <c r="F171" s="25">
        <f t="shared" si="15"/>
        <v>0.81818181818181823</v>
      </c>
      <c r="G171" s="76">
        <v>0.81818181818181823</v>
      </c>
      <c r="H171" s="76">
        <v>0.81818181818181823</v>
      </c>
      <c r="I171" s="76">
        <v>0</v>
      </c>
      <c r="J171" s="59">
        <v>0.81818181818181823</v>
      </c>
      <c r="K171" s="58">
        <v>0.26315789473684209</v>
      </c>
      <c r="L171" s="76">
        <v>0.81818181818181823</v>
      </c>
      <c r="M171" s="58">
        <f t="shared" si="16"/>
        <v>0.36044657097288679</v>
      </c>
      <c r="N171" s="85">
        <v>0.60295666626652511</v>
      </c>
      <c r="O171" s="58">
        <f t="shared" si="17"/>
        <v>0.81818181818181823</v>
      </c>
      <c r="P171">
        <v>0</v>
      </c>
      <c r="Q171" s="97">
        <v>6.9038990817712753E-2</v>
      </c>
      <c r="R171" s="97">
        <f t="shared" si="18"/>
        <v>0</v>
      </c>
      <c r="S171" s="58">
        <f>+O171</f>
        <v>0.81818181818181823</v>
      </c>
    </row>
    <row r="172" spans="1:19" ht="16.5" x14ac:dyDescent="0.3">
      <c r="A172" s="23" t="str">
        <f>+VLOOKUP(B172,'INDICADORES CAPTURA'!C:E,3,FALSE)</f>
        <v xml:space="preserve">SUSANA SILVA MENDOZA      </v>
      </c>
      <c r="B172" s="24" t="s">
        <v>23</v>
      </c>
      <c r="C172" s="41">
        <f t="shared" si="14"/>
        <v>1</v>
      </c>
      <c r="D172" s="6">
        <v>6</v>
      </c>
      <c r="E172" s="6">
        <v>6</v>
      </c>
      <c r="F172" s="25">
        <f t="shared" si="15"/>
        <v>1</v>
      </c>
      <c r="G172" s="76">
        <v>1</v>
      </c>
      <c r="H172" s="76">
        <v>1</v>
      </c>
      <c r="I172" s="76">
        <v>1</v>
      </c>
      <c r="J172" s="59">
        <v>1</v>
      </c>
      <c r="K172" s="58">
        <v>1</v>
      </c>
      <c r="L172" s="76">
        <v>1</v>
      </c>
      <c r="M172" s="58">
        <f t="shared" si="16"/>
        <v>1</v>
      </c>
      <c r="N172" s="85">
        <v>1.0011239365245241</v>
      </c>
      <c r="O172" s="58">
        <f t="shared" si="17"/>
        <v>1</v>
      </c>
      <c r="P172">
        <v>0</v>
      </c>
      <c r="Q172" s="97">
        <v>2.7646868583439843E-2</v>
      </c>
      <c r="R172" s="97">
        <f t="shared" si="18"/>
        <v>1</v>
      </c>
      <c r="S172" s="58">
        <f t="shared" si="19"/>
        <v>1</v>
      </c>
    </row>
    <row r="173" spans="1:19" ht="16.5" x14ac:dyDescent="0.3">
      <c r="A173" s="23" t="str">
        <f>+VLOOKUP(B173,'INDICADORES CAPTURA'!C:E,3,FALSE)</f>
        <v>MARTINEZ VARGAS CHRISTAN RICARDO</v>
      </c>
      <c r="B173" s="24" t="s">
        <v>168</v>
      </c>
      <c r="C173" s="41">
        <f t="shared" si="14"/>
        <v>0.92857142857142849</v>
      </c>
      <c r="D173" s="6">
        <v>14</v>
      </c>
      <c r="E173" s="6">
        <v>13</v>
      </c>
      <c r="F173" s="25">
        <f t="shared" si="15"/>
        <v>0.9285714285714286</v>
      </c>
      <c r="G173" s="76">
        <v>0.9285714285714286</v>
      </c>
      <c r="H173" s="76">
        <v>0.9285714285714286</v>
      </c>
      <c r="I173" s="76">
        <v>0.9285714285714286</v>
      </c>
      <c r="J173" s="59">
        <v>0.9285714285714286</v>
      </c>
      <c r="K173" s="58">
        <v>0.57777777777777772</v>
      </c>
      <c r="L173" s="76">
        <v>0.9285714285714286</v>
      </c>
      <c r="M173" s="58">
        <f t="shared" si="16"/>
        <v>0.81164021164021172</v>
      </c>
      <c r="N173" s="85">
        <v>1.1773537579672064</v>
      </c>
      <c r="O173" s="58">
        <f t="shared" si="17"/>
        <v>0.9285714285714286</v>
      </c>
      <c r="P173">
        <v>0</v>
      </c>
      <c r="Q173" s="97">
        <v>4.0738023980879882E-2</v>
      </c>
      <c r="R173" s="97">
        <f t="shared" si="18"/>
        <v>0</v>
      </c>
      <c r="S173" s="58">
        <f t="shared" si="19"/>
        <v>0.4642857142857143</v>
      </c>
    </row>
    <row r="174" spans="1:19" ht="16.5" x14ac:dyDescent="0.3">
      <c r="A174" s="23" t="str">
        <f>+VLOOKUP(B174,'INDICADORES CAPTURA'!C:E,3,FALSE)</f>
        <v>GONZALEZ BARRANTES EDWIN JESSID</v>
      </c>
      <c r="B174" s="24" t="s">
        <v>94</v>
      </c>
      <c r="C174" s="41">
        <f t="shared" si="14"/>
        <v>1</v>
      </c>
      <c r="D174" s="6">
        <v>7</v>
      </c>
      <c r="E174" s="6">
        <v>7</v>
      </c>
      <c r="F174" s="25">
        <f t="shared" si="15"/>
        <v>1</v>
      </c>
      <c r="G174" s="76">
        <v>1</v>
      </c>
      <c r="H174" s="76">
        <v>1</v>
      </c>
      <c r="I174" s="76">
        <v>1</v>
      </c>
      <c r="J174" s="59">
        <v>1</v>
      </c>
      <c r="K174" s="58">
        <v>0.78260869565217395</v>
      </c>
      <c r="L174" s="76">
        <v>1</v>
      </c>
      <c r="M174" s="58">
        <f t="shared" si="16"/>
        <v>0.92753623188405798</v>
      </c>
      <c r="N174" s="85">
        <v>1.3180209598865811</v>
      </c>
      <c r="O174" s="58">
        <f t="shared" si="17"/>
        <v>1</v>
      </c>
      <c r="P174">
        <v>0</v>
      </c>
      <c r="Q174" s="97">
        <v>1.7187261082754104E-2</v>
      </c>
      <c r="R174" s="97">
        <f t="shared" si="18"/>
        <v>1</v>
      </c>
      <c r="S174" s="58">
        <f>+O174</f>
        <v>1</v>
      </c>
    </row>
    <row r="175" spans="1:19" ht="16.5" x14ac:dyDescent="0.3">
      <c r="A175" s="23" t="str">
        <f>+VLOOKUP(B175,'INDICADORES CAPTURA'!C:E,3,FALSE)</f>
        <v>GIL MARTINEZ JENNIFER STEFANNIE</v>
      </c>
      <c r="B175" s="24" t="s">
        <v>193</v>
      </c>
      <c r="C175" s="41">
        <f t="shared" si="14"/>
        <v>1</v>
      </c>
      <c r="D175" s="6">
        <v>10</v>
      </c>
      <c r="E175" s="6">
        <v>10</v>
      </c>
      <c r="F175" s="25">
        <f t="shared" si="15"/>
        <v>1</v>
      </c>
      <c r="G175" s="76">
        <v>1</v>
      </c>
      <c r="H175" s="76">
        <v>1</v>
      </c>
      <c r="I175" s="76">
        <v>0.5</v>
      </c>
      <c r="J175" s="59">
        <v>1</v>
      </c>
      <c r="K175" s="58">
        <v>1</v>
      </c>
      <c r="L175" s="76">
        <v>1</v>
      </c>
      <c r="M175" s="58">
        <f t="shared" si="16"/>
        <v>0.83333333333333337</v>
      </c>
      <c r="N175" s="85">
        <v>0.97536667765342522</v>
      </c>
      <c r="O175" s="58">
        <f t="shared" si="17"/>
        <v>1</v>
      </c>
      <c r="P175">
        <v>0</v>
      </c>
      <c r="Q175" s="97">
        <v>2.3275545370775017E-2</v>
      </c>
      <c r="R175" s="97">
        <f t="shared" si="18"/>
        <v>1</v>
      </c>
      <c r="S175" s="58">
        <f t="shared" si="19"/>
        <v>1</v>
      </c>
    </row>
    <row r="176" spans="1:19" ht="16.5" x14ac:dyDescent="0.3">
      <c r="A176" s="23" t="str">
        <f>+VLOOKUP(B176,'INDICADORES CAPTURA'!C:E,3,FALSE)</f>
        <v>SÁNCHEZ ZAMBRANO LEIDY NICOLE VANESSA</v>
      </c>
      <c r="B176" s="24" t="s">
        <v>154</v>
      </c>
      <c r="C176" s="41">
        <f t="shared" si="14"/>
        <v>1</v>
      </c>
      <c r="D176" s="6">
        <v>14</v>
      </c>
      <c r="E176" s="6">
        <v>14</v>
      </c>
      <c r="F176" s="25">
        <f t="shared" si="15"/>
        <v>1</v>
      </c>
      <c r="G176" s="76">
        <v>1</v>
      </c>
      <c r="H176" s="76">
        <v>1</v>
      </c>
      <c r="I176" s="76">
        <v>1</v>
      </c>
      <c r="J176" s="59">
        <v>1</v>
      </c>
      <c r="K176" s="58">
        <v>1</v>
      </c>
      <c r="L176" s="76">
        <v>1</v>
      </c>
      <c r="M176" s="58">
        <f t="shared" si="16"/>
        <v>1</v>
      </c>
      <c r="N176" s="85">
        <v>0.95937559975922315</v>
      </c>
      <c r="O176" s="58">
        <f t="shared" si="17"/>
        <v>1</v>
      </c>
      <c r="P176">
        <v>0</v>
      </c>
      <c r="Q176" s="97">
        <v>1.5562315101778003E-2</v>
      </c>
      <c r="R176" s="97">
        <f t="shared" si="18"/>
        <v>1</v>
      </c>
      <c r="S176" s="58">
        <f t="shared" si="19"/>
        <v>1</v>
      </c>
    </row>
    <row r="177" spans="1:19" ht="16.5" x14ac:dyDescent="0.3">
      <c r="A177" s="23" t="str">
        <f>+VLOOKUP(B177,'INDICADORES CAPTURA'!C:E,3,FALSE)</f>
        <v>MELISA MARTINEZ</v>
      </c>
      <c r="B177" s="24" t="s">
        <v>194</v>
      </c>
      <c r="C177" s="41">
        <f t="shared" si="14"/>
        <v>1</v>
      </c>
      <c r="D177" s="6">
        <v>1</v>
      </c>
      <c r="E177" s="6">
        <v>1</v>
      </c>
      <c r="F177" s="25">
        <f t="shared" si="15"/>
        <v>1</v>
      </c>
      <c r="G177" s="76">
        <v>1</v>
      </c>
      <c r="H177" s="76">
        <v>1</v>
      </c>
      <c r="I177" s="76">
        <v>1</v>
      </c>
      <c r="J177" s="59">
        <v>1</v>
      </c>
      <c r="K177" s="58">
        <v>1</v>
      </c>
      <c r="L177" s="76">
        <v>1</v>
      </c>
      <c r="M177" s="58">
        <f t="shared" si="16"/>
        <v>1</v>
      </c>
      <c r="N177" s="85">
        <v>0.8248990922953755</v>
      </c>
      <c r="O177" s="58">
        <f t="shared" si="17"/>
        <v>1</v>
      </c>
      <c r="P177">
        <v>0</v>
      </c>
      <c r="Q177" s="97">
        <v>2.0481631771652176E-2</v>
      </c>
      <c r="R177" s="97">
        <f t="shared" si="18"/>
        <v>1</v>
      </c>
      <c r="S177" s="58">
        <f t="shared" si="19"/>
        <v>1</v>
      </c>
    </row>
    <row r="178" spans="1:19" ht="16.5" x14ac:dyDescent="0.3">
      <c r="A178" s="23" t="str">
        <f>+VLOOKUP(B178,'INDICADORES CAPTURA'!C:E,3,FALSE)</f>
        <v>GIL MARTINEZ JENNIFER STEFANNIE</v>
      </c>
      <c r="B178" s="24" t="s">
        <v>18</v>
      </c>
      <c r="C178" s="41">
        <f t="shared" si="14"/>
        <v>1</v>
      </c>
      <c r="D178" s="6">
        <v>2</v>
      </c>
      <c r="E178" s="6">
        <v>2</v>
      </c>
      <c r="F178" s="25">
        <f t="shared" si="15"/>
        <v>1</v>
      </c>
      <c r="G178" s="76">
        <v>1</v>
      </c>
      <c r="H178" s="76">
        <v>1</v>
      </c>
      <c r="I178" s="76">
        <v>1</v>
      </c>
      <c r="J178" s="59">
        <v>1</v>
      </c>
      <c r="K178" s="58">
        <v>1</v>
      </c>
      <c r="L178" s="76">
        <v>1</v>
      </c>
      <c r="M178" s="58">
        <f t="shared" si="16"/>
        <v>1</v>
      </c>
      <c r="N178" s="85">
        <v>1.1922166288206193</v>
      </c>
      <c r="O178" s="58">
        <f t="shared" si="17"/>
        <v>1</v>
      </c>
      <c r="P178">
        <v>0</v>
      </c>
      <c r="Q178" s="97">
        <v>9.6256761820122279E-3</v>
      </c>
      <c r="R178" s="97">
        <f t="shared" si="18"/>
        <v>1</v>
      </c>
      <c r="S178" s="58">
        <f t="shared" si="19"/>
        <v>1</v>
      </c>
    </row>
    <row r="179" spans="1:19" ht="16.5" x14ac:dyDescent="0.3">
      <c r="A179" s="23" t="str">
        <f>+VLOOKUP(B179,'INDICADORES CAPTURA'!C:E,3,FALSE)</f>
        <v>GONZALEZ BARRANTES EDWIN JESSID</v>
      </c>
      <c r="B179" s="24" t="s">
        <v>95</v>
      </c>
      <c r="C179" s="41">
        <f t="shared" si="14"/>
        <v>1</v>
      </c>
      <c r="D179" s="6">
        <v>13</v>
      </c>
      <c r="E179" s="6">
        <v>12</v>
      </c>
      <c r="F179" s="25">
        <f t="shared" si="15"/>
        <v>0.92307692307692313</v>
      </c>
      <c r="G179" s="76">
        <v>1</v>
      </c>
      <c r="H179" s="76">
        <v>1</v>
      </c>
      <c r="I179" s="76">
        <v>0.69230769230769229</v>
      </c>
      <c r="J179" s="59">
        <v>1</v>
      </c>
      <c r="K179" s="58">
        <v>0.9375</v>
      </c>
      <c r="L179" s="76">
        <v>1</v>
      </c>
      <c r="M179" s="58">
        <f t="shared" si="16"/>
        <v>0.87660256410256421</v>
      </c>
      <c r="N179" s="85">
        <v>0.91080220446546645</v>
      </c>
      <c r="O179" s="58">
        <f t="shared" si="17"/>
        <v>1</v>
      </c>
      <c r="P179">
        <v>0</v>
      </c>
      <c r="Q179" s="97">
        <v>3.0522739278119035E-2</v>
      </c>
      <c r="R179" s="97">
        <f t="shared" si="18"/>
        <v>0</v>
      </c>
      <c r="S179" s="58">
        <f t="shared" si="19"/>
        <v>0.5</v>
      </c>
    </row>
    <row r="180" spans="1:19" ht="16.5" x14ac:dyDescent="0.3">
      <c r="A180" s="23" t="str">
        <f>+VLOOKUP(B180,'INDICADORES CAPTURA'!C:E,3,FALSE)</f>
        <v>SÁNCHEZ ZAMBRANO LEIDY NICOLE VANESSA</v>
      </c>
      <c r="B180" s="24" t="s">
        <v>155</v>
      </c>
      <c r="C180" s="41">
        <f t="shared" si="14"/>
        <v>1</v>
      </c>
      <c r="D180" s="6">
        <v>17</v>
      </c>
      <c r="E180" s="6">
        <v>17</v>
      </c>
      <c r="F180" s="25">
        <f t="shared" si="15"/>
        <v>1</v>
      </c>
      <c r="G180" s="76">
        <v>1</v>
      </c>
      <c r="H180" s="76">
        <v>1</v>
      </c>
      <c r="I180" s="76">
        <v>1</v>
      </c>
      <c r="J180" s="59">
        <v>1</v>
      </c>
      <c r="K180" s="58">
        <v>0.9</v>
      </c>
      <c r="L180" s="76">
        <v>1</v>
      </c>
      <c r="M180" s="58">
        <f t="shared" si="16"/>
        <v>0.96666666666666667</v>
      </c>
      <c r="N180" s="85">
        <v>1.0236981651446115</v>
      </c>
      <c r="O180" s="58">
        <f t="shared" si="17"/>
        <v>1</v>
      </c>
      <c r="P180">
        <v>0</v>
      </c>
      <c r="Q180" s="97">
        <v>1.5021976828419803E-2</v>
      </c>
      <c r="R180" s="97">
        <f t="shared" si="18"/>
        <v>1</v>
      </c>
      <c r="S180" s="58">
        <f t="shared" si="19"/>
        <v>1</v>
      </c>
    </row>
    <row r="181" spans="1:19" ht="16.5" x14ac:dyDescent="0.3">
      <c r="A181" s="23" t="str">
        <f>+VLOOKUP(B181,'INDICADORES CAPTURA'!C:E,3,FALSE)</f>
        <v>BOLAÑOS QUEVEDO ALEXIS</v>
      </c>
      <c r="B181" s="24" t="s">
        <v>117</v>
      </c>
      <c r="C181" s="41">
        <f t="shared" si="14"/>
        <v>1</v>
      </c>
      <c r="D181" s="6">
        <v>4</v>
      </c>
      <c r="E181" s="6">
        <v>4</v>
      </c>
      <c r="F181" s="25">
        <f t="shared" si="15"/>
        <v>1</v>
      </c>
      <c r="G181" s="76">
        <v>1</v>
      </c>
      <c r="H181" s="76">
        <v>1</v>
      </c>
      <c r="I181" s="76">
        <v>1</v>
      </c>
      <c r="J181" s="59">
        <v>1</v>
      </c>
      <c r="K181" s="58">
        <v>0.8</v>
      </c>
      <c r="L181" s="76">
        <v>1</v>
      </c>
      <c r="M181" s="58">
        <f t="shared" si="16"/>
        <v>0.93333333333333324</v>
      </c>
      <c r="N181" s="85">
        <v>1.4431576605462948</v>
      </c>
      <c r="O181" s="58">
        <f t="shared" si="17"/>
        <v>1</v>
      </c>
      <c r="P181">
        <v>0</v>
      </c>
      <c r="Q181" s="97">
        <v>3.8532350673293192E-2</v>
      </c>
      <c r="R181" s="97">
        <f t="shared" si="18"/>
        <v>0</v>
      </c>
      <c r="S181" s="58">
        <f t="shared" ref="S181:S182" si="23">+O181</f>
        <v>1</v>
      </c>
    </row>
    <row r="182" spans="1:19" ht="16.5" x14ac:dyDescent="0.3">
      <c r="A182" s="23" t="str">
        <f>+VLOOKUP(B182,'INDICADORES CAPTURA'!C:E,3,FALSE)</f>
        <v>GONZALEZ BARRANTES EDWIN JESSID</v>
      </c>
      <c r="B182" s="24" t="s">
        <v>88</v>
      </c>
      <c r="C182" s="41">
        <f t="shared" si="14"/>
        <v>0.91666666666666663</v>
      </c>
      <c r="D182" s="6">
        <v>12</v>
      </c>
      <c r="E182" s="6">
        <v>11</v>
      </c>
      <c r="F182" s="25">
        <f t="shared" si="15"/>
        <v>0.91666666666666663</v>
      </c>
      <c r="G182" s="76">
        <v>0.91666666666666663</v>
      </c>
      <c r="H182" s="76">
        <v>0.91666666666666663</v>
      </c>
      <c r="I182" s="76">
        <v>0.91666666666666663</v>
      </c>
      <c r="J182" s="59">
        <v>0.91666666666666663</v>
      </c>
      <c r="K182" s="58">
        <v>1</v>
      </c>
      <c r="L182" s="76">
        <v>0.91666666666666663</v>
      </c>
      <c r="M182" s="58">
        <f t="shared" si="16"/>
        <v>0.94444444444444431</v>
      </c>
      <c r="N182" s="85">
        <v>0.98760282526469967</v>
      </c>
      <c r="O182" s="58">
        <f t="shared" si="17"/>
        <v>0.91666666666666663</v>
      </c>
      <c r="P182">
        <v>0</v>
      </c>
      <c r="Q182" s="97">
        <v>5.2951911591038799E-2</v>
      </c>
      <c r="R182" s="97">
        <f t="shared" si="18"/>
        <v>0</v>
      </c>
      <c r="S182" s="58">
        <f t="shared" si="23"/>
        <v>0.91666666666666663</v>
      </c>
    </row>
    <row r="183" spans="1:19" ht="16.5" x14ac:dyDescent="0.3">
      <c r="A183" s="23" t="str">
        <f>+VLOOKUP(B183,'INDICADORES CAPTURA'!C:E,3,FALSE)</f>
        <v>GIL MARTINEZ JENNIFER STEFANNIE</v>
      </c>
      <c r="B183" s="24" t="s">
        <v>186</v>
      </c>
      <c r="C183" s="41">
        <f t="shared" si="14"/>
        <v>0.85</v>
      </c>
      <c r="D183" s="6">
        <v>20</v>
      </c>
      <c r="E183" s="6">
        <v>17</v>
      </c>
      <c r="F183" s="25">
        <f t="shared" si="15"/>
        <v>0.85</v>
      </c>
      <c r="G183" s="76">
        <v>0.85</v>
      </c>
      <c r="H183" s="76">
        <v>0.85</v>
      </c>
      <c r="I183" s="76">
        <v>0.85</v>
      </c>
      <c r="J183" s="59">
        <v>0.85</v>
      </c>
      <c r="K183" s="58">
        <v>1</v>
      </c>
      <c r="L183" s="76">
        <v>0.85</v>
      </c>
      <c r="M183" s="58">
        <f t="shared" si="16"/>
        <v>0.9</v>
      </c>
      <c r="N183" s="85">
        <v>1.1717459932113414</v>
      </c>
      <c r="O183" s="58">
        <f t="shared" si="17"/>
        <v>0.85</v>
      </c>
      <c r="P183">
        <v>0</v>
      </c>
      <c r="Q183" s="97">
        <v>1.9459471549252625E-2</v>
      </c>
      <c r="R183" s="97">
        <f t="shared" si="18"/>
        <v>1</v>
      </c>
      <c r="S183" s="58">
        <f t="shared" si="19"/>
        <v>0.92500000000000004</v>
      </c>
    </row>
    <row r="184" spans="1:19" ht="16.5" x14ac:dyDescent="0.3">
      <c r="A184" s="23" t="str">
        <f>+VLOOKUP(B184,'INDICADORES CAPTURA'!C:E,3,FALSE)</f>
        <v>GIL MARTINEZ JENNIFER STEFANNIE</v>
      </c>
      <c r="B184" s="24" t="s">
        <v>183</v>
      </c>
      <c r="C184" s="41">
        <f t="shared" si="14"/>
        <v>1</v>
      </c>
      <c r="D184" s="6">
        <v>9</v>
      </c>
      <c r="E184" s="6">
        <v>9</v>
      </c>
      <c r="F184" s="25">
        <f t="shared" si="15"/>
        <v>1</v>
      </c>
      <c r="G184" s="76">
        <v>1</v>
      </c>
      <c r="H184" s="76">
        <v>1</v>
      </c>
      <c r="I184" s="76">
        <v>0.33333333333333331</v>
      </c>
      <c r="J184" s="59">
        <v>1</v>
      </c>
      <c r="K184" s="58">
        <v>0.91666666666666663</v>
      </c>
      <c r="L184" s="76">
        <v>1</v>
      </c>
      <c r="M184" s="58">
        <f t="shared" si="16"/>
        <v>0.75</v>
      </c>
      <c r="N184" s="85">
        <v>1.0596420897316248</v>
      </c>
      <c r="O184" s="58">
        <f t="shared" si="17"/>
        <v>1</v>
      </c>
      <c r="P184">
        <v>0</v>
      </c>
      <c r="Q184" s="97">
        <v>3.0494122201936993E-2</v>
      </c>
      <c r="R184" s="97">
        <f t="shared" si="18"/>
        <v>0</v>
      </c>
      <c r="S184" s="58">
        <f t="shared" si="19"/>
        <v>0.5</v>
      </c>
    </row>
    <row r="185" spans="1:19" ht="16.5" x14ac:dyDescent="0.3">
      <c r="A185" s="23" t="str">
        <f>+VLOOKUP(B185,'INDICADORES CAPTURA'!C:E,3,FALSE)</f>
        <v>GIL MARTINEZ JENNIFER STEFANNIE</v>
      </c>
      <c r="B185" s="24" t="s">
        <v>190</v>
      </c>
      <c r="C185" s="41">
        <f t="shared" si="14"/>
        <v>1</v>
      </c>
      <c r="D185" s="6">
        <v>8</v>
      </c>
      <c r="E185" s="6">
        <v>8</v>
      </c>
      <c r="F185" s="25">
        <f t="shared" si="15"/>
        <v>1</v>
      </c>
      <c r="G185" s="76">
        <v>1</v>
      </c>
      <c r="H185" s="76">
        <v>1</v>
      </c>
      <c r="I185" s="76">
        <v>1</v>
      </c>
      <c r="J185" s="59">
        <v>1</v>
      </c>
      <c r="K185" s="58">
        <v>1</v>
      </c>
      <c r="L185" s="76">
        <v>1</v>
      </c>
      <c r="M185" s="58">
        <f t="shared" si="16"/>
        <v>1</v>
      </c>
      <c r="N185" s="85">
        <v>1.0462123956698366</v>
      </c>
      <c r="O185" s="58">
        <f t="shared" si="17"/>
        <v>1</v>
      </c>
      <c r="P185">
        <v>0</v>
      </c>
      <c r="Q185" s="97">
        <v>1.6354362032500413E-2</v>
      </c>
      <c r="R185" s="97">
        <f t="shared" si="18"/>
        <v>1</v>
      </c>
      <c r="S185" s="58">
        <f>+O185</f>
        <v>1</v>
      </c>
    </row>
    <row r="186" spans="1:19" ht="16.5" x14ac:dyDescent="0.3">
      <c r="A186" s="23" t="str">
        <f>+VLOOKUP(B186,'INDICADORES CAPTURA'!C:E,3,FALSE)</f>
        <v xml:space="preserve">SUSANA SILVA MENDOZA      </v>
      </c>
      <c r="B186" s="24" t="s">
        <v>12</v>
      </c>
      <c r="C186" s="41">
        <f t="shared" si="14"/>
        <v>0.91666666666666663</v>
      </c>
      <c r="D186" s="6">
        <v>12</v>
      </c>
      <c r="E186" s="6">
        <v>11</v>
      </c>
      <c r="F186" s="25">
        <f t="shared" si="15"/>
        <v>0.91666666666666663</v>
      </c>
      <c r="G186" s="76">
        <v>0.91666666666666663</v>
      </c>
      <c r="H186" s="76">
        <v>0.91666666666666663</v>
      </c>
      <c r="I186" s="76">
        <v>0.91666666666666663</v>
      </c>
      <c r="J186" s="59">
        <v>0.91666666666666663</v>
      </c>
      <c r="K186" s="58">
        <v>1</v>
      </c>
      <c r="L186" s="76">
        <v>0.91666666666666663</v>
      </c>
      <c r="M186" s="58">
        <f t="shared" si="16"/>
        <v>0.94444444444444431</v>
      </c>
      <c r="N186" s="85">
        <v>1.1306234166244273</v>
      </c>
      <c r="O186" s="58">
        <f t="shared" si="17"/>
        <v>0.91666666666666663</v>
      </c>
      <c r="P186">
        <v>0</v>
      </c>
      <c r="Q186" s="97">
        <v>1.7521657167638909E-2</v>
      </c>
      <c r="R186" s="97">
        <f t="shared" si="18"/>
        <v>1</v>
      </c>
      <c r="S186" s="58">
        <f t="shared" si="19"/>
        <v>0.95833333333333326</v>
      </c>
    </row>
    <row r="187" spans="1:19" ht="16.5" x14ac:dyDescent="0.3">
      <c r="A187" s="23" t="str">
        <f>+VLOOKUP(B187,'INDICADORES CAPTURA'!C:E,3,FALSE)</f>
        <v>GIL MARTINEZ JENNIFER STEFANNIE</v>
      </c>
      <c r="B187" s="24" t="s">
        <v>184</v>
      </c>
      <c r="C187" s="41">
        <f t="shared" si="14"/>
        <v>1</v>
      </c>
      <c r="D187" s="6">
        <v>8</v>
      </c>
      <c r="E187" s="6">
        <v>7</v>
      </c>
      <c r="F187" s="25">
        <f t="shared" si="15"/>
        <v>0.875</v>
      </c>
      <c r="G187" s="76">
        <v>1</v>
      </c>
      <c r="H187" s="76">
        <v>1</v>
      </c>
      <c r="I187" s="76">
        <v>0.875</v>
      </c>
      <c r="J187" s="59">
        <v>1</v>
      </c>
      <c r="K187" s="58">
        <v>1</v>
      </c>
      <c r="L187" s="76">
        <v>1</v>
      </c>
      <c r="M187" s="58">
        <f t="shared" si="16"/>
        <v>0.95833333333333337</v>
      </c>
      <c r="N187" s="85">
        <v>1.1032208645897543</v>
      </c>
      <c r="O187" s="58">
        <f t="shared" si="17"/>
        <v>1</v>
      </c>
      <c r="P187">
        <v>0</v>
      </c>
      <c r="Q187" s="97">
        <v>1.5214611911917728E-2</v>
      </c>
      <c r="R187" s="97">
        <f t="shared" si="18"/>
        <v>1</v>
      </c>
      <c r="S187" s="58">
        <f t="shared" ref="S187:S189" si="24">+O187</f>
        <v>1</v>
      </c>
    </row>
    <row r="188" spans="1:19" ht="16.5" x14ac:dyDescent="0.3">
      <c r="A188" s="23" t="str">
        <f>+VLOOKUP(B188,'INDICADORES CAPTURA'!C:E,3,FALSE)</f>
        <v>MARTINEZ VARGAS CHRISTAN RICARDO</v>
      </c>
      <c r="B188" s="24" t="s">
        <v>160</v>
      </c>
      <c r="C188" s="41">
        <f t="shared" si="14"/>
        <v>0.87878787878787878</v>
      </c>
      <c r="D188" s="6">
        <v>11</v>
      </c>
      <c r="E188" s="6">
        <v>10</v>
      </c>
      <c r="F188" s="25">
        <f t="shared" si="15"/>
        <v>0.90909090909090906</v>
      </c>
      <c r="G188" s="76">
        <v>0.81818181818181823</v>
      </c>
      <c r="H188" s="76">
        <v>0.90909090909090906</v>
      </c>
      <c r="I188" s="76">
        <v>0.63636363636363635</v>
      </c>
      <c r="J188" s="59">
        <v>0.90909090909090906</v>
      </c>
      <c r="K188" s="58">
        <v>0.58620689655172409</v>
      </c>
      <c r="L188" s="76">
        <v>0.90909090909090906</v>
      </c>
      <c r="M188" s="58">
        <f t="shared" si="16"/>
        <v>0.71055381400208983</v>
      </c>
      <c r="N188" s="85">
        <v>1.0820557115661762</v>
      </c>
      <c r="O188" s="58">
        <f t="shared" si="17"/>
        <v>0.81818181818181823</v>
      </c>
      <c r="P188">
        <v>0</v>
      </c>
      <c r="Q188" s="97">
        <v>2.4518233841761026E-2</v>
      </c>
      <c r="R188" s="97">
        <f t="shared" si="18"/>
        <v>1</v>
      </c>
      <c r="S188" s="58">
        <f t="shared" si="24"/>
        <v>0.81818181818181823</v>
      </c>
    </row>
    <row r="189" spans="1:19" ht="17.25" thickBot="1" x14ac:dyDescent="0.35">
      <c r="A189" s="23" t="str">
        <f>+VLOOKUP(B189,'INDICADORES CAPTURA'!C:E,3,FALSE)</f>
        <v>BOLAÑOS QUEVEDO ALEXIS</v>
      </c>
      <c r="B189" s="24" t="s">
        <v>111</v>
      </c>
      <c r="C189" s="41">
        <f t="shared" si="14"/>
        <v>1</v>
      </c>
      <c r="D189" s="6">
        <v>5</v>
      </c>
      <c r="E189" s="6">
        <v>5</v>
      </c>
      <c r="F189" s="25">
        <f t="shared" si="15"/>
        <v>1</v>
      </c>
      <c r="G189" s="76">
        <v>1</v>
      </c>
      <c r="H189" s="76">
        <v>1</v>
      </c>
      <c r="I189" s="76">
        <v>1</v>
      </c>
      <c r="J189" s="59">
        <v>1</v>
      </c>
      <c r="K189" s="58">
        <v>1</v>
      </c>
      <c r="L189" s="76">
        <v>1</v>
      </c>
      <c r="M189" s="58">
        <f t="shared" si="16"/>
        <v>1</v>
      </c>
      <c r="N189" s="85">
        <v>1.1824442925514564</v>
      </c>
      <c r="O189" s="58">
        <f t="shared" si="17"/>
        <v>1</v>
      </c>
      <c r="P189">
        <v>0</v>
      </c>
      <c r="Q189" s="97">
        <v>1.258434893087694E-2</v>
      </c>
      <c r="R189" s="97">
        <f t="shared" si="18"/>
        <v>1</v>
      </c>
      <c r="S189" s="58">
        <f t="shared" si="24"/>
        <v>1</v>
      </c>
    </row>
    <row r="190" spans="1:19" ht="15.75" thickTop="1" x14ac:dyDescent="0.25">
      <c r="A190" s="26"/>
      <c r="B190" s="26"/>
      <c r="C190" s="42"/>
      <c r="D190" s="28"/>
      <c r="E190" s="28"/>
      <c r="F190" s="27"/>
    </row>
    <row r="195" spans="7:7" x14ac:dyDescent="0.25">
      <c r="G195" s="86"/>
    </row>
    <row r="196" spans="7:7" x14ac:dyDescent="0.25">
      <c r="G196" s="86"/>
    </row>
    <row r="197" spans="7:7" x14ac:dyDescent="0.25">
      <c r="G197" s="86"/>
    </row>
  </sheetData>
  <conditionalFormatting sqref="C2:C190">
    <cfRule type="iconSet" priority="4">
      <iconSet iconSet="3Symbols">
        <cfvo type="percent" val="0"/>
        <cfvo type="num" val="0.5"/>
        <cfvo type="num" val="0.9"/>
      </iconSet>
    </cfRule>
  </conditionalFormatting>
  <conditionalFormatting sqref="F2:F190">
    <cfRule type="iconSet" priority="5">
      <iconSet iconSet="3Symbols">
        <cfvo type="percent" val="0"/>
        <cfvo type="num" val="0.5"/>
        <cfvo type="num" val="0.9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863B-647E-432F-A948-6339B183BA52}">
  <dimension ref="A1:V189"/>
  <sheetViews>
    <sheetView topLeftCell="D1" zoomScale="70" zoomScaleNormal="70" workbookViewId="0">
      <selection activeCell="O2" sqref="O2"/>
    </sheetView>
  </sheetViews>
  <sheetFormatPr baseColWidth="10" defaultRowHeight="15" x14ac:dyDescent="0.25"/>
  <cols>
    <col min="2" max="2" width="16.5703125" bestFit="1" customWidth="1"/>
    <col min="3" max="3" width="19.42578125" customWidth="1"/>
    <col min="4" max="4" width="15.85546875" customWidth="1"/>
    <col min="5" max="5" width="39.42578125" bestFit="1" customWidth="1"/>
    <col min="6" max="6" width="27" bestFit="1" customWidth="1"/>
    <col min="7" max="7" width="15.7109375" bestFit="1" customWidth="1"/>
    <col min="8" max="8" width="12.140625" bestFit="1" customWidth="1"/>
    <col min="10" max="10" width="10.5703125" bestFit="1" customWidth="1"/>
    <col min="11" max="11" width="8.5703125" bestFit="1" customWidth="1"/>
    <col min="12" max="12" width="13.42578125" bestFit="1" customWidth="1"/>
    <col min="13" max="13" width="12.140625" bestFit="1" customWidth="1"/>
    <col min="14" max="14" width="18.7109375" bestFit="1" customWidth="1"/>
    <col min="15" max="15" width="13.85546875" bestFit="1" customWidth="1"/>
    <col min="16" max="16" width="14.140625" bestFit="1" customWidth="1"/>
    <col min="17" max="17" width="11.28515625" bestFit="1" customWidth="1"/>
    <col min="18" max="18" width="12.140625" bestFit="1" customWidth="1"/>
    <col min="19" max="19" width="22.42578125" bestFit="1" customWidth="1"/>
    <col min="20" max="20" width="16.28515625" bestFit="1" customWidth="1"/>
    <col min="21" max="21" width="25.5703125" bestFit="1" customWidth="1"/>
    <col min="22" max="22" width="23" bestFit="1" customWidth="1"/>
  </cols>
  <sheetData>
    <row r="1" spans="1:22" x14ac:dyDescent="0.25">
      <c r="A1" s="6" t="s">
        <v>235</v>
      </c>
      <c r="B1" s="6" t="s">
        <v>275</v>
      </c>
      <c r="C1" s="6" t="s">
        <v>276</v>
      </c>
      <c r="D1" s="6" t="s">
        <v>288</v>
      </c>
      <c r="E1" s="6" t="s">
        <v>198</v>
      </c>
      <c r="F1" s="6" t="s">
        <v>236</v>
      </c>
      <c r="G1" s="6" t="s">
        <v>277</v>
      </c>
      <c r="H1" s="6" t="s">
        <v>278</v>
      </c>
      <c r="I1" s="6" t="s">
        <v>237</v>
      </c>
      <c r="J1" s="6" t="s">
        <v>231</v>
      </c>
      <c r="K1" s="6" t="s">
        <v>238</v>
      </c>
      <c r="L1" s="6" t="s">
        <v>232</v>
      </c>
      <c r="M1" s="6" t="s">
        <v>239</v>
      </c>
      <c r="N1" s="6" t="s">
        <v>279</v>
      </c>
      <c r="O1" s="6" t="s">
        <v>280</v>
      </c>
      <c r="P1" s="6" t="s">
        <v>281</v>
      </c>
      <c r="Q1" s="6" t="s">
        <v>282</v>
      </c>
      <c r="R1" s="6" t="s">
        <v>283</v>
      </c>
      <c r="S1" s="6" t="s">
        <v>284</v>
      </c>
      <c r="T1" s="87" t="s">
        <v>285</v>
      </c>
      <c r="U1" s="87" t="s">
        <v>286</v>
      </c>
      <c r="V1" s="87" t="s">
        <v>287</v>
      </c>
    </row>
    <row r="2" spans="1:22" x14ac:dyDescent="0.25">
      <c r="A2" s="6">
        <v>1</v>
      </c>
      <c r="B2" s="6">
        <v>17150</v>
      </c>
      <c r="C2" s="6" t="s">
        <v>36</v>
      </c>
      <c r="D2" s="6" t="s">
        <v>289</v>
      </c>
      <c r="E2" s="6" t="s">
        <v>292</v>
      </c>
      <c r="F2" s="6" t="s">
        <v>223</v>
      </c>
      <c r="G2" s="6">
        <v>5</v>
      </c>
      <c r="H2" s="6">
        <v>5</v>
      </c>
      <c r="I2" s="76">
        <v>1</v>
      </c>
      <c r="J2" s="76">
        <v>1</v>
      </c>
      <c r="K2" s="76">
        <v>1</v>
      </c>
      <c r="L2" s="76">
        <v>1</v>
      </c>
      <c r="M2" s="76">
        <v>0.4</v>
      </c>
      <c r="N2" s="76">
        <v>1</v>
      </c>
      <c r="O2" s="76">
        <v>1</v>
      </c>
      <c r="P2" s="76">
        <v>1</v>
      </c>
      <c r="Q2" s="76">
        <v>1</v>
      </c>
      <c r="R2" s="59">
        <v>1</v>
      </c>
      <c r="S2" s="76">
        <v>1</v>
      </c>
      <c r="T2" s="6">
        <v>6</v>
      </c>
      <c r="U2" s="6">
        <v>6</v>
      </c>
      <c r="V2" s="76">
        <f>+U2/T2</f>
        <v>1</v>
      </c>
    </row>
    <row r="3" spans="1:22" x14ac:dyDescent="0.25">
      <c r="A3" s="6">
        <v>2</v>
      </c>
      <c r="B3" s="6">
        <v>17165</v>
      </c>
      <c r="C3" s="6" t="s">
        <v>92</v>
      </c>
      <c r="D3" s="6" t="s">
        <v>289</v>
      </c>
      <c r="E3" s="6" t="s">
        <v>296</v>
      </c>
      <c r="F3" s="6" t="s">
        <v>223</v>
      </c>
      <c r="G3" s="6">
        <v>1</v>
      </c>
      <c r="H3" s="6">
        <v>1</v>
      </c>
      <c r="I3" s="76">
        <v>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>
        <v>1</v>
      </c>
      <c r="Q3" s="76">
        <v>1</v>
      </c>
      <c r="R3" s="59">
        <v>1</v>
      </c>
      <c r="S3" s="76">
        <v>1</v>
      </c>
      <c r="T3" s="6">
        <v>6</v>
      </c>
      <c r="U3" s="6">
        <v>6</v>
      </c>
      <c r="V3" s="76">
        <f t="shared" ref="V3:V65" si="0">+U3/T3</f>
        <v>1</v>
      </c>
    </row>
    <row r="4" spans="1:22" x14ac:dyDescent="0.25">
      <c r="A4" s="6">
        <v>3</v>
      </c>
      <c r="B4" s="6">
        <v>17152</v>
      </c>
      <c r="C4" s="6" t="s">
        <v>38</v>
      </c>
      <c r="D4" s="6" t="s">
        <v>289</v>
      </c>
      <c r="E4" s="6" t="s">
        <v>292</v>
      </c>
      <c r="F4" s="6" t="s">
        <v>223</v>
      </c>
      <c r="G4" s="6">
        <v>5</v>
      </c>
      <c r="H4" s="6">
        <v>5</v>
      </c>
      <c r="I4" s="76">
        <v>1</v>
      </c>
      <c r="J4" s="76">
        <v>1</v>
      </c>
      <c r="K4" s="76">
        <v>1</v>
      </c>
      <c r="L4" s="76">
        <v>1</v>
      </c>
      <c r="M4" s="76">
        <v>0</v>
      </c>
      <c r="N4" s="76">
        <v>1</v>
      </c>
      <c r="O4" s="76">
        <v>1</v>
      </c>
      <c r="P4" s="76">
        <v>1</v>
      </c>
      <c r="Q4" s="76">
        <v>1</v>
      </c>
      <c r="R4" s="59">
        <v>1</v>
      </c>
      <c r="S4" s="76">
        <v>1</v>
      </c>
      <c r="T4" s="6">
        <v>9</v>
      </c>
      <c r="U4" s="6">
        <v>9</v>
      </c>
      <c r="V4" s="76">
        <f t="shared" si="0"/>
        <v>1</v>
      </c>
    </row>
    <row r="5" spans="1:22" x14ac:dyDescent="0.25">
      <c r="A5" s="6">
        <v>4</v>
      </c>
      <c r="B5" s="6">
        <v>17096</v>
      </c>
      <c r="C5" s="6" t="s">
        <v>48</v>
      </c>
      <c r="D5" s="6" t="s">
        <v>289</v>
      </c>
      <c r="E5" s="6" t="s">
        <v>274</v>
      </c>
      <c r="F5" s="6" t="s">
        <v>223</v>
      </c>
      <c r="G5" s="6">
        <v>2</v>
      </c>
      <c r="H5" s="6">
        <v>2</v>
      </c>
      <c r="I5" s="76">
        <v>1</v>
      </c>
      <c r="J5" s="76">
        <v>1</v>
      </c>
      <c r="K5" s="76">
        <v>1</v>
      </c>
      <c r="L5" s="76">
        <v>0.5</v>
      </c>
      <c r="M5" s="76">
        <v>1</v>
      </c>
      <c r="N5" s="76">
        <v>1</v>
      </c>
      <c r="O5" s="76">
        <v>1</v>
      </c>
      <c r="P5" s="76">
        <v>1</v>
      </c>
      <c r="Q5" s="76">
        <v>1</v>
      </c>
      <c r="R5" s="59">
        <v>1</v>
      </c>
      <c r="S5" s="76">
        <v>1</v>
      </c>
      <c r="T5" s="6">
        <v>5</v>
      </c>
      <c r="U5" s="6">
        <v>5</v>
      </c>
      <c r="V5" s="76">
        <f t="shared" si="0"/>
        <v>1</v>
      </c>
    </row>
    <row r="6" spans="1:22" x14ac:dyDescent="0.25">
      <c r="A6" s="6">
        <v>5</v>
      </c>
      <c r="B6" s="6">
        <v>17142</v>
      </c>
      <c r="C6" s="6" t="s">
        <v>28</v>
      </c>
      <c r="D6" s="6" t="s">
        <v>289</v>
      </c>
      <c r="E6" s="6" t="s">
        <v>292</v>
      </c>
      <c r="F6" s="6" t="s">
        <v>223</v>
      </c>
      <c r="G6" s="6">
        <v>16</v>
      </c>
      <c r="H6" s="6">
        <v>16</v>
      </c>
      <c r="I6" s="76">
        <v>1</v>
      </c>
      <c r="J6" s="76">
        <v>1</v>
      </c>
      <c r="K6" s="76">
        <v>1</v>
      </c>
      <c r="L6" s="76">
        <v>0.9375</v>
      </c>
      <c r="M6" s="76">
        <v>0</v>
      </c>
      <c r="N6" s="76">
        <v>1</v>
      </c>
      <c r="O6" s="76">
        <v>1</v>
      </c>
      <c r="P6" s="76">
        <v>1</v>
      </c>
      <c r="Q6" s="76">
        <v>1</v>
      </c>
      <c r="R6" s="59">
        <v>1</v>
      </c>
      <c r="S6" s="76">
        <v>1</v>
      </c>
      <c r="T6" s="6">
        <v>18</v>
      </c>
      <c r="U6" s="6">
        <v>18</v>
      </c>
      <c r="V6" s="76">
        <f t="shared" si="0"/>
        <v>1</v>
      </c>
    </row>
    <row r="7" spans="1:22" x14ac:dyDescent="0.25">
      <c r="A7" s="6">
        <v>6</v>
      </c>
      <c r="B7" s="6">
        <v>17149</v>
      </c>
      <c r="C7" s="6" t="s">
        <v>35</v>
      </c>
      <c r="D7" s="6" t="s">
        <v>289</v>
      </c>
      <c r="E7" s="6" t="s">
        <v>292</v>
      </c>
      <c r="F7" s="6" t="s">
        <v>223</v>
      </c>
      <c r="G7" s="6">
        <v>6</v>
      </c>
      <c r="H7" s="6">
        <v>6</v>
      </c>
      <c r="I7" s="76">
        <v>1</v>
      </c>
      <c r="J7" s="76">
        <v>1</v>
      </c>
      <c r="K7" s="76">
        <v>1</v>
      </c>
      <c r="L7" s="76">
        <v>1</v>
      </c>
      <c r="M7" s="76">
        <v>0.16666666666666666</v>
      </c>
      <c r="N7" s="76">
        <v>1</v>
      </c>
      <c r="O7" s="76">
        <v>1</v>
      </c>
      <c r="P7" s="76">
        <v>1</v>
      </c>
      <c r="Q7" s="76">
        <v>1</v>
      </c>
      <c r="R7" s="59">
        <v>1</v>
      </c>
      <c r="S7" s="76">
        <v>1</v>
      </c>
      <c r="T7" s="6">
        <v>7</v>
      </c>
      <c r="U7" s="6">
        <v>7</v>
      </c>
      <c r="V7" s="76">
        <f t="shared" si="0"/>
        <v>1</v>
      </c>
    </row>
    <row r="8" spans="1:22" x14ac:dyDescent="0.25">
      <c r="A8" s="6">
        <v>7</v>
      </c>
      <c r="B8" s="6">
        <v>16819</v>
      </c>
      <c r="C8" s="6" t="s">
        <v>63</v>
      </c>
      <c r="D8" s="6" t="s">
        <v>289</v>
      </c>
      <c r="E8" s="6" t="s">
        <v>294</v>
      </c>
      <c r="F8" s="6" t="s">
        <v>320</v>
      </c>
      <c r="G8" s="6">
        <v>9</v>
      </c>
      <c r="H8" s="6">
        <v>9</v>
      </c>
      <c r="I8" s="76">
        <v>1</v>
      </c>
      <c r="J8" s="76">
        <v>1</v>
      </c>
      <c r="K8" s="76">
        <v>0.22222222222222221</v>
      </c>
      <c r="L8" s="76">
        <v>0.33333333333333331</v>
      </c>
      <c r="M8" s="76">
        <v>0.33333333333333331</v>
      </c>
      <c r="N8" s="76">
        <v>1</v>
      </c>
      <c r="O8" s="76">
        <v>1</v>
      </c>
      <c r="P8" s="76">
        <v>1</v>
      </c>
      <c r="Q8" s="76">
        <v>1</v>
      </c>
      <c r="R8" s="59">
        <v>1</v>
      </c>
      <c r="S8" s="76">
        <v>1</v>
      </c>
      <c r="T8" s="6">
        <v>13</v>
      </c>
      <c r="U8" s="6">
        <v>13</v>
      </c>
      <c r="V8" s="76">
        <f t="shared" si="0"/>
        <v>1</v>
      </c>
    </row>
    <row r="9" spans="1:22" x14ac:dyDescent="0.25">
      <c r="A9" s="6">
        <v>8</v>
      </c>
      <c r="B9" s="6">
        <v>17074</v>
      </c>
      <c r="C9" s="6" t="s">
        <v>10</v>
      </c>
      <c r="D9" s="6" t="s">
        <v>289</v>
      </c>
      <c r="E9" s="6" t="s">
        <v>291</v>
      </c>
      <c r="F9" s="6" t="s">
        <v>223</v>
      </c>
      <c r="G9" s="6">
        <v>9</v>
      </c>
      <c r="H9" s="6">
        <v>9</v>
      </c>
      <c r="I9" s="76">
        <v>1</v>
      </c>
      <c r="J9" s="76">
        <v>1</v>
      </c>
      <c r="K9" s="76">
        <v>0.88888888888888884</v>
      </c>
      <c r="L9" s="76">
        <v>1</v>
      </c>
      <c r="M9" s="76">
        <v>0.77777777777777779</v>
      </c>
      <c r="N9" s="76">
        <v>1</v>
      </c>
      <c r="O9" s="76">
        <v>1</v>
      </c>
      <c r="P9" s="76">
        <v>1</v>
      </c>
      <c r="Q9" s="76">
        <v>1</v>
      </c>
      <c r="R9" s="59">
        <v>1</v>
      </c>
      <c r="S9" s="76">
        <v>1</v>
      </c>
      <c r="T9" s="6">
        <v>31</v>
      </c>
      <c r="U9" s="6">
        <v>31</v>
      </c>
      <c r="V9" s="76">
        <f t="shared" si="0"/>
        <v>1</v>
      </c>
    </row>
    <row r="10" spans="1:22" x14ac:dyDescent="0.25">
      <c r="A10" s="6">
        <v>9</v>
      </c>
      <c r="B10" s="6">
        <v>17169</v>
      </c>
      <c r="C10" s="6" t="s">
        <v>96</v>
      </c>
      <c r="D10" s="6" t="s">
        <v>289</v>
      </c>
      <c r="E10" s="6" t="s">
        <v>296</v>
      </c>
      <c r="F10" s="6" t="s">
        <v>223</v>
      </c>
      <c r="G10" s="6">
        <v>7</v>
      </c>
      <c r="H10" s="6">
        <v>7</v>
      </c>
      <c r="I10" s="76">
        <v>1</v>
      </c>
      <c r="J10" s="76">
        <v>1</v>
      </c>
      <c r="K10" s="76">
        <v>1</v>
      </c>
      <c r="L10" s="76">
        <v>1</v>
      </c>
      <c r="M10" s="76">
        <v>0</v>
      </c>
      <c r="N10" s="76">
        <v>1</v>
      </c>
      <c r="O10" s="76">
        <v>1</v>
      </c>
      <c r="P10" s="76">
        <v>1</v>
      </c>
      <c r="Q10" s="76">
        <v>1</v>
      </c>
      <c r="R10" s="59">
        <v>1</v>
      </c>
      <c r="S10" s="76">
        <v>1</v>
      </c>
      <c r="T10" s="6">
        <v>15</v>
      </c>
      <c r="U10" s="6">
        <v>15</v>
      </c>
      <c r="V10" s="76">
        <f t="shared" si="0"/>
        <v>1</v>
      </c>
    </row>
    <row r="11" spans="1:22" x14ac:dyDescent="0.25">
      <c r="A11" s="6">
        <v>11</v>
      </c>
      <c r="B11" s="6">
        <v>17148</v>
      </c>
      <c r="C11" s="6" t="s">
        <v>34</v>
      </c>
      <c r="D11" s="6" t="s">
        <v>289</v>
      </c>
      <c r="E11" s="6" t="s">
        <v>292</v>
      </c>
      <c r="F11" s="6" t="s">
        <v>223</v>
      </c>
      <c r="G11" s="6">
        <v>5</v>
      </c>
      <c r="H11" s="6">
        <v>5</v>
      </c>
      <c r="I11" s="76">
        <v>1</v>
      </c>
      <c r="J11" s="76">
        <v>1</v>
      </c>
      <c r="K11" s="76">
        <v>1</v>
      </c>
      <c r="L11" s="76">
        <v>1</v>
      </c>
      <c r="M11" s="76">
        <v>0</v>
      </c>
      <c r="N11" s="76">
        <v>1</v>
      </c>
      <c r="O11" s="76">
        <v>1</v>
      </c>
      <c r="P11" s="76">
        <v>1</v>
      </c>
      <c r="Q11" s="76">
        <v>1</v>
      </c>
      <c r="R11" s="59">
        <v>1</v>
      </c>
      <c r="S11" s="76">
        <v>1</v>
      </c>
      <c r="T11" s="6">
        <v>8</v>
      </c>
      <c r="U11" s="6">
        <v>8</v>
      </c>
      <c r="V11" s="76">
        <f t="shared" si="0"/>
        <v>1</v>
      </c>
    </row>
    <row r="12" spans="1:22" x14ac:dyDescent="0.25">
      <c r="A12" s="6">
        <v>12</v>
      </c>
      <c r="B12" s="6">
        <v>17147</v>
      </c>
      <c r="C12" s="6" t="s">
        <v>33</v>
      </c>
      <c r="D12" s="6" t="s">
        <v>289</v>
      </c>
      <c r="E12" s="6" t="s">
        <v>292</v>
      </c>
      <c r="F12" s="6" t="s">
        <v>223</v>
      </c>
      <c r="G12" s="6">
        <v>10</v>
      </c>
      <c r="H12" s="6">
        <v>10</v>
      </c>
      <c r="I12" s="76">
        <v>1</v>
      </c>
      <c r="J12" s="76">
        <v>1</v>
      </c>
      <c r="K12" s="76">
        <v>1</v>
      </c>
      <c r="L12" s="76">
        <v>1</v>
      </c>
      <c r="M12" s="76">
        <v>0.5</v>
      </c>
      <c r="N12" s="76">
        <v>1</v>
      </c>
      <c r="O12" s="76">
        <v>1</v>
      </c>
      <c r="P12" s="76">
        <v>1</v>
      </c>
      <c r="Q12" s="76">
        <v>1</v>
      </c>
      <c r="R12" s="59">
        <v>1</v>
      </c>
      <c r="S12" s="76">
        <v>1</v>
      </c>
      <c r="T12" s="6">
        <v>8</v>
      </c>
      <c r="U12" s="6">
        <v>8</v>
      </c>
      <c r="V12" s="76">
        <f t="shared" si="0"/>
        <v>1</v>
      </c>
    </row>
    <row r="13" spans="1:22" x14ac:dyDescent="0.25">
      <c r="A13" s="6">
        <v>13</v>
      </c>
      <c r="B13" s="6">
        <v>16842</v>
      </c>
      <c r="C13" s="6" t="s">
        <v>170</v>
      </c>
      <c r="D13" s="6" t="s">
        <v>289</v>
      </c>
      <c r="E13" s="6" t="s">
        <v>321</v>
      </c>
      <c r="F13" s="6" t="s">
        <v>322</v>
      </c>
      <c r="G13" s="6">
        <v>9</v>
      </c>
      <c r="H13" s="6">
        <v>9</v>
      </c>
      <c r="I13" s="76">
        <v>1</v>
      </c>
      <c r="J13" s="76">
        <v>1</v>
      </c>
      <c r="K13" s="76">
        <v>1</v>
      </c>
      <c r="L13" s="76">
        <v>1</v>
      </c>
      <c r="M13" s="76">
        <v>0.77777777777777779</v>
      </c>
      <c r="N13" s="76">
        <v>0.61538461538461542</v>
      </c>
      <c r="O13" s="76">
        <v>1</v>
      </c>
      <c r="P13" s="76">
        <v>1</v>
      </c>
      <c r="Q13" s="76">
        <v>1</v>
      </c>
      <c r="R13" s="59">
        <v>1</v>
      </c>
      <c r="S13" s="76">
        <v>1</v>
      </c>
      <c r="T13" s="6">
        <v>39</v>
      </c>
      <c r="U13" s="6">
        <v>24</v>
      </c>
      <c r="V13" s="76">
        <f t="shared" si="0"/>
        <v>0.61538461538461542</v>
      </c>
    </row>
    <row r="14" spans="1:22" x14ac:dyDescent="0.25">
      <c r="A14" s="6">
        <v>14</v>
      </c>
      <c r="B14" s="6">
        <v>16845</v>
      </c>
      <c r="C14" s="6" t="s">
        <v>71</v>
      </c>
      <c r="D14" s="6" t="s">
        <v>289</v>
      </c>
      <c r="E14" s="6" t="s">
        <v>294</v>
      </c>
      <c r="F14" s="6" t="s">
        <v>320</v>
      </c>
      <c r="G14" s="6">
        <v>9</v>
      </c>
      <c r="H14" s="6">
        <v>7</v>
      </c>
      <c r="I14" s="76">
        <v>0.77777777777777779</v>
      </c>
      <c r="J14" s="76">
        <v>0.77777777777777779</v>
      </c>
      <c r="K14" s="76">
        <v>0.77777777777777779</v>
      </c>
      <c r="L14" s="76">
        <v>0.77777777777777779</v>
      </c>
      <c r="M14" s="76">
        <v>0.1111111111111111</v>
      </c>
      <c r="N14" s="76">
        <v>1</v>
      </c>
      <c r="O14" s="76">
        <v>0.77777777777777779</v>
      </c>
      <c r="P14" s="76">
        <v>0.77777777777777779</v>
      </c>
      <c r="Q14" s="76">
        <v>0.77777777777777779</v>
      </c>
      <c r="R14" s="59">
        <v>0.77777777777777779</v>
      </c>
      <c r="S14" s="76">
        <v>0.77777777777777779</v>
      </c>
      <c r="T14" s="6">
        <v>12</v>
      </c>
      <c r="U14" s="6">
        <v>12</v>
      </c>
      <c r="V14" s="76">
        <f t="shared" si="0"/>
        <v>1</v>
      </c>
    </row>
    <row r="15" spans="1:22" x14ac:dyDescent="0.25">
      <c r="A15" s="6">
        <v>15</v>
      </c>
      <c r="B15" s="6">
        <v>17155</v>
      </c>
      <c r="C15" s="6" t="s">
        <v>41</v>
      </c>
      <c r="D15" s="6" t="s">
        <v>289</v>
      </c>
      <c r="E15" s="6" t="s">
        <v>292</v>
      </c>
      <c r="F15" s="6" t="s">
        <v>223</v>
      </c>
      <c r="G15" s="6">
        <v>8</v>
      </c>
      <c r="H15" s="6">
        <v>8</v>
      </c>
      <c r="I15" s="76">
        <v>1</v>
      </c>
      <c r="J15" s="76">
        <v>1</v>
      </c>
      <c r="K15" s="76">
        <v>1</v>
      </c>
      <c r="L15" s="76">
        <v>1</v>
      </c>
      <c r="M15" s="76">
        <v>0.125</v>
      </c>
      <c r="N15" s="76">
        <v>1</v>
      </c>
      <c r="O15" s="76">
        <v>1</v>
      </c>
      <c r="P15" s="76">
        <v>1</v>
      </c>
      <c r="Q15" s="76">
        <v>1</v>
      </c>
      <c r="R15" s="59">
        <v>1</v>
      </c>
      <c r="S15" s="76">
        <v>1</v>
      </c>
      <c r="T15" s="6">
        <v>17</v>
      </c>
      <c r="U15" s="6">
        <v>17</v>
      </c>
      <c r="V15" s="76">
        <f t="shared" si="0"/>
        <v>1</v>
      </c>
    </row>
    <row r="16" spans="1:22" x14ac:dyDescent="0.25">
      <c r="A16" s="6">
        <v>16</v>
      </c>
      <c r="B16" s="6">
        <v>17125</v>
      </c>
      <c r="C16" s="6" t="s">
        <v>126</v>
      </c>
      <c r="D16" s="6" t="s">
        <v>289</v>
      </c>
      <c r="E16" s="6" t="s">
        <v>274</v>
      </c>
      <c r="F16" s="6" t="s">
        <v>223</v>
      </c>
      <c r="G16" s="6">
        <v>1</v>
      </c>
      <c r="H16" s="6">
        <v>1</v>
      </c>
      <c r="I16" s="76">
        <v>1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0</v>
      </c>
      <c r="P16" s="76">
        <v>1</v>
      </c>
      <c r="Q16" s="76">
        <v>0</v>
      </c>
      <c r="R16" s="59">
        <v>0</v>
      </c>
      <c r="S16" s="76">
        <v>0</v>
      </c>
      <c r="T16" s="6">
        <v>0</v>
      </c>
      <c r="U16" s="6">
        <v>0</v>
      </c>
      <c r="V16" s="76">
        <v>1</v>
      </c>
    </row>
    <row r="17" spans="1:22" x14ac:dyDescent="0.25">
      <c r="A17" s="6">
        <v>17</v>
      </c>
      <c r="B17" s="6">
        <v>16691</v>
      </c>
      <c r="C17" s="6" t="s">
        <v>74</v>
      </c>
      <c r="D17" s="6" t="s">
        <v>289</v>
      </c>
      <c r="E17" s="6" t="s">
        <v>295</v>
      </c>
      <c r="F17" s="6" t="s">
        <v>320</v>
      </c>
      <c r="G17" s="6">
        <v>24</v>
      </c>
      <c r="H17" s="6">
        <v>22</v>
      </c>
      <c r="I17" s="76">
        <v>0.91666666666666663</v>
      </c>
      <c r="J17" s="76">
        <v>0.91666666666666663</v>
      </c>
      <c r="K17" s="76">
        <v>0.25</v>
      </c>
      <c r="L17" s="76">
        <v>0.91666666666666663</v>
      </c>
      <c r="M17" s="76">
        <v>0.95833333333333337</v>
      </c>
      <c r="N17" s="76">
        <v>0.96666666666666667</v>
      </c>
      <c r="O17" s="76">
        <v>0.95833333333333337</v>
      </c>
      <c r="P17" s="76">
        <v>0.95833333333333337</v>
      </c>
      <c r="Q17" s="76">
        <v>0.95833333333333337</v>
      </c>
      <c r="R17" s="59">
        <v>0.95833333333333337</v>
      </c>
      <c r="S17" s="76">
        <v>0.95833333333333337</v>
      </c>
      <c r="T17" s="6">
        <v>60</v>
      </c>
      <c r="U17" s="6">
        <v>58</v>
      </c>
      <c r="V17" s="76">
        <f t="shared" si="0"/>
        <v>0.96666666666666667</v>
      </c>
    </row>
    <row r="18" spans="1:22" x14ac:dyDescent="0.25">
      <c r="A18" s="6">
        <v>18</v>
      </c>
      <c r="B18" s="6">
        <v>16821</v>
      </c>
      <c r="C18" s="6" t="s">
        <v>66</v>
      </c>
      <c r="D18" s="6" t="s">
        <v>289</v>
      </c>
      <c r="E18" s="6" t="s">
        <v>294</v>
      </c>
      <c r="F18" s="6" t="s">
        <v>320</v>
      </c>
      <c r="G18" s="6">
        <v>2</v>
      </c>
      <c r="H18" s="6">
        <v>1</v>
      </c>
      <c r="I18" s="76">
        <v>0.5</v>
      </c>
      <c r="J18" s="76">
        <v>0.5</v>
      </c>
      <c r="K18" s="76">
        <v>0.5</v>
      </c>
      <c r="L18" s="76">
        <v>0.5</v>
      </c>
      <c r="M18" s="76">
        <v>0</v>
      </c>
      <c r="N18" s="76">
        <v>1</v>
      </c>
      <c r="O18" s="76">
        <v>0.5</v>
      </c>
      <c r="P18" s="76">
        <v>0.5</v>
      </c>
      <c r="Q18" s="76">
        <v>0.5</v>
      </c>
      <c r="R18" s="59">
        <v>0.5</v>
      </c>
      <c r="S18" s="76">
        <v>0.5</v>
      </c>
      <c r="T18" s="6">
        <v>2</v>
      </c>
      <c r="U18" s="6">
        <v>2</v>
      </c>
      <c r="V18" s="76">
        <f t="shared" si="0"/>
        <v>1</v>
      </c>
    </row>
    <row r="19" spans="1:22" x14ac:dyDescent="0.25">
      <c r="A19" s="6">
        <v>19</v>
      </c>
      <c r="B19" s="6">
        <v>17134</v>
      </c>
      <c r="C19" s="6" t="s">
        <v>135</v>
      </c>
      <c r="D19" s="6" t="s">
        <v>289</v>
      </c>
      <c r="E19" s="6" t="s">
        <v>293</v>
      </c>
      <c r="F19" s="6" t="s">
        <v>223</v>
      </c>
      <c r="G19" s="6">
        <v>17</v>
      </c>
      <c r="H19" s="6">
        <v>17</v>
      </c>
      <c r="I19" s="76">
        <v>1</v>
      </c>
      <c r="J19" s="76">
        <v>1</v>
      </c>
      <c r="K19" s="76">
        <v>1</v>
      </c>
      <c r="L19" s="76">
        <v>1</v>
      </c>
      <c r="M19" s="76">
        <v>5.8823529411764705E-2</v>
      </c>
      <c r="N19" s="76">
        <v>0.9285714285714286</v>
      </c>
      <c r="O19" s="76">
        <v>1</v>
      </c>
      <c r="P19" s="76">
        <v>1</v>
      </c>
      <c r="Q19" s="76">
        <v>1</v>
      </c>
      <c r="R19" s="59">
        <v>1</v>
      </c>
      <c r="S19" s="76">
        <v>1</v>
      </c>
      <c r="T19" s="6">
        <v>14</v>
      </c>
      <c r="U19" s="6">
        <v>13</v>
      </c>
      <c r="V19" s="76">
        <f t="shared" si="0"/>
        <v>0.9285714285714286</v>
      </c>
    </row>
    <row r="20" spans="1:22" x14ac:dyDescent="0.25">
      <c r="A20" s="6">
        <v>20</v>
      </c>
      <c r="B20" s="6">
        <v>16816</v>
      </c>
      <c r="C20" s="6" t="s">
        <v>105</v>
      </c>
      <c r="D20" s="6" t="s">
        <v>289</v>
      </c>
      <c r="E20" s="6" t="s">
        <v>297</v>
      </c>
      <c r="F20" s="6" t="s">
        <v>322</v>
      </c>
      <c r="G20" s="6">
        <v>18</v>
      </c>
      <c r="H20" s="6">
        <v>18</v>
      </c>
      <c r="I20" s="76">
        <v>1</v>
      </c>
      <c r="J20" s="76">
        <v>1</v>
      </c>
      <c r="K20" s="76">
        <v>0.94444444444444442</v>
      </c>
      <c r="L20" s="76">
        <v>1</v>
      </c>
      <c r="M20" s="76">
        <v>0.55555555555555558</v>
      </c>
      <c r="N20" s="76">
        <v>0.95833333333333337</v>
      </c>
      <c r="O20" s="76">
        <v>1</v>
      </c>
      <c r="P20" s="76">
        <v>1</v>
      </c>
      <c r="Q20" s="76">
        <v>1</v>
      </c>
      <c r="R20" s="59">
        <v>1</v>
      </c>
      <c r="S20" s="76">
        <v>1</v>
      </c>
      <c r="T20" s="6">
        <v>24</v>
      </c>
      <c r="U20" s="6">
        <v>23</v>
      </c>
      <c r="V20" s="76">
        <f t="shared" si="0"/>
        <v>0.95833333333333337</v>
      </c>
    </row>
    <row r="21" spans="1:22" x14ac:dyDescent="0.25">
      <c r="A21" s="6">
        <v>21</v>
      </c>
      <c r="B21" s="6">
        <v>17094</v>
      </c>
      <c r="C21" s="6" t="s">
        <v>46</v>
      </c>
      <c r="D21" s="6" t="s">
        <v>289</v>
      </c>
      <c r="E21" s="6" t="s">
        <v>274</v>
      </c>
      <c r="F21" s="6" t="s">
        <v>223</v>
      </c>
      <c r="G21" s="6">
        <v>11</v>
      </c>
      <c r="H21" s="6">
        <v>11</v>
      </c>
      <c r="I21" s="76">
        <v>1</v>
      </c>
      <c r="J21" s="76">
        <v>1</v>
      </c>
      <c r="K21" s="76">
        <v>1</v>
      </c>
      <c r="L21" s="76">
        <v>0.63636363636363635</v>
      </c>
      <c r="M21" s="76">
        <v>0.18181818181818182</v>
      </c>
      <c r="N21" s="76">
        <v>1</v>
      </c>
      <c r="O21" s="76">
        <v>1</v>
      </c>
      <c r="P21" s="76">
        <v>1</v>
      </c>
      <c r="Q21" s="76">
        <v>1</v>
      </c>
      <c r="R21" s="59">
        <v>1</v>
      </c>
      <c r="S21" s="76">
        <v>1</v>
      </c>
      <c r="T21" s="6">
        <v>16</v>
      </c>
      <c r="U21" s="6">
        <v>16</v>
      </c>
      <c r="V21" s="76">
        <f t="shared" si="0"/>
        <v>1</v>
      </c>
    </row>
    <row r="22" spans="1:22" x14ac:dyDescent="0.25">
      <c r="A22" s="6">
        <v>22</v>
      </c>
      <c r="B22" s="6">
        <v>16814</v>
      </c>
      <c r="C22" s="6" t="s">
        <v>62</v>
      </c>
      <c r="D22" s="6" t="s">
        <v>289</v>
      </c>
      <c r="E22" s="6" t="s">
        <v>294</v>
      </c>
      <c r="F22" s="6" t="s">
        <v>320</v>
      </c>
      <c r="G22" s="6">
        <v>18</v>
      </c>
      <c r="H22" s="6">
        <v>18</v>
      </c>
      <c r="I22" s="76">
        <v>1</v>
      </c>
      <c r="J22" s="76">
        <v>1</v>
      </c>
      <c r="K22" s="76">
        <v>0.27777777777777779</v>
      </c>
      <c r="L22" s="76">
        <v>0.33333333333333331</v>
      </c>
      <c r="M22" s="76">
        <v>0.16666666666666666</v>
      </c>
      <c r="N22" s="76">
        <v>0.40909090909090912</v>
      </c>
      <c r="O22" s="76">
        <v>1</v>
      </c>
      <c r="P22" s="76">
        <v>1</v>
      </c>
      <c r="Q22" s="76">
        <v>1</v>
      </c>
      <c r="R22" s="59">
        <v>1</v>
      </c>
      <c r="S22" s="76">
        <v>1</v>
      </c>
      <c r="T22" s="6">
        <v>22</v>
      </c>
      <c r="U22" s="6">
        <v>9</v>
      </c>
      <c r="V22" s="76">
        <f t="shared" si="0"/>
        <v>0.40909090909090912</v>
      </c>
    </row>
    <row r="23" spans="1:22" x14ac:dyDescent="0.25">
      <c r="A23" s="6">
        <v>23</v>
      </c>
      <c r="B23" s="6">
        <v>17146</v>
      </c>
      <c r="C23" s="6" t="s">
        <v>32</v>
      </c>
      <c r="D23" s="6" t="s">
        <v>289</v>
      </c>
      <c r="E23" s="6" t="s">
        <v>292</v>
      </c>
      <c r="F23" s="6" t="s">
        <v>223</v>
      </c>
      <c r="G23" s="6">
        <v>18</v>
      </c>
      <c r="H23" s="6">
        <v>18</v>
      </c>
      <c r="I23" s="76">
        <v>1</v>
      </c>
      <c r="J23" s="76">
        <v>0.94444444444444442</v>
      </c>
      <c r="K23" s="76">
        <v>0.66666666666666663</v>
      </c>
      <c r="L23" s="76">
        <v>0.94444444444444442</v>
      </c>
      <c r="M23" s="76">
        <v>0</v>
      </c>
      <c r="N23" s="76">
        <v>1</v>
      </c>
      <c r="O23" s="76">
        <v>0.94444444444444442</v>
      </c>
      <c r="P23" s="76">
        <v>0.94444444444444442</v>
      </c>
      <c r="Q23" s="76">
        <v>0.94444444444444442</v>
      </c>
      <c r="R23" s="59">
        <v>1</v>
      </c>
      <c r="S23" s="76">
        <v>0.94444444444444442</v>
      </c>
      <c r="T23" s="6">
        <v>8</v>
      </c>
      <c r="U23" s="6">
        <v>8</v>
      </c>
      <c r="V23" s="76">
        <f t="shared" si="0"/>
        <v>1</v>
      </c>
    </row>
    <row r="24" spans="1:22" x14ac:dyDescent="0.25">
      <c r="A24" s="6">
        <v>24</v>
      </c>
      <c r="B24" s="6">
        <v>17095</v>
      </c>
      <c r="C24" s="6" t="s">
        <v>47</v>
      </c>
      <c r="D24" s="6" t="s">
        <v>289</v>
      </c>
      <c r="E24" s="6" t="s">
        <v>274</v>
      </c>
      <c r="F24" s="6" t="s">
        <v>223</v>
      </c>
      <c r="G24" s="6">
        <v>1</v>
      </c>
      <c r="H24" s="6">
        <v>1</v>
      </c>
      <c r="I24" s="76">
        <v>1</v>
      </c>
      <c r="J24" s="76">
        <v>1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>
        <v>1</v>
      </c>
      <c r="Q24" s="76">
        <v>1</v>
      </c>
      <c r="R24" s="59">
        <v>1</v>
      </c>
      <c r="S24" s="76">
        <v>1</v>
      </c>
      <c r="T24" s="6">
        <v>4</v>
      </c>
      <c r="U24" s="6">
        <v>4</v>
      </c>
      <c r="V24" s="76">
        <f t="shared" si="0"/>
        <v>1</v>
      </c>
    </row>
    <row r="25" spans="1:22" x14ac:dyDescent="0.25">
      <c r="A25" s="6">
        <v>25</v>
      </c>
      <c r="B25" s="6">
        <v>17158</v>
      </c>
      <c r="C25" s="6" t="s">
        <v>85</v>
      </c>
      <c r="D25" s="6" t="s">
        <v>289</v>
      </c>
      <c r="E25" s="6" t="s">
        <v>296</v>
      </c>
      <c r="F25" s="6" t="s">
        <v>223</v>
      </c>
      <c r="G25" s="6">
        <v>9</v>
      </c>
      <c r="H25" s="6">
        <v>9</v>
      </c>
      <c r="I25" s="76">
        <v>1</v>
      </c>
      <c r="J25" s="76">
        <v>1</v>
      </c>
      <c r="K25" s="76">
        <v>1</v>
      </c>
      <c r="L25" s="76">
        <v>1</v>
      </c>
      <c r="M25" s="76">
        <v>0.22222222222222221</v>
      </c>
      <c r="N25" s="76">
        <v>1</v>
      </c>
      <c r="O25" s="76">
        <v>1</v>
      </c>
      <c r="P25" s="76">
        <v>1</v>
      </c>
      <c r="Q25" s="76">
        <v>1</v>
      </c>
      <c r="R25" s="59">
        <v>1</v>
      </c>
      <c r="S25" s="76">
        <v>1</v>
      </c>
      <c r="T25" s="6">
        <v>8</v>
      </c>
      <c r="U25" s="6">
        <v>8</v>
      </c>
      <c r="V25" s="76">
        <f t="shared" si="0"/>
        <v>1</v>
      </c>
    </row>
    <row r="26" spans="1:22" x14ac:dyDescent="0.25">
      <c r="A26" s="6">
        <v>26</v>
      </c>
      <c r="B26" s="6">
        <v>16894</v>
      </c>
      <c r="C26" s="6" t="s">
        <v>141</v>
      </c>
      <c r="D26" s="6" t="s">
        <v>289</v>
      </c>
      <c r="E26" s="6" t="s">
        <v>298</v>
      </c>
      <c r="F26" s="6" t="s">
        <v>320</v>
      </c>
      <c r="G26" s="6">
        <v>5</v>
      </c>
      <c r="H26" s="6">
        <v>4</v>
      </c>
      <c r="I26" s="76">
        <v>0.8</v>
      </c>
      <c r="J26" s="76">
        <v>1</v>
      </c>
      <c r="K26" s="76">
        <v>0.6</v>
      </c>
      <c r="L26" s="76">
        <v>0.8</v>
      </c>
      <c r="M26" s="76">
        <v>0.8</v>
      </c>
      <c r="N26" s="76">
        <v>0.81818181818181823</v>
      </c>
      <c r="O26" s="76">
        <v>1</v>
      </c>
      <c r="P26" s="76">
        <v>1</v>
      </c>
      <c r="Q26" s="76">
        <v>1</v>
      </c>
      <c r="R26" s="59">
        <v>1</v>
      </c>
      <c r="S26" s="76">
        <v>1</v>
      </c>
      <c r="T26" s="6">
        <v>11</v>
      </c>
      <c r="U26" s="6">
        <v>9</v>
      </c>
      <c r="V26" s="76">
        <f t="shared" si="0"/>
        <v>0.81818181818181823</v>
      </c>
    </row>
    <row r="27" spans="1:22" x14ac:dyDescent="0.25">
      <c r="A27" s="6">
        <v>27</v>
      </c>
      <c r="B27" s="6">
        <v>17123</v>
      </c>
      <c r="C27" s="6" t="s">
        <v>124</v>
      </c>
      <c r="D27" s="6" t="s">
        <v>289</v>
      </c>
      <c r="E27" s="6" t="s">
        <v>293</v>
      </c>
      <c r="F27" s="6" t="s">
        <v>223</v>
      </c>
      <c r="G27" s="6">
        <v>12</v>
      </c>
      <c r="H27" s="6">
        <v>12</v>
      </c>
      <c r="I27" s="76">
        <v>1</v>
      </c>
      <c r="J27" s="76">
        <v>1</v>
      </c>
      <c r="K27" s="76">
        <v>1</v>
      </c>
      <c r="L27" s="76">
        <v>1</v>
      </c>
      <c r="M27" s="76">
        <v>0.41666666666666669</v>
      </c>
      <c r="N27" s="76">
        <v>1</v>
      </c>
      <c r="O27" s="76">
        <v>1</v>
      </c>
      <c r="P27" s="76">
        <v>1</v>
      </c>
      <c r="Q27" s="76">
        <v>1</v>
      </c>
      <c r="R27" s="59">
        <v>1</v>
      </c>
      <c r="S27" s="76">
        <v>1</v>
      </c>
      <c r="T27" s="6">
        <v>13</v>
      </c>
      <c r="U27" s="6">
        <v>13</v>
      </c>
      <c r="V27" s="76">
        <f t="shared" si="0"/>
        <v>1</v>
      </c>
    </row>
    <row r="28" spans="1:22" x14ac:dyDescent="0.25">
      <c r="A28" s="6">
        <v>28</v>
      </c>
      <c r="B28" s="6">
        <v>17126</v>
      </c>
      <c r="C28" s="6" t="s">
        <v>127</v>
      </c>
      <c r="D28" s="6" t="s">
        <v>289</v>
      </c>
      <c r="E28" s="6" t="s">
        <v>293</v>
      </c>
      <c r="F28" s="6" t="s">
        <v>223</v>
      </c>
      <c r="G28" s="6">
        <v>9</v>
      </c>
      <c r="H28" s="6">
        <v>9</v>
      </c>
      <c r="I28" s="76">
        <v>1</v>
      </c>
      <c r="J28" s="76">
        <v>1</v>
      </c>
      <c r="K28" s="76">
        <v>0.33333333333333331</v>
      </c>
      <c r="L28" s="76">
        <v>1</v>
      </c>
      <c r="M28" s="76">
        <v>0.22222222222222221</v>
      </c>
      <c r="N28" s="76">
        <v>1</v>
      </c>
      <c r="O28" s="76">
        <v>1</v>
      </c>
      <c r="P28" s="76">
        <v>1</v>
      </c>
      <c r="Q28" s="76">
        <v>1</v>
      </c>
      <c r="R28" s="59">
        <v>1</v>
      </c>
      <c r="S28" s="76">
        <v>1</v>
      </c>
      <c r="T28" s="6">
        <v>12</v>
      </c>
      <c r="U28" s="6">
        <v>12</v>
      </c>
      <c r="V28" s="76">
        <f t="shared" si="0"/>
        <v>1</v>
      </c>
    </row>
    <row r="29" spans="1:22" x14ac:dyDescent="0.25">
      <c r="A29" s="6">
        <v>30</v>
      </c>
      <c r="B29" s="6">
        <v>16784</v>
      </c>
      <c r="C29" s="6" t="s">
        <v>158</v>
      </c>
      <c r="D29" s="6" t="s">
        <v>289</v>
      </c>
      <c r="E29" s="6" t="s">
        <v>321</v>
      </c>
      <c r="F29" s="6" t="s">
        <v>322</v>
      </c>
      <c r="G29" s="6">
        <v>7</v>
      </c>
      <c r="H29" s="6">
        <v>6</v>
      </c>
      <c r="I29" s="76">
        <v>0.8571428571428571</v>
      </c>
      <c r="J29" s="76">
        <v>0.8571428571428571</v>
      </c>
      <c r="K29" s="76">
        <v>0.7142857142857143</v>
      </c>
      <c r="L29" s="76">
        <v>0.8571428571428571</v>
      </c>
      <c r="M29" s="76">
        <v>0.5714285714285714</v>
      </c>
      <c r="N29" s="76">
        <v>0.53846153846153844</v>
      </c>
      <c r="O29" s="76">
        <v>0.8571428571428571</v>
      </c>
      <c r="P29" s="76">
        <v>0.8571428571428571</v>
      </c>
      <c r="Q29" s="76">
        <v>0.8571428571428571</v>
      </c>
      <c r="R29" s="59">
        <v>0.8571428571428571</v>
      </c>
      <c r="S29" s="76">
        <v>0.8571428571428571</v>
      </c>
      <c r="T29" s="6">
        <v>13</v>
      </c>
      <c r="U29" s="6">
        <v>7</v>
      </c>
      <c r="V29" s="76">
        <f t="shared" si="0"/>
        <v>0.53846153846153844</v>
      </c>
    </row>
    <row r="30" spans="1:22" x14ac:dyDescent="0.25">
      <c r="A30" s="6">
        <v>31</v>
      </c>
      <c r="B30" s="6">
        <v>17128</v>
      </c>
      <c r="C30" s="6" t="s">
        <v>129</v>
      </c>
      <c r="D30" s="6" t="s">
        <v>289</v>
      </c>
      <c r="E30" s="6" t="s">
        <v>293</v>
      </c>
      <c r="F30" s="6" t="s">
        <v>223</v>
      </c>
      <c r="G30" s="6">
        <v>7</v>
      </c>
      <c r="H30" s="6">
        <v>7</v>
      </c>
      <c r="I30" s="76">
        <v>1</v>
      </c>
      <c r="J30" s="76">
        <v>1</v>
      </c>
      <c r="K30" s="76">
        <v>0.42857142857142855</v>
      </c>
      <c r="L30" s="76">
        <v>1</v>
      </c>
      <c r="M30" s="76">
        <v>0.5714285714285714</v>
      </c>
      <c r="N30" s="76">
        <v>0.84615384615384615</v>
      </c>
      <c r="O30" s="76">
        <v>1</v>
      </c>
      <c r="P30" s="76">
        <v>1</v>
      </c>
      <c r="Q30" s="76">
        <v>1</v>
      </c>
      <c r="R30" s="59">
        <v>1</v>
      </c>
      <c r="S30" s="76">
        <v>1</v>
      </c>
      <c r="T30" s="6">
        <v>13</v>
      </c>
      <c r="U30" s="6">
        <v>11</v>
      </c>
      <c r="V30" s="76">
        <f t="shared" si="0"/>
        <v>0.84615384615384615</v>
      </c>
    </row>
    <row r="31" spans="1:22" x14ac:dyDescent="0.25">
      <c r="A31" s="6">
        <v>32</v>
      </c>
      <c r="B31" s="6">
        <v>16847</v>
      </c>
      <c r="C31" s="6" t="s">
        <v>81</v>
      </c>
      <c r="D31" s="6" t="s">
        <v>289</v>
      </c>
      <c r="E31" s="6" t="s">
        <v>295</v>
      </c>
      <c r="F31" s="6" t="s">
        <v>320</v>
      </c>
      <c r="G31" s="6">
        <v>19</v>
      </c>
      <c r="H31" s="6">
        <v>19</v>
      </c>
      <c r="I31" s="76">
        <v>1</v>
      </c>
      <c r="J31" s="76">
        <v>1</v>
      </c>
      <c r="K31" s="76">
        <v>0.73684210526315785</v>
      </c>
      <c r="L31" s="76">
        <v>1</v>
      </c>
      <c r="M31" s="76">
        <v>0.89473684210526316</v>
      </c>
      <c r="N31" s="76">
        <v>1</v>
      </c>
      <c r="O31" s="76">
        <v>1</v>
      </c>
      <c r="P31" s="76">
        <v>0.94736842105263153</v>
      </c>
      <c r="Q31" s="76">
        <v>1</v>
      </c>
      <c r="R31" s="59">
        <v>1</v>
      </c>
      <c r="S31" s="76">
        <v>1</v>
      </c>
      <c r="T31" s="6">
        <v>0</v>
      </c>
      <c r="U31" s="6">
        <v>0</v>
      </c>
      <c r="V31" s="76">
        <v>1</v>
      </c>
    </row>
    <row r="32" spans="1:22" x14ac:dyDescent="0.25">
      <c r="A32" s="6">
        <v>34</v>
      </c>
      <c r="B32" s="6">
        <v>17115</v>
      </c>
      <c r="C32" s="6" t="s">
        <v>191</v>
      </c>
      <c r="D32" s="6" t="s">
        <v>289</v>
      </c>
      <c r="E32" s="6" t="s">
        <v>274</v>
      </c>
      <c r="F32" s="6" t="s">
        <v>223</v>
      </c>
      <c r="G32" s="6">
        <v>1</v>
      </c>
      <c r="H32" s="6">
        <v>1</v>
      </c>
      <c r="I32" s="76">
        <v>1</v>
      </c>
      <c r="J32" s="76">
        <v>1</v>
      </c>
      <c r="K32" s="76">
        <v>1</v>
      </c>
      <c r="L32" s="76">
        <v>0</v>
      </c>
      <c r="M32" s="76">
        <v>1</v>
      </c>
      <c r="N32" s="76">
        <v>1</v>
      </c>
      <c r="O32" s="76">
        <v>1</v>
      </c>
      <c r="P32" s="76">
        <v>1</v>
      </c>
      <c r="Q32" s="76">
        <v>1</v>
      </c>
      <c r="R32" s="59">
        <v>1</v>
      </c>
      <c r="S32" s="76">
        <v>1</v>
      </c>
      <c r="T32" s="6">
        <v>5</v>
      </c>
      <c r="U32" s="6">
        <v>5</v>
      </c>
      <c r="V32" s="76">
        <f t="shared" si="0"/>
        <v>1</v>
      </c>
    </row>
    <row r="33" spans="1:22" x14ac:dyDescent="0.25">
      <c r="A33" s="6">
        <v>35</v>
      </c>
      <c r="B33" s="6">
        <v>17139</v>
      </c>
      <c r="C33" s="6" t="s">
        <v>140</v>
      </c>
      <c r="D33" s="6" t="s">
        <v>289</v>
      </c>
      <c r="E33" s="6" t="s">
        <v>293</v>
      </c>
      <c r="F33" s="6" t="s">
        <v>223</v>
      </c>
      <c r="G33" s="6">
        <v>8</v>
      </c>
      <c r="H33" s="6">
        <v>8</v>
      </c>
      <c r="I33" s="76">
        <v>1</v>
      </c>
      <c r="J33" s="76">
        <v>1</v>
      </c>
      <c r="K33" s="76">
        <v>1</v>
      </c>
      <c r="L33" s="76">
        <v>1</v>
      </c>
      <c r="M33" s="76">
        <v>0.5</v>
      </c>
      <c r="N33" s="76">
        <v>1</v>
      </c>
      <c r="O33" s="76">
        <v>1</v>
      </c>
      <c r="P33" s="76">
        <v>1</v>
      </c>
      <c r="Q33" s="76">
        <v>1</v>
      </c>
      <c r="R33" s="59">
        <v>1</v>
      </c>
      <c r="S33" s="76">
        <v>1</v>
      </c>
      <c r="T33" s="6">
        <v>7</v>
      </c>
      <c r="U33" s="6">
        <v>7</v>
      </c>
      <c r="V33" s="76">
        <f t="shared" si="0"/>
        <v>1</v>
      </c>
    </row>
    <row r="34" spans="1:22" x14ac:dyDescent="0.25">
      <c r="A34" s="6">
        <v>36</v>
      </c>
      <c r="B34" s="6">
        <v>16825</v>
      </c>
      <c r="C34" s="6" t="s">
        <v>68</v>
      </c>
      <c r="D34" s="6" t="s">
        <v>289</v>
      </c>
      <c r="E34" s="6" t="s">
        <v>294</v>
      </c>
      <c r="F34" s="6" t="s">
        <v>320</v>
      </c>
      <c r="G34" s="6">
        <v>3</v>
      </c>
      <c r="H34" s="6">
        <v>1</v>
      </c>
      <c r="I34" s="76">
        <v>0.33333333333333331</v>
      </c>
      <c r="J34" s="76">
        <v>0.33333333333333331</v>
      </c>
      <c r="K34" s="76">
        <v>0.33333333333333331</v>
      </c>
      <c r="L34" s="76">
        <v>0.33333333333333331</v>
      </c>
      <c r="M34" s="76">
        <v>0.33333333333333331</v>
      </c>
      <c r="N34" s="76">
        <v>1</v>
      </c>
      <c r="O34" s="76">
        <v>0.33333333333333331</v>
      </c>
      <c r="P34" s="76">
        <v>0.33333333333333331</v>
      </c>
      <c r="Q34" s="76">
        <v>0.33333333333333331</v>
      </c>
      <c r="R34" s="59">
        <v>0.33333333333333331</v>
      </c>
      <c r="S34" s="76">
        <v>0.33333333333333331</v>
      </c>
      <c r="T34" s="6">
        <v>4</v>
      </c>
      <c r="U34" s="6">
        <v>4</v>
      </c>
      <c r="V34" s="76">
        <f t="shared" si="0"/>
        <v>1</v>
      </c>
    </row>
    <row r="35" spans="1:22" x14ac:dyDescent="0.25">
      <c r="A35" s="6">
        <v>37</v>
      </c>
      <c r="B35" s="6">
        <v>17102</v>
      </c>
      <c r="C35" s="6" t="s">
        <v>54</v>
      </c>
      <c r="D35" s="6" t="s">
        <v>289</v>
      </c>
      <c r="E35" s="6" t="s">
        <v>274</v>
      </c>
      <c r="F35" s="6" t="s">
        <v>223</v>
      </c>
      <c r="G35" s="6">
        <v>9</v>
      </c>
      <c r="H35" s="6">
        <v>9</v>
      </c>
      <c r="I35" s="76">
        <v>1</v>
      </c>
      <c r="J35" s="76">
        <v>1</v>
      </c>
      <c r="K35" s="76">
        <v>1</v>
      </c>
      <c r="L35" s="76">
        <v>1</v>
      </c>
      <c r="M35" s="76">
        <v>0.55555555555555558</v>
      </c>
      <c r="N35" s="76">
        <v>1</v>
      </c>
      <c r="O35" s="76">
        <v>1</v>
      </c>
      <c r="P35" s="76">
        <v>1</v>
      </c>
      <c r="Q35" s="76">
        <v>1</v>
      </c>
      <c r="R35" s="59">
        <v>1</v>
      </c>
      <c r="S35" s="76">
        <v>1</v>
      </c>
      <c r="T35" s="6">
        <v>11</v>
      </c>
      <c r="U35" s="6">
        <v>11</v>
      </c>
      <c r="V35" s="76">
        <f t="shared" si="0"/>
        <v>1</v>
      </c>
    </row>
    <row r="36" spans="1:22" x14ac:dyDescent="0.25">
      <c r="A36" s="6">
        <v>38</v>
      </c>
      <c r="B36" s="6">
        <v>17129</v>
      </c>
      <c r="C36" s="6" t="s">
        <v>130</v>
      </c>
      <c r="D36" s="6" t="s">
        <v>289</v>
      </c>
      <c r="E36" s="6" t="s">
        <v>293</v>
      </c>
      <c r="F36" s="6" t="s">
        <v>223</v>
      </c>
      <c r="G36" s="6">
        <v>1</v>
      </c>
      <c r="H36" s="6">
        <v>1</v>
      </c>
      <c r="I36" s="76">
        <v>1</v>
      </c>
      <c r="J36" s="76">
        <v>1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>
        <v>1</v>
      </c>
      <c r="Q36" s="76">
        <v>1</v>
      </c>
      <c r="R36" s="59">
        <v>1</v>
      </c>
      <c r="S36" s="76">
        <v>1</v>
      </c>
      <c r="T36" s="6">
        <v>7</v>
      </c>
      <c r="U36" s="6">
        <v>7</v>
      </c>
      <c r="V36" s="76">
        <f t="shared" si="0"/>
        <v>1</v>
      </c>
    </row>
    <row r="37" spans="1:22" x14ac:dyDescent="0.25">
      <c r="A37" s="6">
        <v>39</v>
      </c>
      <c r="B37" s="6">
        <v>16903</v>
      </c>
      <c r="C37" s="6" t="s">
        <v>150</v>
      </c>
      <c r="D37" s="6" t="s">
        <v>289</v>
      </c>
      <c r="E37" s="6" t="s">
        <v>298</v>
      </c>
      <c r="F37" s="6" t="s">
        <v>320</v>
      </c>
      <c r="G37" s="6">
        <v>8</v>
      </c>
      <c r="H37" s="6">
        <v>8</v>
      </c>
      <c r="I37" s="76">
        <v>1</v>
      </c>
      <c r="J37" s="76">
        <v>1</v>
      </c>
      <c r="K37" s="76">
        <v>1</v>
      </c>
      <c r="L37" s="76">
        <v>1</v>
      </c>
      <c r="M37" s="76">
        <v>0.25</v>
      </c>
      <c r="N37" s="76">
        <v>1</v>
      </c>
      <c r="O37" s="76">
        <v>1</v>
      </c>
      <c r="P37" s="76">
        <v>1</v>
      </c>
      <c r="Q37" s="76">
        <v>1</v>
      </c>
      <c r="R37" s="59">
        <v>1</v>
      </c>
      <c r="S37" s="76">
        <v>1</v>
      </c>
      <c r="T37" s="6">
        <v>18</v>
      </c>
      <c r="U37" s="6">
        <v>18</v>
      </c>
      <c r="V37" s="76">
        <f t="shared" si="0"/>
        <v>1</v>
      </c>
    </row>
    <row r="38" spans="1:22" x14ac:dyDescent="0.25">
      <c r="A38" s="6">
        <v>40</v>
      </c>
      <c r="B38" s="6">
        <v>16782</v>
      </c>
      <c r="C38" s="6" t="s">
        <v>169</v>
      </c>
      <c r="D38" s="6" t="s">
        <v>289</v>
      </c>
      <c r="E38" s="6" t="s">
        <v>321</v>
      </c>
      <c r="F38" s="6" t="s">
        <v>322</v>
      </c>
      <c r="G38" s="6">
        <v>9</v>
      </c>
      <c r="H38" s="6">
        <v>9</v>
      </c>
      <c r="I38" s="76">
        <v>1</v>
      </c>
      <c r="J38" s="76">
        <v>1</v>
      </c>
      <c r="K38" s="76">
        <v>1</v>
      </c>
      <c r="L38" s="76">
        <v>1</v>
      </c>
      <c r="M38" s="76">
        <v>0.33333333333333331</v>
      </c>
      <c r="N38" s="76">
        <v>0.33333333333333331</v>
      </c>
      <c r="O38" s="76">
        <v>1</v>
      </c>
      <c r="P38" s="76">
        <v>1</v>
      </c>
      <c r="Q38" s="76">
        <v>1</v>
      </c>
      <c r="R38" s="59">
        <v>1</v>
      </c>
      <c r="S38" s="76">
        <v>1</v>
      </c>
      <c r="T38" s="6">
        <v>15</v>
      </c>
      <c r="U38" s="6">
        <v>5</v>
      </c>
      <c r="V38" s="76">
        <f t="shared" si="0"/>
        <v>0.33333333333333331</v>
      </c>
    </row>
    <row r="39" spans="1:22" x14ac:dyDescent="0.25">
      <c r="A39" s="6">
        <v>41</v>
      </c>
      <c r="B39" s="6">
        <v>17104</v>
      </c>
      <c r="C39" s="6" t="s">
        <v>56</v>
      </c>
      <c r="D39" s="6" t="s">
        <v>289</v>
      </c>
      <c r="E39" s="6" t="s">
        <v>274</v>
      </c>
      <c r="F39" s="6" t="s">
        <v>223</v>
      </c>
      <c r="G39" s="6">
        <v>5</v>
      </c>
      <c r="H39" s="6">
        <v>5</v>
      </c>
      <c r="I39" s="76">
        <v>1</v>
      </c>
      <c r="J39" s="76">
        <v>1</v>
      </c>
      <c r="K39" s="76">
        <v>0.8</v>
      </c>
      <c r="L39" s="76">
        <v>1</v>
      </c>
      <c r="M39" s="76">
        <v>0.6</v>
      </c>
      <c r="N39" s="76">
        <v>0.81818181818181823</v>
      </c>
      <c r="O39" s="76">
        <v>1</v>
      </c>
      <c r="P39" s="76">
        <v>1</v>
      </c>
      <c r="Q39" s="76">
        <v>1</v>
      </c>
      <c r="R39" s="59">
        <v>1</v>
      </c>
      <c r="S39" s="76">
        <v>1</v>
      </c>
      <c r="T39" s="6">
        <v>11</v>
      </c>
      <c r="U39" s="6">
        <v>9</v>
      </c>
      <c r="V39" s="76">
        <f t="shared" si="0"/>
        <v>0.81818181818181823</v>
      </c>
    </row>
    <row r="40" spans="1:22" x14ac:dyDescent="0.25">
      <c r="A40" s="6">
        <v>42</v>
      </c>
      <c r="B40" s="6">
        <v>17135</v>
      </c>
      <c r="C40" s="6" t="s">
        <v>136</v>
      </c>
      <c r="D40" s="6" t="s">
        <v>289</v>
      </c>
      <c r="E40" s="6" t="s">
        <v>293</v>
      </c>
      <c r="F40" s="6" t="s">
        <v>223</v>
      </c>
      <c r="G40" s="6">
        <v>8</v>
      </c>
      <c r="H40" s="6">
        <v>8</v>
      </c>
      <c r="I40" s="76">
        <v>1</v>
      </c>
      <c r="J40" s="76">
        <v>1</v>
      </c>
      <c r="K40" s="76">
        <v>1</v>
      </c>
      <c r="L40" s="76">
        <v>1</v>
      </c>
      <c r="M40" s="76">
        <v>0.125</v>
      </c>
      <c r="N40" s="76">
        <v>1</v>
      </c>
      <c r="O40" s="76">
        <v>1</v>
      </c>
      <c r="P40" s="76">
        <v>1</v>
      </c>
      <c r="Q40" s="76">
        <v>1</v>
      </c>
      <c r="R40" s="59">
        <v>1</v>
      </c>
      <c r="S40" s="76">
        <v>1</v>
      </c>
      <c r="T40" s="6">
        <v>5</v>
      </c>
      <c r="U40" s="6">
        <v>5</v>
      </c>
      <c r="V40" s="76">
        <f t="shared" si="0"/>
        <v>1</v>
      </c>
    </row>
    <row r="41" spans="1:22" x14ac:dyDescent="0.25">
      <c r="A41" s="6">
        <v>43</v>
      </c>
      <c r="B41" s="6">
        <v>16776</v>
      </c>
      <c r="C41" s="6" t="s">
        <v>167</v>
      </c>
      <c r="D41" s="6" t="s">
        <v>289</v>
      </c>
      <c r="E41" s="6" t="s">
        <v>321</v>
      </c>
      <c r="F41" s="6" t="s">
        <v>322</v>
      </c>
      <c r="G41" s="6">
        <v>1</v>
      </c>
      <c r="H41" s="6">
        <v>1</v>
      </c>
      <c r="I41" s="76">
        <v>1</v>
      </c>
      <c r="J41" s="76">
        <v>1</v>
      </c>
      <c r="K41" s="76">
        <v>1</v>
      </c>
      <c r="L41" s="76">
        <v>1</v>
      </c>
      <c r="M41" s="76">
        <v>0</v>
      </c>
      <c r="N41" s="76">
        <v>1</v>
      </c>
      <c r="O41" s="76">
        <v>1</v>
      </c>
      <c r="P41" s="76">
        <v>1</v>
      </c>
      <c r="Q41" s="76">
        <v>1</v>
      </c>
      <c r="R41" s="59">
        <v>1</v>
      </c>
      <c r="S41" s="76">
        <v>1</v>
      </c>
      <c r="T41" s="6">
        <v>3</v>
      </c>
      <c r="U41" s="6">
        <v>3</v>
      </c>
      <c r="V41" s="76">
        <f t="shared" si="0"/>
        <v>1</v>
      </c>
    </row>
    <row r="42" spans="1:22" x14ac:dyDescent="0.25">
      <c r="A42" s="6">
        <v>44</v>
      </c>
      <c r="B42" s="6">
        <v>17131</v>
      </c>
      <c r="C42" s="6" t="s">
        <v>132</v>
      </c>
      <c r="D42" s="6" t="s">
        <v>289</v>
      </c>
      <c r="E42" s="6" t="s">
        <v>293</v>
      </c>
      <c r="F42" s="6" t="s">
        <v>223</v>
      </c>
      <c r="G42" s="6">
        <v>17</v>
      </c>
      <c r="H42" s="6">
        <v>17</v>
      </c>
      <c r="I42" s="76">
        <v>1</v>
      </c>
      <c r="J42" s="76">
        <v>1</v>
      </c>
      <c r="K42" s="76">
        <v>1</v>
      </c>
      <c r="L42" s="76">
        <v>1</v>
      </c>
      <c r="M42" s="76">
        <v>5.8823529411764705E-2</v>
      </c>
      <c r="N42" s="76">
        <v>0.95833333333333337</v>
      </c>
      <c r="O42" s="76">
        <v>1</v>
      </c>
      <c r="P42" s="76">
        <v>1</v>
      </c>
      <c r="Q42" s="76">
        <v>1</v>
      </c>
      <c r="R42" s="59">
        <v>1</v>
      </c>
      <c r="S42" s="76">
        <v>1</v>
      </c>
      <c r="T42" s="6">
        <v>24</v>
      </c>
      <c r="U42" s="6">
        <v>23</v>
      </c>
      <c r="V42" s="76">
        <f t="shared" si="0"/>
        <v>0.95833333333333337</v>
      </c>
    </row>
    <row r="43" spans="1:22" x14ac:dyDescent="0.25">
      <c r="A43" s="6">
        <v>45</v>
      </c>
      <c r="B43" s="6">
        <v>17116</v>
      </c>
      <c r="C43" s="6" t="s">
        <v>192</v>
      </c>
      <c r="D43" s="6" t="s">
        <v>289</v>
      </c>
      <c r="E43" s="6" t="s">
        <v>273</v>
      </c>
      <c r="F43" s="6" t="s">
        <v>223</v>
      </c>
      <c r="G43" s="6">
        <v>18</v>
      </c>
      <c r="H43" s="6">
        <v>18</v>
      </c>
      <c r="I43" s="76">
        <v>1</v>
      </c>
      <c r="J43" s="76">
        <v>1</v>
      </c>
      <c r="K43" s="76">
        <v>1</v>
      </c>
      <c r="L43" s="76">
        <v>1</v>
      </c>
      <c r="M43" s="76">
        <v>0.94444444444444442</v>
      </c>
      <c r="N43" s="76">
        <v>0.93333333333333335</v>
      </c>
      <c r="O43" s="76">
        <v>1</v>
      </c>
      <c r="P43" s="76">
        <v>1</v>
      </c>
      <c r="Q43" s="76">
        <v>1</v>
      </c>
      <c r="R43" s="59">
        <v>1</v>
      </c>
      <c r="S43" s="76">
        <v>1</v>
      </c>
      <c r="T43" s="6">
        <v>30</v>
      </c>
      <c r="U43" s="6">
        <v>28</v>
      </c>
      <c r="V43" s="76">
        <f t="shared" si="0"/>
        <v>0.93333333333333335</v>
      </c>
    </row>
    <row r="44" spans="1:22" x14ac:dyDescent="0.25">
      <c r="A44" s="6">
        <v>46</v>
      </c>
      <c r="B44" s="6">
        <v>16806</v>
      </c>
      <c r="C44" s="6" t="s">
        <v>61</v>
      </c>
      <c r="D44" s="6" t="s">
        <v>289</v>
      </c>
      <c r="E44" s="6" t="s">
        <v>294</v>
      </c>
      <c r="F44" s="6" t="s">
        <v>320</v>
      </c>
      <c r="G44" s="6">
        <v>14</v>
      </c>
      <c r="H44" s="6">
        <v>12</v>
      </c>
      <c r="I44" s="76">
        <v>0.8571428571428571</v>
      </c>
      <c r="J44" s="76">
        <v>0.8571428571428571</v>
      </c>
      <c r="K44" s="76">
        <v>0.7857142857142857</v>
      </c>
      <c r="L44" s="76">
        <v>0.7857142857142857</v>
      </c>
      <c r="M44" s="76">
        <v>0.42857142857142855</v>
      </c>
      <c r="N44" s="76">
        <v>1</v>
      </c>
      <c r="O44" s="76">
        <v>0.8571428571428571</v>
      </c>
      <c r="P44" s="76">
        <v>0.8571428571428571</v>
      </c>
      <c r="Q44" s="76">
        <v>0.8571428571428571</v>
      </c>
      <c r="R44" s="59">
        <v>0.8571428571428571</v>
      </c>
      <c r="S44" s="76">
        <v>0.8571428571428571</v>
      </c>
      <c r="T44" s="6">
        <v>15</v>
      </c>
      <c r="U44" s="6">
        <v>15</v>
      </c>
      <c r="V44" s="76">
        <f t="shared" si="0"/>
        <v>1</v>
      </c>
    </row>
    <row r="45" spans="1:22" x14ac:dyDescent="0.25">
      <c r="A45" s="6">
        <v>47</v>
      </c>
      <c r="B45" s="6">
        <v>16690</v>
      </c>
      <c r="C45" s="6" t="s">
        <v>73</v>
      </c>
      <c r="D45" s="6" t="s">
        <v>289</v>
      </c>
      <c r="E45" s="6" t="s">
        <v>295</v>
      </c>
      <c r="F45" s="6" t="s">
        <v>320</v>
      </c>
      <c r="G45" s="6">
        <v>19</v>
      </c>
      <c r="H45" s="6">
        <v>19</v>
      </c>
      <c r="I45" s="76">
        <v>1</v>
      </c>
      <c r="J45" s="76">
        <v>1</v>
      </c>
      <c r="K45" s="76">
        <v>0.36842105263157893</v>
      </c>
      <c r="L45" s="76">
        <v>0.42105263157894735</v>
      </c>
      <c r="M45" s="76">
        <v>0.78947368421052633</v>
      </c>
      <c r="N45" s="76">
        <v>0.65</v>
      </c>
      <c r="O45" s="76">
        <v>1</v>
      </c>
      <c r="P45" s="76">
        <v>1</v>
      </c>
      <c r="Q45" s="76">
        <v>1</v>
      </c>
      <c r="R45" s="59">
        <v>1</v>
      </c>
      <c r="S45" s="76">
        <v>1</v>
      </c>
      <c r="T45" s="6">
        <v>60</v>
      </c>
      <c r="U45" s="6">
        <v>39</v>
      </c>
      <c r="V45" s="76">
        <f t="shared" si="0"/>
        <v>0.65</v>
      </c>
    </row>
    <row r="46" spans="1:22" x14ac:dyDescent="0.25">
      <c r="A46" s="6">
        <v>48</v>
      </c>
      <c r="B46" s="6">
        <v>17127</v>
      </c>
      <c r="C46" s="6" t="s">
        <v>128</v>
      </c>
      <c r="D46" s="6" t="s">
        <v>289</v>
      </c>
      <c r="E46" s="6" t="s">
        <v>293</v>
      </c>
      <c r="F46" s="6" t="s">
        <v>223</v>
      </c>
      <c r="G46" s="6">
        <v>16</v>
      </c>
      <c r="H46" s="6">
        <v>16</v>
      </c>
      <c r="I46" s="76">
        <v>1</v>
      </c>
      <c r="J46" s="76">
        <v>1</v>
      </c>
      <c r="K46" s="76">
        <v>0.4375</v>
      </c>
      <c r="L46" s="76">
        <v>0.9375</v>
      </c>
      <c r="M46" s="76">
        <v>0.3125</v>
      </c>
      <c r="N46" s="76">
        <v>0.91666666666666663</v>
      </c>
      <c r="O46" s="76">
        <v>1</v>
      </c>
      <c r="P46" s="76">
        <v>1</v>
      </c>
      <c r="Q46" s="76">
        <v>1</v>
      </c>
      <c r="R46" s="59">
        <v>1</v>
      </c>
      <c r="S46" s="76">
        <v>1</v>
      </c>
      <c r="T46" s="6">
        <v>24</v>
      </c>
      <c r="U46" s="6">
        <v>22</v>
      </c>
      <c r="V46" s="76">
        <f t="shared" si="0"/>
        <v>0.91666666666666663</v>
      </c>
    </row>
    <row r="47" spans="1:22" x14ac:dyDescent="0.25">
      <c r="A47" s="6">
        <v>49</v>
      </c>
      <c r="B47" s="6">
        <v>17084</v>
      </c>
      <c r="C47" s="6" t="s">
        <v>20</v>
      </c>
      <c r="D47" s="6" t="s">
        <v>289</v>
      </c>
      <c r="E47" s="6" t="s">
        <v>291</v>
      </c>
      <c r="F47" s="6" t="s">
        <v>223</v>
      </c>
      <c r="G47" s="6">
        <v>2</v>
      </c>
      <c r="H47" s="6">
        <v>2</v>
      </c>
      <c r="I47" s="76">
        <v>1</v>
      </c>
      <c r="J47" s="76">
        <v>1</v>
      </c>
      <c r="K47" s="76">
        <v>0</v>
      </c>
      <c r="L47" s="76">
        <v>0</v>
      </c>
      <c r="M47" s="76">
        <v>0</v>
      </c>
      <c r="N47" s="76">
        <v>0.75</v>
      </c>
      <c r="O47" s="76">
        <v>1</v>
      </c>
      <c r="P47" s="76">
        <v>0.5</v>
      </c>
      <c r="Q47" s="76">
        <v>1</v>
      </c>
      <c r="R47" s="59">
        <v>1</v>
      </c>
      <c r="S47" s="76">
        <v>1</v>
      </c>
      <c r="T47" s="6">
        <v>8</v>
      </c>
      <c r="U47" s="6">
        <v>6</v>
      </c>
      <c r="V47" s="76">
        <f t="shared" si="0"/>
        <v>0.75</v>
      </c>
    </row>
    <row r="48" spans="1:22" x14ac:dyDescent="0.25">
      <c r="A48" s="6">
        <v>51</v>
      </c>
      <c r="B48" s="6">
        <v>16804</v>
      </c>
      <c r="C48" s="6" t="s">
        <v>59</v>
      </c>
      <c r="D48" s="6" t="s">
        <v>289</v>
      </c>
      <c r="E48" s="6" t="s">
        <v>294</v>
      </c>
      <c r="F48" s="6" t="s">
        <v>320</v>
      </c>
      <c r="G48" s="6">
        <v>2</v>
      </c>
      <c r="H48" s="6">
        <v>2</v>
      </c>
      <c r="I48" s="76">
        <v>1</v>
      </c>
      <c r="J48" s="76">
        <v>1</v>
      </c>
      <c r="K48" s="76">
        <v>1</v>
      </c>
      <c r="L48" s="76">
        <v>1</v>
      </c>
      <c r="M48" s="76">
        <v>0.5</v>
      </c>
      <c r="N48" s="76">
        <v>0.75</v>
      </c>
      <c r="O48" s="76">
        <v>1</v>
      </c>
      <c r="P48" s="76">
        <v>1</v>
      </c>
      <c r="Q48" s="76">
        <v>1</v>
      </c>
      <c r="R48" s="59">
        <v>1</v>
      </c>
      <c r="S48" s="76">
        <v>1</v>
      </c>
      <c r="T48" s="6">
        <v>4</v>
      </c>
      <c r="U48" s="6">
        <v>3</v>
      </c>
      <c r="V48" s="76">
        <f t="shared" si="0"/>
        <v>0.75</v>
      </c>
    </row>
    <row r="49" spans="1:22" x14ac:dyDescent="0.25">
      <c r="A49" s="6">
        <v>52</v>
      </c>
      <c r="B49" s="6">
        <v>17097</v>
      </c>
      <c r="C49" s="6" t="s">
        <v>49</v>
      </c>
      <c r="D49" s="6" t="s">
        <v>289</v>
      </c>
      <c r="E49" s="6" t="s">
        <v>274</v>
      </c>
      <c r="F49" s="6" t="s">
        <v>223</v>
      </c>
      <c r="G49" s="6">
        <v>10</v>
      </c>
      <c r="H49" s="6">
        <v>10</v>
      </c>
      <c r="I49" s="76">
        <v>1</v>
      </c>
      <c r="J49" s="76">
        <v>1</v>
      </c>
      <c r="K49" s="76">
        <v>1</v>
      </c>
      <c r="L49" s="76">
        <v>1</v>
      </c>
      <c r="M49" s="76">
        <v>0.1</v>
      </c>
      <c r="N49" s="76">
        <v>1</v>
      </c>
      <c r="O49" s="76">
        <v>1</v>
      </c>
      <c r="P49" s="76">
        <v>1</v>
      </c>
      <c r="Q49" s="76">
        <v>1</v>
      </c>
      <c r="R49" s="59">
        <v>1</v>
      </c>
      <c r="S49" s="76">
        <v>1</v>
      </c>
      <c r="T49" s="6">
        <v>23</v>
      </c>
      <c r="U49" s="6">
        <v>23</v>
      </c>
      <c r="V49" s="76">
        <f t="shared" si="0"/>
        <v>1</v>
      </c>
    </row>
    <row r="50" spans="1:22" x14ac:dyDescent="0.25">
      <c r="A50" s="6">
        <v>53</v>
      </c>
      <c r="B50" s="6">
        <v>16904</v>
      </c>
      <c r="C50" s="6" t="s">
        <v>151</v>
      </c>
      <c r="D50" s="6" t="s">
        <v>289</v>
      </c>
      <c r="E50" s="6" t="s">
        <v>298</v>
      </c>
      <c r="F50" s="6" t="s">
        <v>320</v>
      </c>
      <c r="G50" s="6">
        <v>10</v>
      </c>
      <c r="H50" s="6">
        <v>10</v>
      </c>
      <c r="I50" s="76">
        <v>1</v>
      </c>
      <c r="J50" s="76">
        <v>0.9</v>
      </c>
      <c r="K50" s="76">
        <v>0.9</v>
      </c>
      <c r="L50" s="76">
        <v>0.9</v>
      </c>
      <c r="M50" s="76">
        <v>0.5</v>
      </c>
      <c r="N50" s="76">
        <v>0.94736842105263153</v>
      </c>
      <c r="O50" s="76">
        <v>1</v>
      </c>
      <c r="P50" s="76">
        <v>0.9</v>
      </c>
      <c r="Q50" s="76">
        <v>1</v>
      </c>
      <c r="R50" s="59">
        <v>1</v>
      </c>
      <c r="S50" s="76">
        <v>1</v>
      </c>
      <c r="T50" s="6">
        <v>19</v>
      </c>
      <c r="U50" s="6">
        <v>18</v>
      </c>
      <c r="V50" s="76">
        <f t="shared" si="0"/>
        <v>0.94736842105263153</v>
      </c>
    </row>
    <row r="51" spans="1:22" x14ac:dyDescent="0.25">
      <c r="A51" s="6">
        <v>54</v>
      </c>
      <c r="B51" s="6">
        <v>17078</v>
      </c>
      <c r="C51" s="6" t="s">
        <v>14</v>
      </c>
      <c r="D51" s="6" t="s">
        <v>289</v>
      </c>
      <c r="E51" s="6" t="s">
        <v>291</v>
      </c>
      <c r="F51" s="6" t="s">
        <v>223</v>
      </c>
      <c r="G51" s="6">
        <v>2</v>
      </c>
      <c r="H51" s="6">
        <v>2</v>
      </c>
      <c r="I51" s="76">
        <v>1</v>
      </c>
      <c r="J51" s="76">
        <v>1</v>
      </c>
      <c r="K51" s="76">
        <v>1</v>
      </c>
      <c r="L51" s="76">
        <v>1</v>
      </c>
      <c r="M51" s="76">
        <v>0.5</v>
      </c>
      <c r="N51" s="76">
        <v>1</v>
      </c>
      <c r="O51" s="76">
        <v>1</v>
      </c>
      <c r="P51" s="76">
        <v>1</v>
      </c>
      <c r="Q51" s="76">
        <v>1</v>
      </c>
      <c r="R51" s="59">
        <v>1</v>
      </c>
      <c r="S51" s="76">
        <v>1</v>
      </c>
      <c r="T51" s="6">
        <v>12</v>
      </c>
      <c r="U51" s="6">
        <v>12</v>
      </c>
      <c r="V51" s="76">
        <f t="shared" si="0"/>
        <v>1</v>
      </c>
    </row>
    <row r="52" spans="1:22" x14ac:dyDescent="0.25">
      <c r="A52" s="6">
        <v>57</v>
      </c>
      <c r="B52" s="6">
        <v>16829</v>
      </c>
      <c r="C52" s="6" t="s">
        <v>175</v>
      </c>
      <c r="D52" s="6" t="s">
        <v>289</v>
      </c>
      <c r="E52" s="6" t="s">
        <v>299</v>
      </c>
      <c r="F52" s="6" t="s">
        <v>320</v>
      </c>
      <c r="G52" s="6">
        <v>16</v>
      </c>
      <c r="H52" s="6">
        <v>16</v>
      </c>
      <c r="I52" s="76">
        <v>1</v>
      </c>
      <c r="J52" s="76">
        <v>1</v>
      </c>
      <c r="K52" s="76">
        <v>0.8125</v>
      </c>
      <c r="L52" s="76">
        <v>1</v>
      </c>
      <c r="M52" s="76">
        <v>0</v>
      </c>
      <c r="N52" s="76">
        <v>1</v>
      </c>
      <c r="O52" s="76">
        <v>1</v>
      </c>
      <c r="P52" s="76">
        <v>1</v>
      </c>
      <c r="Q52" s="76">
        <v>1</v>
      </c>
      <c r="R52" s="59">
        <v>1</v>
      </c>
      <c r="S52" s="76">
        <v>1</v>
      </c>
      <c r="T52" s="6">
        <v>16</v>
      </c>
      <c r="U52" s="6">
        <v>16</v>
      </c>
      <c r="V52" s="76">
        <f t="shared" si="0"/>
        <v>1</v>
      </c>
    </row>
    <row r="53" spans="1:22" x14ac:dyDescent="0.25">
      <c r="A53" s="6">
        <v>58</v>
      </c>
      <c r="B53" s="6">
        <v>16846</v>
      </c>
      <c r="C53" s="6" t="s">
        <v>80</v>
      </c>
      <c r="D53" s="6" t="s">
        <v>289</v>
      </c>
      <c r="E53" s="6" t="s">
        <v>295</v>
      </c>
      <c r="F53" s="6" t="s">
        <v>320</v>
      </c>
      <c r="G53" s="6">
        <v>18</v>
      </c>
      <c r="H53" s="6">
        <v>18</v>
      </c>
      <c r="I53" s="76">
        <v>1</v>
      </c>
      <c r="J53" s="76">
        <v>1</v>
      </c>
      <c r="K53" s="76">
        <v>0.94444444444444442</v>
      </c>
      <c r="L53" s="76">
        <v>1</v>
      </c>
      <c r="M53" s="76">
        <v>0.44444444444444442</v>
      </c>
      <c r="N53" s="76">
        <v>1</v>
      </c>
      <c r="O53" s="76">
        <v>1</v>
      </c>
      <c r="P53" s="76">
        <v>1</v>
      </c>
      <c r="Q53" s="76">
        <v>1</v>
      </c>
      <c r="R53" s="59">
        <v>1</v>
      </c>
      <c r="S53" s="76">
        <v>1</v>
      </c>
      <c r="T53" s="6">
        <v>0</v>
      </c>
      <c r="U53" s="6">
        <v>0</v>
      </c>
      <c r="V53" s="76">
        <v>1</v>
      </c>
    </row>
    <row r="54" spans="1:22" x14ac:dyDescent="0.25">
      <c r="A54" s="6">
        <v>59</v>
      </c>
      <c r="B54" s="6">
        <v>17140</v>
      </c>
      <c r="C54" s="6" t="s">
        <v>26</v>
      </c>
      <c r="D54" s="6" t="s">
        <v>289</v>
      </c>
      <c r="E54" s="6" t="s">
        <v>292</v>
      </c>
      <c r="F54" s="6" t="s">
        <v>223</v>
      </c>
      <c r="G54" s="6">
        <v>14</v>
      </c>
      <c r="H54" s="6">
        <v>14</v>
      </c>
      <c r="I54" s="76">
        <v>1</v>
      </c>
      <c r="J54" s="76">
        <v>1</v>
      </c>
      <c r="K54" s="76">
        <v>1</v>
      </c>
      <c r="L54" s="76">
        <v>1</v>
      </c>
      <c r="M54" s="76">
        <v>0.6428571428571429</v>
      </c>
      <c r="N54" s="76">
        <v>1</v>
      </c>
      <c r="O54" s="76">
        <v>1</v>
      </c>
      <c r="P54" s="76">
        <v>1</v>
      </c>
      <c r="Q54" s="76">
        <v>1</v>
      </c>
      <c r="R54" s="59">
        <v>1</v>
      </c>
      <c r="S54" s="76">
        <v>1</v>
      </c>
      <c r="T54" s="6">
        <v>12</v>
      </c>
      <c r="U54" s="6">
        <v>12</v>
      </c>
      <c r="V54" s="76">
        <f t="shared" si="0"/>
        <v>1</v>
      </c>
    </row>
    <row r="55" spans="1:22" x14ac:dyDescent="0.25">
      <c r="A55" s="6">
        <v>60</v>
      </c>
      <c r="B55" s="6">
        <v>17080</v>
      </c>
      <c r="C55" s="6" t="s">
        <v>16</v>
      </c>
      <c r="D55" s="6" t="s">
        <v>289</v>
      </c>
      <c r="E55" s="6" t="s">
        <v>291</v>
      </c>
      <c r="F55" s="6" t="s">
        <v>223</v>
      </c>
      <c r="G55" s="6">
        <v>15</v>
      </c>
      <c r="H55" s="6">
        <v>15</v>
      </c>
      <c r="I55" s="76">
        <v>1</v>
      </c>
      <c r="J55" s="76">
        <v>1</v>
      </c>
      <c r="K55" s="76">
        <v>1</v>
      </c>
      <c r="L55" s="76">
        <v>0.8666666666666667</v>
      </c>
      <c r="M55" s="76">
        <v>0.2</v>
      </c>
      <c r="N55" s="76">
        <v>1</v>
      </c>
      <c r="O55" s="76">
        <v>1</v>
      </c>
      <c r="P55" s="76">
        <v>1</v>
      </c>
      <c r="Q55" s="76">
        <v>1</v>
      </c>
      <c r="R55" s="59">
        <v>1</v>
      </c>
      <c r="S55" s="76">
        <v>1</v>
      </c>
      <c r="T55" s="6">
        <v>23</v>
      </c>
      <c r="U55" s="6">
        <v>23</v>
      </c>
      <c r="V55" s="76">
        <f t="shared" si="0"/>
        <v>1</v>
      </c>
    </row>
    <row r="56" spans="1:22" x14ac:dyDescent="0.25">
      <c r="A56" s="6">
        <v>61</v>
      </c>
      <c r="B56" s="6">
        <v>17122</v>
      </c>
      <c r="C56" s="6" t="s">
        <v>123</v>
      </c>
      <c r="D56" s="6" t="s">
        <v>289</v>
      </c>
      <c r="E56" s="6" t="s">
        <v>293</v>
      </c>
      <c r="F56" s="6" t="s">
        <v>223</v>
      </c>
      <c r="G56" s="6">
        <v>4</v>
      </c>
      <c r="H56" s="6">
        <v>4</v>
      </c>
      <c r="I56" s="76">
        <v>1</v>
      </c>
      <c r="J56" s="76">
        <v>1</v>
      </c>
      <c r="K56" s="76">
        <v>1</v>
      </c>
      <c r="L56" s="76">
        <v>1</v>
      </c>
      <c r="M56" s="76">
        <v>0</v>
      </c>
      <c r="N56" s="76">
        <v>0.77777777777777779</v>
      </c>
      <c r="O56" s="76">
        <v>1</v>
      </c>
      <c r="P56" s="76">
        <v>1</v>
      </c>
      <c r="Q56" s="76">
        <v>1</v>
      </c>
      <c r="R56" s="59">
        <v>1</v>
      </c>
      <c r="S56" s="76">
        <v>1</v>
      </c>
      <c r="T56" s="6">
        <v>9</v>
      </c>
      <c r="U56" s="6">
        <v>7</v>
      </c>
      <c r="V56" s="76">
        <f t="shared" si="0"/>
        <v>0.77777777777777779</v>
      </c>
    </row>
    <row r="57" spans="1:22" x14ac:dyDescent="0.25">
      <c r="A57" s="6">
        <v>62</v>
      </c>
      <c r="B57" s="6">
        <v>16901</v>
      </c>
      <c r="C57" s="6" t="s">
        <v>148</v>
      </c>
      <c r="D57" s="6" t="s">
        <v>289</v>
      </c>
      <c r="E57" s="6" t="s">
        <v>298</v>
      </c>
      <c r="F57" s="6" t="s">
        <v>320</v>
      </c>
      <c r="G57" s="6">
        <v>13</v>
      </c>
      <c r="H57" s="6">
        <v>13</v>
      </c>
      <c r="I57" s="76">
        <v>1</v>
      </c>
      <c r="J57" s="76">
        <v>0.84615384615384615</v>
      </c>
      <c r="K57" s="76">
        <v>0.84615384615384615</v>
      </c>
      <c r="L57" s="76">
        <v>0.84615384615384615</v>
      </c>
      <c r="M57" s="76">
        <v>0.46153846153846156</v>
      </c>
      <c r="N57" s="76">
        <v>1</v>
      </c>
      <c r="O57" s="76">
        <v>1</v>
      </c>
      <c r="P57" s="76">
        <v>0.76923076923076927</v>
      </c>
      <c r="Q57" s="76">
        <v>1</v>
      </c>
      <c r="R57" s="59">
        <v>1</v>
      </c>
      <c r="S57" s="76">
        <v>1</v>
      </c>
      <c r="T57" s="6">
        <v>18</v>
      </c>
      <c r="U57" s="6">
        <v>18</v>
      </c>
      <c r="V57" s="76">
        <f t="shared" si="0"/>
        <v>1</v>
      </c>
    </row>
    <row r="58" spans="1:22" x14ac:dyDescent="0.25">
      <c r="A58" s="6">
        <v>63</v>
      </c>
      <c r="B58" s="6">
        <v>17089</v>
      </c>
      <c r="C58" s="6" t="s">
        <v>25</v>
      </c>
      <c r="D58" s="6" t="s">
        <v>289</v>
      </c>
      <c r="E58" s="6" t="s">
        <v>291</v>
      </c>
      <c r="F58" s="6" t="s">
        <v>223</v>
      </c>
      <c r="G58" s="6">
        <v>5</v>
      </c>
      <c r="H58" s="6">
        <v>5</v>
      </c>
      <c r="I58" s="76">
        <v>1</v>
      </c>
      <c r="J58" s="76">
        <v>1</v>
      </c>
      <c r="K58" s="76">
        <v>0.8</v>
      </c>
      <c r="L58" s="76">
        <v>1</v>
      </c>
      <c r="M58" s="76">
        <v>0.8</v>
      </c>
      <c r="N58" s="76">
        <v>1</v>
      </c>
      <c r="O58" s="76">
        <v>1</v>
      </c>
      <c r="P58" s="76">
        <v>1</v>
      </c>
      <c r="Q58" s="76">
        <v>1</v>
      </c>
      <c r="R58" s="59">
        <v>1</v>
      </c>
      <c r="S58" s="76">
        <v>1</v>
      </c>
      <c r="T58" s="6">
        <v>6</v>
      </c>
      <c r="U58" s="6">
        <v>6</v>
      </c>
      <c r="V58" s="76">
        <f t="shared" si="0"/>
        <v>1</v>
      </c>
    </row>
    <row r="59" spans="1:22" x14ac:dyDescent="0.25">
      <c r="A59" s="6">
        <v>64</v>
      </c>
      <c r="B59" s="6">
        <v>17170</v>
      </c>
      <c r="C59" s="6" t="s">
        <v>97</v>
      </c>
      <c r="D59" s="6" t="s">
        <v>289</v>
      </c>
      <c r="E59" s="6" t="s">
        <v>296</v>
      </c>
      <c r="F59" s="6" t="s">
        <v>223</v>
      </c>
      <c r="G59" s="6">
        <v>13</v>
      </c>
      <c r="H59" s="6">
        <v>13</v>
      </c>
      <c r="I59" s="76">
        <v>1</v>
      </c>
      <c r="J59" s="76">
        <v>1</v>
      </c>
      <c r="K59" s="76">
        <v>0.30769230769230771</v>
      </c>
      <c r="L59" s="76">
        <v>0.92307692307692313</v>
      </c>
      <c r="M59" s="76">
        <v>7.6923076923076927E-2</v>
      </c>
      <c r="N59" s="76">
        <v>0.77777777777777779</v>
      </c>
      <c r="O59" s="76">
        <v>1</v>
      </c>
      <c r="P59" s="76">
        <v>1</v>
      </c>
      <c r="Q59" s="76">
        <v>1</v>
      </c>
      <c r="R59" s="59">
        <v>1</v>
      </c>
      <c r="S59" s="76">
        <v>1</v>
      </c>
      <c r="T59" s="6">
        <v>18</v>
      </c>
      <c r="U59" s="6">
        <v>14</v>
      </c>
      <c r="V59" s="76">
        <f t="shared" si="0"/>
        <v>0.77777777777777779</v>
      </c>
    </row>
    <row r="60" spans="1:22" x14ac:dyDescent="0.25">
      <c r="A60" s="6">
        <v>65</v>
      </c>
      <c r="B60" s="6">
        <v>17130</v>
      </c>
      <c r="C60" s="6" t="s">
        <v>131</v>
      </c>
      <c r="D60" s="6" t="s">
        <v>289</v>
      </c>
      <c r="E60" s="6" t="s">
        <v>293</v>
      </c>
      <c r="F60" s="6" t="s">
        <v>223</v>
      </c>
      <c r="G60" s="6">
        <v>18</v>
      </c>
      <c r="H60" s="6">
        <v>18</v>
      </c>
      <c r="I60" s="76">
        <v>1</v>
      </c>
      <c r="J60" s="76">
        <v>1</v>
      </c>
      <c r="K60" s="76">
        <v>1</v>
      </c>
      <c r="L60" s="76">
        <v>1</v>
      </c>
      <c r="M60" s="76">
        <v>0.27777777777777779</v>
      </c>
      <c r="N60" s="76">
        <v>0.90909090909090906</v>
      </c>
      <c r="O60" s="76">
        <v>1</v>
      </c>
      <c r="P60" s="76">
        <v>1</v>
      </c>
      <c r="Q60" s="76">
        <v>1</v>
      </c>
      <c r="R60" s="59">
        <v>1</v>
      </c>
      <c r="S60" s="76">
        <v>1</v>
      </c>
      <c r="T60" s="6">
        <v>22</v>
      </c>
      <c r="U60" s="6">
        <v>20</v>
      </c>
      <c r="V60" s="76">
        <f t="shared" si="0"/>
        <v>0.90909090909090906</v>
      </c>
    </row>
    <row r="61" spans="1:22" x14ac:dyDescent="0.25">
      <c r="A61" s="6">
        <v>66</v>
      </c>
      <c r="B61" s="6">
        <v>17143</v>
      </c>
      <c r="C61" s="6" t="s">
        <v>29</v>
      </c>
      <c r="D61" s="6" t="s">
        <v>289</v>
      </c>
      <c r="E61" s="6" t="s">
        <v>292</v>
      </c>
      <c r="F61" s="6" t="s">
        <v>223</v>
      </c>
      <c r="G61" s="6">
        <v>15</v>
      </c>
      <c r="H61" s="6">
        <v>15</v>
      </c>
      <c r="I61" s="76">
        <v>1</v>
      </c>
      <c r="J61" s="76">
        <v>1</v>
      </c>
      <c r="K61" s="76">
        <v>1</v>
      </c>
      <c r="L61" s="76">
        <v>1</v>
      </c>
      <c r="M61" s="76">
        <v>0.93333333333333335</v>
      </c>
      <c r="N61" s="76">
        <v>1</v>
      </c>
      <c r="O61" s="76">
        <v>1</v>
      </c>
      <c r="P61" s="76">
        <v>1</v>
      </c>
      <c r="Q61" s="76">
        <v>1</v>
      </c>
      <c r="R61" s="59">
        <v>1</v>
      </c>
      <c r="S61" s="76">
        <v>1</v>
      </c>
      <c r="T61" s="6">
        <v>9</v>
      </c>
      <c r="U61" s="6">
        <v>9</v>
      </c>
      <c r="V61" s="76">
        <f t="shared" si="0"/>
        <v>1</v>
      </c>
    </row>
    <row r="62" spans="1:22" x14ac:dyDescent="0.25">
      <c r="A62" s="6">
        <v>67</v>
      </c>
      <c r="B62" s="6">
        <v>17124</v>
      </c>
      <c r="C62" s="6" t="s">
        <v>125</v>
      </c>
      <c r="D62" s="6" t="s">
        <v>289</v>
      </c>
      <c r="E62" s="6" t="s">
        <v>293</v>
      </c>
      <c r="F62" s="6" t="s">
        <v>223</v>
      </c>
      <c r="G62" s="6">
        <v>7</v>
      </c>
      <c r="H62" s="6">
        <v>7</v>
      </c>
      <c r="I62" s="76">
        <v>1</v>
      </c>
      <c r="J62" s="76">
        <v>1</v>
      </c>
      <c r="K62" s="76">
        <v>1</v>
      </c>
      <c r="L62" s="76">
        <v>1</v>
      </c>
      <c r="M62" s="76">
        <v>0.2857142857142857</v>
      </c>
      <c r="N62" s="76">
        <v>1</v>
      </c>
      <c r="O62" s="76">
        <v>1</v>
      </c>
      <c r="P62" s="76">
        <v>1</v>
      </c>
      <c r="Q62" s="76">
        <v>1</v>
      </c>
      <c r="R62" s="59">
        <v>1</v>
      </c>
      <c r="S62" s="76">
        <v>1</v>
      </c>
      <c r="T62" s="6">
        <v>12</v>
      </c>
      <c r="U62" s="6">
        <v>12</v>
      </c>
      <c r="V62" s="76">
        <f t="shared" si="0"/>
        <v>1</v>
      </c>
    </row>
    <row r="63" spans="1:22" x14ac:dyDescent="0.25">
      <c r="A63" s="6">
        <v>68</v>
      </c>
      <c r="B63" s="6">
        <v>16843</v>
      </c>
      <c r="C63" s="6" t="s">
        <v>69</v>
      </c>
      <c r="D63" s="6" t="s">
        <v>289</v>
      </c>
      <c r="E63" s="6" t="s">
        <v>294</v>
      </c>
      <c r="F63" s="6" t="s">
        <v>320</v>
      </c>
      <c r="G63" s="6">
        <v>8</v>
      </c>
      <c r="H63" s="6">
        <v>7</v>
      </c>
      <c r="I63" s="76">
        <v>0.875</v>
      </c>
      <c r="J63" s="76">
        <v>0.875</v>
      </c>
      <c r="K63" s="76">
        <v>0.25</v>
      </c>
      <c r="L63" s="76">
        <v>0.25</v>
      </c>
      <c r="M63" s="76">
        <v>0</v>
      </c>
      <c r="N63" s="76">
        <v>0.52941176470588236</v>
      </c>
      <c r="O63" s="76">
        <v>0.875</v>
      </c>
      <c r="P63" s="76">
        <v>0.875</v>
      </c>
      <c r="Q63" s="76">
        <v>0.875</v>
      </c>
      <c r="R63" s="59">
        <v>0.875</v>
      </c>
      <c r="S63" s="76">
        <v>0.875</v>
      </c>
      <c r="T63" s="6">
        <v>17</v>
      </c>
      <c r="U63" s="6">
        <v>9</v>
      </c>
      <c r="V63" s="76">
        <f t="shared" si="0"/>
        <v>0.52941176470588236</v>
      </c>
    </row>
    <row r="64" spans="1:22" x14ac:dyDescent="0.25">
      <c r="A64" s="6">
        <v>69</v>
      </c>
      <c r="B64" s="6">
        <v>16692</v>
      </c>
      <c r="C64" s="6" t="s">
        <v>75</v>
      </c>
      <c r="D64" s="6" t="s">
        <v>289</v>
      </c>
      <c r="E64" s="6" t="s">
        <v>295</v>
      </c>
      <c r="F64" s="6" t="s">
        <v>320</v>
      </c>
      <c r="G64" s="6">
        <v>24</v>
      </c>
      <c r="H64" s="6">
        <v>22</v>
      </c>
      <c r="I64" s="76">
        <v>0.91666666666666663</v>
      </c>
      <c r="J64" s="76">
        <v>0.70833333333333337</v>
      </c>
      <c r="K64" s="76">
        <v>0.75</v>
      </c>
      <c r="L64" s="76">
        <v>0.83333333333333337</v>
      </c>
      <c r="M64" s="76">
        <v>0.79166666666666663</v>
      </c>
      <c r="N64" s="76">
        <v>0.96202531645569622</v>
      </c>
      <c r="O64" s="76">
        <v>0.875</v>
      </c>
      <c r="P64" s="76">
        <v>0.875</v>
      </c>
      <c r="Q64" s="76">
        <v>0.875</v>
      </c>
      <c r="R64" s="59">
        <v>0.875</v>
      </c>
      <c r="S64" s="76">
        <v>0.875</v>
      </c>
      <c r="T64" s="6">
        <v>79</v>
      </c>
      <c r="U64" s="6">
        <v>76</v>
      </c>
      <c r="V64" s="76">
        <f t="shared" si="0"/>
        <v>0.96202531645569622</v>
      </c>
    </row>
    <row r="65" spans="1:22" x14ac:dyDescent="0.25">
      <c r="A65" s="6">
        <v>70</v>
      </c>
      <c r="B65" s="6">
        <v>16895</v>
      </c>
      <c r="C65" s="6" t="s">
        <v>142</v>
      </c>
      <c r="D65" s="6" t="s">
        <v>289</v>
      </c>
      <c r="E65" s="6" t="s">
        <v>298</v>
      </c>
      <c r="F65" s="6" t="s">
        <v>320</v>
      </c>
      <c r="G65" s="6">
        <v>1</v>
      </c>
      <c r="H65" s="6">
        <v>1</v>
      </c>
      <c r="I65" s="76">
        <v>1</v>
      </c>
      <c r="J65" s="76">
        <v>1</v>
      </c>
      <c r="K65" s="76">
        <v>0</v>
      </c>
      <c r="L65" s="76">
        <v>1</v>
      </c>
      <c r="M65" s="76">
        <v>0</v>
      </c>
      <c r="N65" s="76">
        <v>1</v>
      </c>
      <c r="O65" s="76">
        <v>1</v>
      </c>
      <c r="P65" s="76">
        <v>1</v>
      </c>
      <c r="Q65" s="76">
        <v>1</v>
      </c>
      <c r="R65" s="59">
        <v>1</v>
      </c>
      <c r="S65" s="76">
        <v>1</v>
      </c>
      <c r="T65" s="6">
        <v>3</v>
      </c>
      <c r="U65" s="6">
        <v>3</v>
      </c>
      <c r="V65" s="76">
        <f t="shared" si="0"/>
        <v>1</v>
      </c>
    </row>
    <row r="66" spans="1:22" x14ac:dyDescent="0.25">
      <c r="A66" s="6">
        <v>71</v>
      </c>
      <c r="B66" s="6">
        <v>17085</v>
      </c>
      <c r="C66" s="6" t="s">
        <v>21</v>
      </c>
      <c r="D66" s="6" t="s">
        <v>289</v>
      </c>
      <c r="E66" s="6" t="s">
        <v>291</v>
      </c>
      <c r="F66" s="6" t="s">
        <v>223</v>
      </c>
      <c r="G66" s="6">
        <v>1</v>
      </c>
      <c r="H66" s="6">
        <v>1</v>
      </c>
      <c r="I66" s="76">
        <v>1</v>
      </c>
      <c r="J66" s="76">
        <v>1</v>
      </c>
      <c r="K66" s="76">
        <v>0</v>
      </c>
      <c r="L66" s="76">
        <v>1</v>
      </c>
      <c r="M66" s="76">
        <v>0</v>
      </c>
      <c r="N66" s="76">
        <v>1</v>
      </c>
      <c r="O66" s="76">
        <v>0</v>
      </c>
      <c r="P66" s="76">
        <v>1</v>
      </c>
      <c r="Q66" s="76">
        <v>0</v>
      </c>
      <c r="R66" s="59">
        <v>0</v>
      </c>
      <c r="S66" s="76">
        <v>0</v>
      </c>
      <c r="T66" s="6">
        <v>0</v>
      </c>
      <c r="U66" s="6">
        <v>0</v>
      </c>
      <c r="V66" s="76">
        <v>1</v>
      </c>
    </row>
    <row r="67" spans="1:22" x14ac:dyDescent="0.25">
      <c r="A67" s="6">
        <v>72</v>
      </c>
      <c r="B67" s="6">
        <v>16787</v>
      </c>
      <c r="C67" s="6" t="s">
        <v>161</v>
      </c>
      <c r="D67" s="6" t="s">
        <v>289</v>
      </c>
      <c r="E67" s="6" t="s">
        <v>321</v>
      </c>
      <c r="F67" s="6" t="s">
        <v>322</v>
      </c>
      <c r="G67" s="6">
        <v>7</v>
      </c>
      <c r="H67" s="6">
        <v>7</v>
      </c>
      <c r="I67" s="76">
        <v>1</v>
      </c>
      <c r="J67" s="76">
        <v>1</v>
      </c>
      <c r="K67" s="76">
        <v>1</v>
      </c>
      <c r="L67" s="76">
        <v>0</v>
      </c>
      <c r="M67" s="76">
        <v>1</v>
      </c>
      <c r="N67" s="76">
        <v>1</v>
      </c>
      <c r="O67" s="76">
        <v>1</v>
      </c>
      <c r="P67" s="76">
        <v>1</v>
      </c>
      <c r="Q67" s="76">
        <v>1</v>
      </c>
      <c r="R67" s="59">
        <v>1</v>
      </c>
      <c r="S67" s="76">
        <v>1</v>
      </c>
      <c r="T67" s="6">
        <v>15</v>
      </c>
      <c r="U67" s="6">
        <v>15</v>
      </c>
      <c r="V67" s="76">
        <f t="shared" ref="V67:V130" si="1">+U67/T67</f>
        <v>1</v>
      </c>
    </row>
    <row r="68" spans="1:22" x14ac:dyDescent="0.25">
      <c r="A68" s="6">
        <v>73</v>
      </c>
      <c r="B68" s="6">
        <v>16897</v>
      </c>
      <c r="C68" s="6" t="s">
        <v>144</v>
      </c>
      <c r="D68" s="6" t="s">
        <v>289</v>
      </c>
      <c r="E68" s="6" t="s">
        <v>298</v>
      </c>
      <c r="F68" s="6" t="s">
        <v>320</v>
      </c>
      <c r="G68" s="6">
        <v>4</v>
      </c>
      <c r="H68" s="6">
        <v>4</v>
      </c>
      <c r="I68" s="76">
        <v>1</v>
      </c>
      <c r="J68" s="76">
        <v>1</v>
      </c>
      <c r="K68" s="76">
        <v>0.75</v>
      </c>
      <c r="L68" s="76">
        <v>0.5</v>
      </c>
      <c r="M68" s="76">
        <v>0.25</v>
      </c>
      <c r="N68" s="76">
        <v>0.92307692307692313</v>
      </c>
      <c r="O68" s="76">
        <v>1</v>
      </c>
      <c r="P68" s="76">
        <v>1</v>
      </c>
      <c r="Q68" s="76">
        <v>1</v>
      </c>
      <c r="R68" s="59">
        <v>1</v>
      </c>
      <c r="S68" s="76">
        <v>1</v>
      </c>
      <c r="T68" s="6">
        <v>13</v>
      </c>
      <c r="U68" s="6">
        <v>12</v>
      </c>
      <c r="V68" s="76">
        <f t="shared" si="1"/>
        <v>0.92307692307692313</v>
      </c>
    </row>
    <row r="69" spans="1:22" x14ac:dyDescent="0.25">
      <c r="A69" s="6">
        <v>74</v>
      </c>
      <c r="B69" s="6">
        <v>17136</v>
      </c>
      <c r="C69" s="6" t="s">
        <v>137</v>
      </c>
      <c r="D69" s="6" t="s">
        <v>289</v>
      </c>
      <c r="E69" s="6" t="s">
        <v>293</v>
      </c>
      <c r="F69" s="6" t="s">
        <v>223</v>
      </c>
      <c r="G69" s="6">
        <v>16</v>
      </c>
      <c r="H69" s="6">
        <v>16</v>
      </c>
      <c r="I69" s="76">
        <v>1</v>
      </c>
      <c r="J69" s="76">
        <v>1</v>
      </c>
      <c r="K69" s="76">
        <v>1</v>
      </c>
      <c r="L69" s="76">
        <v>1</v>
      </c>
      <c r="M69" s="76">
        <v>0</v>
      </c>
      <c r="N69" s="76">
        <v>0.66666666666666663</v>
      </c>
      <c r="O69" s="76">
        <v>1</v>
      </c>
      <c r="P69" s="76">
        <v>1</v>
      </c>
      <c r="Q69" s="76">
        <v>1</v>
      </c>
      <c r="R69" s="59">
        <v>1</v>
      </c>
      <c r="S69" s="76">
        <v>1</v>
      </c>
      <c r="T69" s="6">
        <v>3</v>
      </c>
      <c r="U69" s="6">
        <v>2</v>
      </c>
      <c r="V69" s="76">
        <f t="shared" si="1"/>
        <v>0.66666666666666663</v>
      </c>
    </row>
    <row r="70" spans="1:22" x14ac:dyDescent="0.25">
      <c r="A70" s="6">
        <v>75</v>
      </c>
      <c r="B70" s="6">
        <v>17154</v>
      </c>
      <c r="C70" s="6" t="s">
        <v>40</v>
      </c>
      <c r="D70" s="6" t="s">
        <v>289</v>
      </c>
      <c r="E70" s="6" t="s">
        <v>292</v>
      </c>
      <c r="F70" s="6" t="s">
        <v>223</v>
      </c>
      <c r="G70" s="6">
        <v>5</v>
      </c>
      <c r="H70" s="6">
        <v>5</v>
      </c>
      <c r="I70" s="76">
        <v>1</v>
      </c>
      <c r="J70" s="76">
        <v>1</v>
      </c>
      <c r="K70" s="76">
        <v>1</v>
      </c>
      <c r="L70" s="76">
        <v>1</v>
      </c>
      <c r="M70" s="76">
        <v>0.6</v>
      </c>
      <c r="N70" s="76">
        <v>1</v>
      </c>
      <c r="O70" s="76">
        <v>1</v>
      </c>
      <c r="P70" s="76">
        <v>1</v>
      </c>
      <c r="Q70" s="76">
        <v>1</v>
      </c>
      <c r="R70" s="59">
        <v>1</v>
      </c>
      <c r="S70" s="76">
        <v>1</v>
      </c>
      <c r="T70" s="6">
        <v>7</v>
      </c>
      <c r="U70" s="6">
        <v>7</v>
      </c>
      <c r="V70" s="76">
        <f t="shared" si="1"/>
        <v>1</v>
      </c>
    </row>
    <row r="71" spans="1:22" x14ac:dyDescent="0.25">
      <c r="A71" s="6">
        <v>76</v>
      </c>
      <c r="B71" s="6">
        <v>16785</v>
      </c>
      <c r="C71" s="6" t="s">
        <v>159</v>
      </c>
      <c r="D71" s="6" t="s">
        <v>289</v>
      </c>
      <c r="E71" s="6" t="s">
        <v>321</v>
      </c>
      <c r="F71" s="6" t="s">
        <v>322</v>
      </c>
      <c r="G71" s="6">
        <v>14</v>
      </c>
      <c r="H71" s="6">
        <v>14</v>
      </c>
      <c r="I71" s="76">
        <v>1</v>
      </c>
      <c r="J71" s="76">
        <v>1</v>
      </c>
      <c r="K71" s="76">
        <v>1</v>
      </c>
      <c r="L71" s="76">
        <v>0.9285714285714286</v>
      </c>
      <c r="M71" s="76">
        <v>0</v>
      </c>
      <c r="N71" s="76">
        <v>0.2608695652173913</v>
      </c>
      <c r="O71" s="76">
        <v>1</v>
      </c>
      <c r="P71" s="76">
        <v>1</v>
      </c>
      <c r="Q71" s="76">
        <v>1</v>
      </c>
      <c r="R71" s="59">
        <v>1</v>
      </c>
      <c r="S71" s="76">
        <v>1</v>
      </c>
      <c r="T71" s="6">
        <v>23</v>
      </c>
      <c r="U71" s="6">
        <v>6</v>
      </c>
      <c r="V71" s="76">
        <f t="shared" si="1"/>
        <v>0.2608695652173913</v>
      </c>
    </row>
    <row r="72" spans="1:22" x14ac:dyDescent="0.25">
      <c r="A72" s="6">
        <v>78</v>
      </c>
      <c r="B72" s="6">
        <v>16831</v>
      </c>
      <c r="C72" s="6" t="s">
        <v>65</v>
      </c>
      <c r="D72" s="6" t="s">
        <v>289</v>
      </c>
      <c r="E72" s="6" t="s">
        <v>294</v>
      </c>
      <c r="F72" s="6" t="s">
        <v>320</v>
      </c>
      <c r="G72" s="6">
        <v>11</v>
      </c>
      <c r="H72" s="6">
        <v>10</v>
      </c>
      <c r="I72" s="76">
        <v>0.90909090909090906</v>
      </c>
      <c r="J72" s="76">
        <v>0.90909090909090906</v>
      </c>
      <c r="K72" s="76">
        <v>0.90909090909090906</v>
      </c>
      <c r="L72" s="76">
        <v>0.63636363636363635</v>
      </c>
      <c r="M72" s="76">
        <v>0.54545454545454541</v>
      </c>
      <c r="N72" s="76">
        <v>0.76470588235294112</v>
      </c>
      <c r="O72" s="76">
        <v>0.90909090909090906</v>
      </c>
      <c r="P72" s="76">
        <v>0.81818181818181823</v>
      </c>
      <c r="Q72" s="76">
        <v>0.90909090909090906</v>
      </c>
      <c r="R72" s="59">
        <v>0.90909090909090906</v>
      </c>
      <c r="S72" s="76">
        <v>0.90909090909090906</v>
      </c>
      <c r="T72" s="6">
        <v>17</v>
      </c>
      <c r="U72" s="6">
        <v>13</v>
      </c>
      <c r="V72" s="76">
        <f t="shared" si="1"/>
        <v>0.76470588235294112</v>
      </c>
    </row>
    <row r="73" spans="1:22" x14ac:dyDescent="0.25">
      <c r="A73" s="6">
        <v>79</v>
      </c>
      <c r="B73" s="6">
        <v>17103</v>
      </c>
      <c r="C73" s="6" t="s">
        <v>55</v>
      </c>
      <c r="D73" s="6" t="s">
        <v>289</v>
      </c>
      <c r="E73" s="6" t="s">
        <v>274</v>
      </c>
      <c r="F73" s="6" t="s">
        <v>223</v>
      </c>
      <c r="G73" s="6">
        <v>4</v>
      </c>
      <c r="H73" s="6">
        <v>4</v>
      </c>
      <c r="I73" s="76">
        <v>1</v>
      </c>
      <c r="J73" s="76">
        <v>1</v>
      </c>
      <c r="K73" s="76">
        <v>0.25</v>
      </c>
      <c r="L73" s="76">
        <v>1</v>
      </c>
      <c r="M73" s="76">
        <v>0.5</v>
      </c>
      <c r="N73" s="76">
        <v>0.88888888888888884</v>
      </c>
      <c r="O73" s="76">
        <v>1</v>
      </c>
      <c r="P73" s="76">
        <v>1</v>
      </c>
      <c r="Q73" s="76">
        <v>1</v>
      </c>
      <c r="R73" s="59">
        <v>1</v>
      </c>
      <c r="S73" s="76">
        <v>1</v>
      </c>
      <c r="T73" s="6">
        <v>9</v>
      </c>
      <c r="U73" s="6">
        <v>8</v>
      </c>
      <c r="V73" s="76">
        <f t="shared" si="1"/>
        <v>0.88888888888888884</v>
      </c>
    </row>
    <row r="74" spans="1:22" x14ac:dyDescent="0.25">
      <c r="A74" s="6">
        <v>80</v>
      </c>
      <c r="B74" s="6">
        <v>17075</v>
      </c>
      <c r="C74" s="6" t="s">
        <v>11</v>
      </c>
      <c r="D74" s="6" t="s">
        <v>289</v>
      </c>
      <c r="E74" s="6" t="s">
        <v>291</v>
      </c>
      <c r="F74" s="6" t="s">
        <v>223</v>
      </c>
      <c r="G74" s="6">
        <v>16</v>
      </c>
      <c r="H74" s="6">
        <v>16</v>
      </c>
      <c r="I74" s="76">
        <v>1</v>
      </c>
      <c r="J74" s="76">
        <v>1</v>
      </c>
      <c r="K74" s="76">
        <v>0.6875</v>
      </c>
      <c r="L74" s="76">
        <v>1</v>
      </c>
      <c r="M74" s="76">
        <v>0.875</v>
      </c>
      <c r="N74" s="76">
        <v>1</v>
      </c>
      <c r="O74" s="76">
        <v>1</v>
      </c>
      <c r="P74" s="76">
        <v>1</v>
      </c>
      <c r="Q74" s="76">
        <v>1</v>
      </c>
      <c r="R74" s="59">
        <v>1</v>
      </c>
      <c r="S74" s="76">
        <v>1</v>
      </c>
      <c r="T74" s="6">
        <v>16</v>
      </c>
      <c r="U74" s="6">
        <v>16</v>
      </c>
      <c r="V74" s="76">
        <f t="shared" si="1"/>
        <v>1</v>
      </c>
    </row>
    <row r="75" spans="1:22" x14ac:dyDescent="0.25">
      <c r="A75" s="6">
        <v>81</v>
      </c>
      <c r="B75" s="6">
        <v>17111</v>
      </c>
      <c r="C75" s="6" t="s">
        <v>187</v>
      </c>
      <c r="D75" s="6" t="s">
        <v>289</v>
      </c>
      <c r="E75" s="6" t="s">
        <v>273</v>
      </c>
      <c r="F75" s="6" t="s">
        <v>223</v>
      </c>
      <c r="G75" s="6">
        <v>4</v>
      </c>
      <c r="H75" s="6">
        <v>4</v>
      </c>
      <c r="I75" s="76">
        <v>1</v>
      </c>
      <c r="J75" s="76">
        <v>1</v>
      </c>
      <c r="K75" s="76">
        <v>0.25</v>
      </c>
      <c r="L75" s="76">
        <v>1</v>
      </c>
      <c r="M75" s="76">
        <v>0.5</v>
      </c>
      <c r="N75" s="76">
        <v>1</v>
      </c>
      <c r="O75" s="76">
        <v>1</v>
      </c>
      <c r="P75" s="76">
        <v>1</v>
      </c>
      <c r="Q75" s="76">
        <v>1</v>
      </c>
      <c r="R75" s="59">
        <v>1</v>
      </c>
      <c r="S75" s="76">
        <v>1</v>
      </c>
      <c r="T75" s="6">
        <v>24</v>
      </c>
      <c r="U75" s="6">
        <v>24</v>
      </c>
      <c r="V75" s="76">
        <f t="shared" si="1"/>
        <v>1</v>
      </c>
    </row>
    <row r="76" spans="1:22" x14ac:dyDescent="0.25">
      <c r="A76" s="6">
        <v>82</v>
      </c>
      <c r="B76" s="6">
        <v>17090</v>
      </c>
      <c r="C76" s="6" t="s">
        <v>42</v>
      </c>
      <c r="D76" s="6" t="s">
        <v>289</v>
      </c>
      <c r="E76" s="6" t="s">
        <v>274</v>
      </c>
      <c r="F76" s="6" t="s">
        <v>223</v>
      </c>
      <c r="G76" s="6">
        <v>7</v>
      </c>
      <c r="H76" s="6">
        <v>7</v>
      </c>
      <c r="I76" s="76">
        <v>1</v>
      </c>
      <c r="J76" s="76">
        <v>1</v>
      </c>
      <c r="K76" s="76">
        <v>1</v>
      </c>
      <c r="L76" s="76">
        <v>1</v>
      </c>
      <c r="M76" s="76">
        <v>0.7142857142857143</v>
      </c>
      <c r="N76" s="76">
        <v>1</v>
      </c>
      <c r="O76" s="76">
        <v>1</v>
      </c>
      <c r="P76" s="76">
        <v>1</v>
      </c>
      <c r="Q76" s="76">
        <v>1</v>
      </c>
      <c r="R76" s="59">
        <v>1</v>
      </c>
      <c r="S76" s="76">
        <v>1</v>
      </c>
      <c r="T76" s="6">
        <v>14</v>
      </c>
      <c r="U76" s="6">
        <v>14</v>
      </c>
      <c r="V76" s="76">
        <f t="shared" si="1"/>
        <v>1</v>
      </c>
    </row>
    <row r="77" spans="1:22" x14ac:dyDescent="0.25">
      <c r="A77" s="6">
        <v>83</v>
      </c>
      <c r="B77" s="6">
        <v>16788</v>
      </c>
      <c r="C77" s="6" t="s">
        <v>112</v>
      </c>
      <c r="D77" s="6" t="s">
        <v>289</v>
      </c>
      <c r="E77" s="6" t="s">
        <v>323</v>
      </c>
      <c r="F77" s="6" t="s">
        <v>322</v>
      </c>
      <c r="G77" s="6">
        <v>12</v>
      </c>
      <c r="H77" s="6">
        <v>12</v>
      </c>
      <c r="I77" s="76">
        <v>1</v>
      </c>
      <c r="J77" s="76">
        <v>1</v>
      </c>
      <c r="K77" s="76">
        <v>1</v>
      </c>
      <c r="L77" s="76">
        <v>0.41666666666666669</v>
      </c>
      <c r="M77" s="76">
        <v>0.66666666666666663</v>
      </c>
      <c r="N77" s="76">
        <v>0.8571428571428571</v>
      </c>
      <c r="O77" s="76">
        <v>1</v>
      </c>
      <c r="P77" s="76">
        <v>0.91666666666666663</v>
      </c>
      <c r="Q77" s="76">
        <v>1</v>
      </c>
      <c r="R77" s="59">
        <v>1</v>
      </c>
      <c r="S77" s="76">
        <v>1</v>
      </c>
      <c r="T77" s="6">
        <v>21</v>
      </c>
      <c r="U77" s="6">
        <v>18</v>
      </c>
      <c r="V77" s="76">
        <f t="shared" si="1"/>
        <v>0.8571428571428571</v>
      </c>
    </row>
    <row r="78" spans="1:22" x14ac:dyDescent="0.25">
      <c r="A78" s="6">
        <v>84</v>
      </c>
      <c r="B78" s="6">
        <v>16832</v>
      </c>
      <c r="C78" s="6" t="s">
        <v>176</v>
      </c>
      <c r="D78" s="6" t="s">
        <v>289</v>
      </c>
      <c r="E78" s="6" t="s">
        <v>299</v>
      </c>
      <c r="F78" s="6" t="s">
        <v>320</v>
      </c>
      <c r="G78" s="6">
        <v>12</v>
      </c>
      <c r="H78" s="6">
        <v>10</v>
      </c>
      <c r="I78" s="76">
        <v>0.83333333333333337</v>
      </c>
      <c r="J78" s="76">
        <v>0.83333333333333337</v>
      </c>
      <c r="K78" s="76">
        <v>0.75</v>
      </c>
      <c r="L78" s="76">
        <v>0.83333333333333337</v>
      </c>
      <c r="M78" s="76">
        <v>0.41666666666666669</v>
      </c>
      <c r="N78" s="76">
        <v>0.35</v>
      </c>
      <c r="O78" s="76">
        <v>0.83333333333333337</v>
      </c>
      <c r="P78" s="76">
        <v>0.75</v>
      </c>
      <c r="Q78" s="76">
        <v>0.83333333333333337</v>
      </c>
      <c r="R78" s="59">
        <v>0.83333333333333337</v>
      </c>
      <c r="S78" s="76">
        <v>0.83333333333333337</v>
      </c>
      <c r="T78" s="6">
        <v>20</v>
      </c>
      <c r="U78" s="6">
        <v>7</v>
      </c>
      <c r="V78" s="76">
        <f t="shared" si="1"/>
        <v>0.35</v>
      </c>
    </row>
    <row r="79" spans="1:22" x14ac:dyDescent="0.25">
      <c r="A79" s="6">
        <v>85</v>
      </c>
      <c r="B79" s="6">
        <v>17105</v>
      </c>
      <c r="C79" s="6" t="s">
        <v>57</v>
      </c>
      <c r="D79" s="6" t="s">
        <v>289</v>
      </c>
      <c r="E79" s="6" t="s">
        <v>274</v>
      </c>
      <c r="F79" s="6" t="s">
        <v>223</v>
      </c>
      <c r="G79" s="6">
        <v>13</v>
      </c>
      <c r="H79" s="6">
        <v>13</v>
      </c>
      <c r="I79" s="76">
        <v>1</v>
      </c>
      <c r="J79" s="76">
        <v>1</v>
      </c>
      <c r="K79" s="76">
        <v>1</v>
      </c>
      <c r="L79" s="76">
        <v>0.84615384615384615</v>
      </c>
      <c r="M79" s="76">
        <v>0.15384615384615385</v>
      </c>
      <c r="N79" s="76">
        <v>1</v>
      </c>
      <c r="O79" s="76">
        <v>1</v>
      </c>
      <c r="P79" s="76">
        <v>1</v>
      </c>
      <c r="Q79" s="76">
        <v>1</v>
      </c>
      <c r="R79" s="59">
        <v>1</v>
      </c>
      <c r="S79" s="76">
        <v>1</v>
      </c>
      <c r="T79" s="6">
        <v>19</v>
      </c>
      <c r="U79" s="6">
        <v>19</v>
      </c>
      <c r="V79" s="76">
        <f t="shared" si="1"/>
        <v>1</v>
      </c>
    </row>
    <row r="80" spans="1:22" x14ac:dyDescent="0.25">
      <c r="A80" s="6">
        <v>87</v>
      </c>
      <c r="B80" s="6">
        <v>16695</v>
      </c>
      <c r="C80" s="6" t="s">
        <v>172</v>
      </c>
      <c r="D80" s="6" t="s">
        <v>289</v>
      </c>
      <c r="E80" s="6" t="s">
        <v>299</v>
      </c>
      <c r="F80" s="6" t="s">
        <v>320</v>
      </c>
      <c r="G80" s="6">
        <v>5</v>
      </c>
      <c r="H80" s="6">
        <v>5</v>
      </c>
      <c r="I80" s="76">
        <v>1</v>
      </c>
      <c r="J80" s="76">
        <v>1</v>
      </c>
      <c r="K80" s="76">
        <v>1</v>
      </c>
      <c r="L80" s="76">
        <v>1</v>
      </c>
      <c r="M80" s="76">
        <v>0</v>
      </c>
      <c r="N80" s="76">
        <v>1</v>
      </c>
      <c r="O80" s="76">
        <v>1</v>
      </c>
      <c r="P80" s="76">
        <v>1</v>
      </c>
      <c r="Q80" s="76">
        <v>1</v>
      </c>
      <c r="R80" s="59">
        <v>1</v>
      </c>
      <c r="S80" s="76">
        <v>1</v>
      </c>
      <c r="T80" s="6">
        <v>10</v>
      </c>
      <c r="U80" s="6">
        <v>10</v>
      </c>
      <c r="V80" s="76">
        <f t="shared" si="1"/>
        <v>1</v>
      </c>
    </row>
    <row r="81" spans="1:22" x14ac:dyDescent="0.25">
      <c r="A81" s="6">
        <v>88</v>
      </c>
      <c r="B81" s="6">
        <v>17086</v>
      </c>
      <c r="C81" s="6" t="s">
        <v>22</v>
      </c>
      <c r="D81" s="6" t="s">
        <v>289</v>
      </c>
      <c r="E81" s="6" t="s">
        <v>291</v>
      </c>
      <c r="F81" s="6" t="s">
        <v>223</v>
      </c>
      <c r="G81" s="6">
        <v>5</v>
      </c>
      <c r="H81" s="6">
        <v>4</v>
      </c>
      <c r="I81" s="76">
        <v>0.8</v>
      </c>
      <c r="J81" s="76">
        <v>1</v>
      </c>
      <c r="K81" s="76">
        <v>0.8</v>
      </c>
      <c r="L81" s="76">
        <v>0.8</v>
      </c>
      <c r="M81" s="76">
        <v>0.2</v>
      </c>
      <c r="N81" s="76">
        <v>1</v>
      </c>
      <c r="O81" s="76">
        <v>1</v>
      </c>
      <c r="P81" s="76">
        <v>1</v>
      </c>
      <c r="Q81" s="76">
        <v>1</v>
      </c>
      <c r="R81" s="59">
        <v>1</v>
      </c>
      <c r="S81" s="76">
        <v>1</v>
      </c>
      <c r="T81" s="6">
        <v>4</v>
      </c>
      <c r="U81" s="6">
        <v>4</v>
      </c>
      <c r="V81" s="76">
        <f t="shared" si="1"/>
        <v>1</v>
      </c>
    </row>
    <row r="82" spans="1:22" x14ac:dyDescent="0.25">
      <c r="A82" s="6">
        <v>89</v>
      </c>
      <c r="B82" s="6">
        <v>16896</v>
      </c>
      <c r="C82" s="6" t="s">
        <v>143</v>
      </c>
      <c r="D82" s="6" t="s">
        <v>289</v>
      </c>
      <c r="E82" s="6" t="s">
        <v>298</v>
      </c>
      <c r="F82" s="6" t="s">
        <v>320</v>
      </c>
      <c r="G82" s="6">
        <v>4</v>
      </c>
      <c r="H82" s="6">
        <v>4</v>
      </c>
      <c r="I82" s="76">
        <v>1</v>
      </c>
      <c r="J82" s="76">
        <v>0.75</v>
      </c>
      <c r="K82" s="76">
        <v>0.25</v>
      </c>
      <c r="L82" s="76">
        <v>0.5</v>
      </c>
      <c r="M82" s="76">
        <v>0</v>
      </c>
      <c r="N82" s="76">
        <v>1</v>
      </c>
      <c r="O82" s="76">
        <v>1</v>
      </c>
      <c r="P82" s="76">
        <v>0.75</v>
      </c>
      <c r="Q82" s="76">
        <v>1</v>
      </c>
      <c r="R82" s="59">
        <v>1</v>
      </c>
      <c r="S82" s="76">
        <v>1</v>
      </c>
      <c r="T82" s="6">
        <v>18</v>
      </c>
      <c r="U82" s="6">
        <v>18</v>
      </c>
      <c r="V82" s="76">
        <f t="shared" si="1"/>
        <v>1</v>
      </c>
    </row>
    <row r="83" spans="1:22" x14ac:dyDescent="0.25">
      <c r="A83" s="6">
        <v>90</v>
      </c>
      <c r="B83" s="6">
        <v>16841</v>
      </c>
      <c r="C83" s="6" t="s">
        <v>102</v>
      </c>
      <c r="D83" s="6" t="s">
        <v>289</v>
      </c>
      <c r="E83" s="6" t="s">
        <v>297</v>
      </c>
      <c r="F83" s="6" t="s">
        <v>322</v>
      </c>
      <c r="G83" s="6">
        <v>17</v>
      </c>
      <c r="H83" s="6">
        <v>17</v>
      </c>
      <c r="I83" s="76">
        <v>1</v>
      </c>
      <c r="J83" s="76">
        <v>1</v>
      </c>
      <c r="K83" s="76">
        <v>0.88235294117647056</v>
      </c>
      <c r="L83" s="76">
        <v>0.94117647058823528</v>
      </c>
      <c r="M83" s="76">
        <v>0.23529411764705882</v>
      </c>
      <c r="N83" s="76">
        <v>0.78260869565217395</v>
      </c>
      <c r="O83" s="76">
        <v>1</v>
      </c>
      <c r="P83" s="76">
        <v>1</v>
      </c>
      <c r="Q83" s="76">
        <v>1</v>
      </c>
      <c r="R83" s="59">
        <v>1</v>
      </c>
      <c r="S83" s="76">
        <v>1</v>
      </c>
      <c r="T83" s="6">
        <v>23</v>
      </c>
      <c r="U83" s="6">
        <v>18</v>
      </c>
      <c r="V83" s="76">
        <f t="shared" si="1"/>
        <v>0.78260869565217395</v>
      </c>
    </row>
    <row r="84" spans="1:22" x14ac:dyDescent="0.25">
      <c r="A84" s="6">
        <v>92</v>
      </c>
      <c r="B84" s="6">
        <v>17101</v>
      </c>
      <c r="C84" s="6" t="s">
        <v>53</v>
      </c>
      <c r="D84" s="6" t="s">
        <v>289</v>
      </c>
      <c r="E84" s="6" t="s">
        <v>274</v>
      </c>
      <c r="F84" s="6" t="s">
        <v>223</v>
      </c>
      <c r="G84" s="6">
        <v>3</v>
      </c>
      <c r="H84" s="6">
        <v>3</v>
      </c>
      <c r="I84" s="76">
        <v>1</v>
      </c>
      <c r="J84" s="76">
        <v>1</v>
      </c>
      <c r="K84" s="76">
        <v>1</v>
      </c>
      <c r="L84" s="76">
        <v>1</v>
      </c>
      <c r="M84" s="76">
        <v>0</v>
      </c>
      <c r="N84" s="76">
        <v>1</v>
      </c>
      <c r="O84" s="76">
        <v>1</v>
      </c>
      <c r="P84" s="76">
        <v>1</v>
      </c>
      <c r="Q84" s="76">
        <v>1</v>
      </c>
      <c r="R84" s="59">
        <v>1</v>
      </c>
      <c r="S84" s="76">
        <v>1</v>
      </c>
      <c r="T84" s="6">
        <v>10</v>
      </c>
      <c r="U84" s="6">
        <v>10</v>
      </c>
      <c r="V84" s="76">
        <f t="shared" si="1"/>
        <v>1</v>
      </c>
    </row>
    <row r="85" spans="1:22" x14ac:dyDescent="0.25">
      <c r="A85" s="6">
        <v>93</v>
      </c>
      <c r="B85" s="6">
        <v>17141</v>
      </c>
      <c r="C85" s="6" t="s">
        <v>27</v>
      </c>
      <c r="D85" s="6" t="s">
        <v>289</v>
      </c>
      <c r="E85" s="6" t="s">
        <v>292</v>
      </c>
      <c r="F85" s="6" t="s">
        <v>223</v>
      </c>
      <c r="G85" s="6">
        <v>16</v>
      </c>
      <c r="H85" s="6">
        <v>16</v>
      </c>
      <c r="I85" s="76">
        <v>1</v>
      </c>
      <c r="J85" s="76">
        <v>1</v>
      </c>
      <c r="K85" s="76">
        <v>0.5625</v>
      </c>
      <c r="L85" s="76">
        <v>0.625</v>
      </c>
      <c r="M85" s="76">
        <v>0</v>
      </c>
      <c r="N85" s="76">
        <v>1</v>
      </c>
      <c r="O85" s="76">
        <v>1</v>
      </c>
      <c r="P85" s="76">
        <v>1</v>
      </c>
      <c r="Q85" s="76">
        <v>1</v>
      </c>
      <c r="R85" s="59">
        <v>1</v>
      </c>
      <c r="S85" s="76">
        <v>1</v>
      </c>
      <c r="T85" s="6">
        <v>10</v>
      </c>
      <c r="U85" s="6">
        <v>10</v>
      </c>
      <c r="V85" s="76">
        <f t="shared" si="1"/>
        <v>1</v>
      </c>
    </row>
    <row r="86" spans="1:22" x14ac:dyDescent="0.25">
      <c r="A86" s="6">
        <v>94</v>
      </c>
      <c r="B86" s="6">
        <v>16689</v>
      </c>
      <c r="C86" s="6" t="s">
        <v>72</v>
      </c>
      <c r="D86" s="6" t="s">
        <v>289</v>
      </c>
      <c r="E86" s="6" t="s">
        <v>295</v>
      </c>
      <c r="F86" s="6" t="s">
        <v>320</v>
      </c>
      <c r="G86" s="6">
        <v>19</v>
      </c>
      <c r="H86" s="6">
        <v>19</v>
      </c>
      <c r="I86" s="76">
        <v>1</v>
      </c>
      <c r="J86" s="76">
        <v>1</v>
      </c>
      <c r="K86" s="76">
        <v>0.78947368421052633</v>
      </c>
      <c r="L86" s="76">
        <v>1</v>
      </c>
      <c r="M86" s="76">
        <v>0.36842105263157893</v>
      </c>
      <c r="N86" s="76">
        <v>0.80769230769230771</v>
      </c>
      <c r="O86" s="76">
        <v>1</v>
      </c>
      <c r="P86" s="76">
        <v>1</v>
      </c>
      <c r="Q86" s="76">
        <v>1</v>
      </c>
      <c r="R86" s="59">
        <v>1</v>
      </c>
      <c r="S86" s="76">
        <v>1</v>
      </c>
      <c r="T86" s="6">
        <v>52</v>
      </c>
      <c r="U86" s="6">
        <v>42</v>
      </c>
      <c r="V86" s="76">
        <f t="shared" si="1"/>
        <v>0.80769230769230771</v>
      </c>
    </row>
    <row r="87" spans="1:22" x14ac:dyDescent="0.25">
      <c r="A87" s="6">
        <v>95</v>
      </c>
      <c r="B87" s="6">
        <v>16840</v>
      </c>
      <c r="C87" s="6" t="s">
        <v>109</v>
      </c>
      <c r="D87" s="6" t="s">
        <v>289</v>
      </c>
      <c r="E87" s="6" t="s">
        <v>297</v>
      </c>
      <c r="F87" s="6" t="s">
        <v>322</v>
      </c>
      <c r="G87" s="6">
        <v>11</v>
      </c>
      <c r="H87" s="6">
        <v>11</v>
      </c>
      <c r="I87" s="76">
        <v>1</v>
      </c>
      <c r="J87" s="76">
        <v>1</v>
      </c>
      <c r="K87" s="76">
        <v>0.81818181818181823</v>
      </c>
      <c r="L87" s="76">
        <v>0.81818181818181823</v>
      </c>
      <c r="M87" s="76">
        <v>0.18181818181818182</v>
      </c>
      <c r="N87" s="76">
        <v>0.91666666666666663</v>
      </c>
      <c r="O87" s="76">
        <v>1</v>
      </c>
      <c r="P87" s="76">
        <v>0.90909090909090906</v>
      </c>
      <c r="Q87" s="76">
        <v>1</v>
      </c>
      <c r="R87" s="59">
        <v>1</v>
      </c>
      <c r="S87" s="76">
        <v>1</v>
      </c>
      <c r="T87" s="6">
        <v>12</v>
      </c>
      <c r="U87" s="6">
        <v>11</v>
      </c>
      <c r="V87" s="76">
        <f t="shared" si="1"/>
        <v>0.91666666666666663</v>
      </c>
    </row>
    <row r="88" spans="1:22" x14ac:dyDescent="0.25">
      <c r="A88" s="6">
        <v>97</v>
      </c>
      <c r="B88" s="6">
        <v>17100</v>
      </c>
      <c r="C88" s="6" t="s">
        <v>52</v>
      </c>
      <c r="D88" s="6" t="s">
        <v>289</v>
      </c>
      <c r="E88" s="6" t="s">
        <v>274</v>
      </c>
      <c r="F88" s="6" t="s">
        <v>223</v>
      </c>
      <c r="G88" s="6">
        <v>15</v>
      </c>
      <c r="H88" s="6">
        <v>15</v>
      </c>
      <c r="I88" s="76">
        <v>1</v>
      </c>
      <c r="J88" s="76">
        <v>1</v>
      </c>
      <c r="K88" s="76">
        <v>0.8</v>
      </c>
      <c r="L88" s="76">
        <v>0.93333333333333335</v>
      </c>
      <c r="M88" s="76">
        <v>0</v>
      </c>
      <c r="N88" s="76">
        <v>1</v>
      </c>
      <c r="O88" s="76">
        <v>1</v>
      </c>
      <c r="P88" s="76">
        <v>1</v>
      </c>
      <c r="Q88" s="76">
        <v>1</v>
      </c>
      <c r="R88" s="59">
        <v>1</v>
      </c>
      <c r="S88" s="76">
        <v>1</v>
      </c>
      <c r="T88" s="6">
        <v>6</v>
      </c>
      <c r="U88" s="6">
        <v>6</v>
      </c>
      <c r="V88" s="76">
        <f t="shared" si="1"/>
        <v>1</v>
      </c>
    </row>
    <row r="89" spans="1:22" x14ac:dyDescent="0.25">
      <c r="A89" s="6">
        <v>98</v>
      </c>
      <c r="B89" s="6">
        <v>17132</v>
      </c>
      <c r="C89" s="6" t="s">
        <v>133</v>
      </c>
      <c r="D89" s="6" t="s">
        <v>289</v>
      </c>
      <c r="E89" s="6" t="s">
        <v>293</v>
      </c>
      <c r="F89" s="6" t="s">
        <v>223</v>
      </c>
      <c r="G89" s="6">
        <v>4</v>
      </c>
      <c r="H89" s="6">
        <v>4</v>
      </c>
      <c r="I89" s="76">
        <v>1</v>
      </c>
      <c r="J89" s="76">
        <v>1</v>
      </c>
      <c r="K89" s="76">
        <v>1</v>
      </c>
      <c r="L89" s="76">
        <v>1</v>
      </c>
      <c r="M89" s="76">
        <v>0.75</v>
      </c>
      <c r="N89" s="76">
        <v>1</v>
      </c>
      <c r="O89" s="76">
        <v>1</v>
      </c>
      <c r="P89" s="76">
        <v>1</v>
      </c>
      <c r="Q89" s="76">
        <v>1</v>
      </c>
      <c r="R89" s="59">
        <v>1</v>
      </c>
      <c r="S89" s="76">
        <v>1</v>
      </c>
      <c r="T89" s="6">
        <v>10</v>
      </c>
      <c r="U89" s="6">
        <v>10</v>
      </c>
      <c r="V89" s="76">
        <f t="shared" si="1"/>
        <v>1</v>
      </c>
    </row>
    <row r="90" spans="1:22" x14ac:dyDescent="0.25">
      <c r="A90" s="6">
        <v>99</v>
      </c>
      <c r="B90" s="6">
        <v>17156</v>
      </c>
      <c r="C90" s="6" t="s">
        <v>83</v>
      </c>
      <c r="D90" s="6" t="s">
        <v>289</v>
      </c>
      <c r="E90" s="6" t="s">
        <v>296</v>
      </c>
      <c r="F90" s="6" t="s">
        <v>223</v>
      </c>
      <c r="G90" s="6">
        <v>14</v>
      </c>
      <c r="H90" s="6">
        <v>12</v>
      </c>
      <c r="I90" s="76">
        <v>0.8571428571428571</v>
      </c>
      <c r="J90" s="76">
        <v>0.8571428571428571</v>
      </c>
      <c r="K90" s="76">
        <v>0.6428571428571429</v>
      </c>
      <c r="L90" s="76">
        <v>0.7857142857142857</v>
      </c>
      <c r="M90" s="76">
        <v>0.14285714285714285</v>
      </c>
      <c r="N90" s="76">
        <v>0.86206896551724133</v>
      </c>
      <c r="O90" s="76">
        <v>0.9285714285714286</v>
      </c>
      <c r="P90" s="76">
        <v>0.9285714285714286</v>
      </c>
      <c r="Q90" s="76">
        <v>0.9285714285714286</v>
      </c>
      <c r="R90" s="59">
        <v>0.9285714285714286</v>
      </c>
      <c r="S90" s="76">
        <v>0.9285714285714286</v>
      </c>
      <c r="T90" s="6">
        <v>29</v>
      </c>
      <c r="U90" s="6">
        <v>25</v>
      </c>
      <c r="V90" s="76">
        <f t="shared" si="1"/>
        <v>0.86206896551724133</v>
      </c>
    </row>
    <row r="91" spans="1:22" x14ac:dyDescent="0.25">
      <c r="A91" s="6">
        <v>100</v>
      </c>
      <c r="B91" s="6">
        <v>17153</v>
      </c>
      <c r="C91" s="6" t="s">
        <v>39</v>
      </c>
      <c r="D91" s="6" t="s">
        <v>289</v>
      </c>
      <c r="E91" s="6" t="s">
        <v>292</v>
      </c>
      <c r="F91" s="6" t="s">
        <v>223</v>
      </c>
      <c r="G91" s="6">
        <v>14</v>
      </c>
      <c r="H91" s="6">
        <v>14</v>
      </c>
      <c r="I91" s="76">
        <v>1</v>
      </c>
      <c r="J91" s="76">
        <v>1</v>
      </c>
      <c r="K91" s="76">
        <v>1</v>
      </c>
      <c r="L91" s="76">
        <v>1</v>
      </c>
      <c r="M91" s="76">
        <v>0.14285714285714285</v>
      </c>
      <c r="N91" s="76">
        <v>1</v>
      </c>
      <c r="O91" s="76">
        <v>1</v>
      </c>
      <c r="P91" s="76">
        <v>1</v>
      </c>
      <c r="Q91" s="76">
        <v>1</v>
      </c>
      <c r="R91" s="59">
        <v>1</v>
      </c>
      <c r="S91" s="76">
        <v>1</v>
      </c>
      <c r="T91" s="6">
        <v>13</v>
      </c>
      <c r="U91" s="6">
        <v>13</v>
      </c>
      <c r="V91" s="76">
        <f t="shared" si="1"/>
        <v>1</v>
      </c>
    </row>
    <row r="92" spans="1:22" x14ac:dyDescent="0.25">
      <c r="A92" s="6">
        <v>101</v>
      </c>
      <c r="B92" s="6">
        <v>16694</v>
      </c>
      <c r="C92" s="6" t="s">
        <v>171</v>
      </c>
      <c r="D92" s="6" t="s">
        <v>289</v>
      </c>
      <c r="E92" s="6" t="s">
        <v>299</v>
      </c>
      <c r="F92" s="6" t="s">
        <v>320</v>
      </c>
      <c r="G92" s="6">
        <v>16</v>
      </c>
      <c r="H92" s="6">
        <v>16</v>
      </c>
      <c r="I92" s="76">
        <v>1</v>
      </c>
      <c r="J92" s="76">
        <v>1</v>
      </c>
      <c r="K92" s="76">
        <v>1</v>
      </c>
      <c r="L92" s="76">
        <v>0.875</v>
      </c>
      <c r="M92" s="76">
        <v>6.25E-2</v>
      </c>
      <c r="N92" s="76">
        <v>1</v>
      </c>
      <c r="O92" s="76">
        <v>1</v>
      </c>
      <c r="P92" s="76">
        <v>1</v>
      </c>
      <c r="Q92" s="76">
        <v>1</v>
      </c>
      <c r="R92" s="59">
        <v>1</v>
      </c>
      <c r="S92" s="76">
        <v>1</v>
      </c>
      <c r="T92" s="6">
        <v>24</v>
      </c>
      <c r="U92" s="6">
        <v>24</v>
      </c>
      <c r="V92" s="76">
        <f t="shared" si="1"/>
        <v>1</v>
      </c>
    </row>
    <row r="93" spans="1:22" x14ac:dyDescent="0.25">
      <c r="A93" s="6">
        <v>102</v>
      </c>
      <c r="B93" s="6">
        <v>16909</v>
      </c>
      <c r="C93" t="s">
        <v>318</v>
      </c>
      <c r="D93" s="6" t="s">
        <v>289</v>
      </c>
      <c r="E93" s="6" t="s">
        <v>298</v>
      </c>
      <c r="F93" s="6" t="s">
        <v>320</v>
      </c>
      <c r="G93" s="6">
        <v>13</v>
      </c>
      <c r="H93" s="6">
        <v>13</v>
      </c>
      <c r="I93" s="76">
        <v>1</v>
      </c>
      <c r="J93" s="76">
        <v>1</v>
      </c>
      <c r="K93" s="76">
        <v>1</v>
      </c>
      <c r="L93" s="76">
        <v>1</v>
      </c>
      <c r="M93" s="76">
        <v>0.38461538461538464</v>
      </c>
      <c r="N93" s="76">
        <v>0.92</v>
      </c>
      <c r="O93" s="76">
        <v>1</v>
      </c>
      <c r="P93" s="76">
        <v>1</v>
      </c>
      <c r="Q93" s="76">
        <v>1</v>
      </c>
      <c r="R93" s="59">
        <v>1</v>
      </c>
      <c r="S93" s="76">
        <v>1</v>
      </c>
      <c r="T93" s="6">
        <v>25</v>
      </c>
      <c r="U93" s="6">
        <v>23</v>
      </c>
      <c r="V93" s="76">
        <f t="shared" si="1"/>
        <v>0.92</v>
      </c>
    </row>
    <row r="94" spans="1:22" x14ac:dyDescent="0.25">
      <c r="A94" s="6">
        <v>103</v>
      </c>
      <c r="B94" s="6">
        <v>17151</v>
      </c>
      <c r="C94" s="6" t="s">
        <v>37</v>
      </c>
      <c r="D94" s="6" t="s">
        <v>289</v>
      </c>
      <c r="E94" s="6" t="s">
        <v>292</v>
      </c>
      <c r="F94" s="6" t="s">
        <v>223</v>
      </c>
      <c r="G94" s="6">
        <v>5</v>
      </c>
      <c r="H94" s="6">
        <v>5</v>
      </c>
      <c r="I94" s="76">
        <v>1</v>
      </c>
      <c r="J94" s="76">
        <v>1</v>
      </c>
      <c r="K94" s="76">
        <v>1</v>
      </c>
      <c r="L94" s="76">
        <v>1</v>
      </c>
      <c r="M94" s="76">
        <v>0</v>
      </c>
      <c r="N94" s="76">
        <v>1</v>
      </c>
      <c r="O94" s="76">
        <v>1</v>
      </c>
      <c r="P94" s="76">
        <v>1</v>
      </c>
      <c r="Q94" s="76">
        <v>1</v>
      </c>
      <c r="R94" s="59">
        <v>1</v>
      </c>
      <c r="S94" s="76">
        <v>1</v>
      </c>
      <c r="T94" s="6">
        <v>9</v>
      </c>
      <c r="U94" s="6">
        <v>9</v>
      </c>
      <c r="V94" s="76">
        <f t="shared" si="1"/>
        <v>1</v>
      </c>
    </row>
    <row r="95" spans="1:22" x14ac:dyDescent="0.25">
      <c r="A95" s="6">
        <v>104</v>
      </c>
      <c r="B95" s="6">
        <v>16818</v>
      </c>
      <c r="C95" s="6" t="s">
        <v>107</v>
      </c>
      <c r="D95" s="6" t="s">
        <v>289</v>
      </c>
      <c r="E95" s="6" t="s">
        <v>297</v>
      </c>
      <c r="F95" s="6" t="s">
        <v>322</v>
      </c>
      <c r="G95" s="6">
        <v>16</v>
      </c>
      <c r="H95" s="6">
        <v>14</v>
      </c>
      <c r="I95" s="76">
        <v>0.875</v>
      </c>
      <c r="J95" s="76">
        <v>0.875</v>
      </c>
      <c r="K95" s="76">
        <v>0.875</v>
      </c>
      <c r="L95" s="76">
        <v>0.75</v>
      </c>
      <c r="M95" s="76">
        <v>0.25</v>
      </c>
      <c r="N95" s="76">
        <v>0.63636363636363635</v>
      </c>
      <c r="O95" s="76">
        <v>0.875</v>
      </c>
      <c r="P95" s="76">
        <v>0.875</v>
      </c>
      <c r="Q95" s="76">
        <v>0.875</v>
      </c>
      <c r="R95" s="59">
        <v>0.875</v>
      </c>
      <c r="S95" s="76">
        <v>0.875</v>
      </c>
      <c r="T95" s="6">
        <v>22</v>
      </c>
      <c r="U95" s="6">
        <v>14</v>
      </c>
      <c r="V95" s="76">
        <f t="shared" si="1"/>
        <v>0.63636363636363635</v>
      </c>
    </row>
    <row r="96" spans="1:22" x14ac:dyDescent="0.25">
      <c r="A96" s="6">
        <v>105</v>
      </c>
      <c r="B96" s="6">
        <v>16828</v>
      </c>
      <c r="C96" s="6" t="s">
        <v>174</v>
      </c>
      <c r="D96" s="6" t="s">
        <v>289</v>
      </c>
      <c r="E96" s="6" t="s">
        <v>299</v>
      </c>
      <c r="F96" s="6" t="s">
        <v>320</v>
      </c>
      <c r="G96" s="6">
        <v>15</v>
      </c>
      <c r="H96" s="6">
        <v>15</v>
      </c>
      <c r="I96" s="76">
        <v>1</v>
      </c>
      <c r="J96" s="76">
        <v>1</v>
      </c>
      <c r="K96" s="76">
        <v>0.93333333333333335</v>
      </c>
      <c r="L96" s="76">
        <v>0.93333333333333335</v>
      </c>
      <c r="M96" s="76">
        <v>6.6666666666666666E-2</v>
      </c>
      <c r="N96" s="76">
        <v>0.73333333333333328</v>
      </c>
      <c r="O96" s="76">
        <v>1</v>
      </c>
      <c r="P96" s="76">
        <v>1</v>
      </c>
      <c r="Q96" s="76">
        <v>1</v>
      </c>
      <c r="R96" s="59">
        <v>1</v>
      </c>
      <c r="S96" s="76">
        <v>1</v>
      </c>
      <c r="T96" s="6">
        <v>15</v>
      </c>
      <c r="U96" s="6">
        <v>11</v>
      </c>
      <c r="V96" s="76">
        <f t="shared" si="1"/>
        <v>0.73333333333333328</v>
      </c>
    </row>
    <row r="97" spans="1:22" x14ac:dyDescent="0.25">
      <c r="A97" s="6">
        <v>106</v>
      </c>
      <c r="B97" s="6">
        <v>16796</v>
      </c>
      <c r="C97" s="6" t="s">
        <v>79</v>
      </c>
      <c r="D97" s="6" t="s">
        <v>289</v>
      </c>
      <c r="E97" s="6" t="s">
        <v>295</v>
      </c>
      <c r="F97" s="6" t="s">
        <v>320</v>
      </c>
      <c r="G97" s="6">
        <v>22</v>
      </c>
      <c r="H97" s="6">
        <v>20</v>
      </c>
      <c r="I97" s="76">
        <v>0.90909090909090906</v>
      </c>
      <c r="J97" s="76">
        <v>1</v>
      </c>
      <c r="K97" s="76">
        <v>0.77272727272727271</v>
      </c>
      <c r="L97" s="76">
        <v>0.90909090909090906</v>
      </c>
      <c r="M97" s="76">
        <v>0.95454545454545459</v>
      </c>
      <c r="N97" s="76">
        <v>0.27659574468085107</v>
      </c>
      <c r="O97" s="76">
        <v>1</v>
      </c>
      <c r="P97" s="76">
        <v>1</v>
      </c>
      <c r="Q97" s="76">
        <v>1</v>
      </c>
      <c r="R97" s="59">
        <v>1</v>
      </c>
      <c r="S97" s="76">
        <v>1</v>
      </c>
      <c r="T97" s="6">
        <v>47</v>
      </c>
      <c r="U97" s="6">
        <v>13</v>
      </c>
      <c r="V97" s="76">
        <f t="shared" si="1"/>
        <v>0.27659574468085107</v>
      </c>
    </row>
    <row r="98" spans="1:22" x14ac:dyDescent="0.25">
      <c r="A98" s="6">
        <v>107</v>
      </c>
      <c r="B98" s="6">
        <v>16839</v>
      </c>
      <c r="C98" s="6" t="s">
        <v>108</v>
      </c>
      <c r="D98" s="6" t="s">
        <v>289</v>
      </c>
      <c r="E98" s="6" t="s">
        <v>297</v>
      </c>
      <c r="F98" s="6" t="s">
        <v>322</v>
      </c>
      <c r="G98" s="6">
        <v>19</v>
      </c>
      <c r="H98" s="6">
        <v>19</v>
      </c>
      <c r="I98" s="76">
        <v>1</v>
      </c>
      <c r="J98" s="76">
        <v>1</v>
      </c>
      <c r="K98" s="76">
        <v>0.78947368421052633</v>
      </c>
      <c r="L98" s="76">
        <v>0.84210526315789469</v>
      </c>
      <c r="M98" s="76">
        <v>0.42105263157894735</v>
      </c>
      <c r="N98" s="76">
        <v>0.74193548387096775</v>
      </c>
      <c r="O98" s="76">
        <v>1</v>
      </c>
      <c r="P98" s="76">
        <v>1</v>
      </c>
      <c r="Q98" s="76">
        <v>1</v>
      </c>
      <c r="R98" s="59">
        <v>1</v>
      </c>
      <c r="S98" s="76">
        <v>1</v>
      </c>
      <c r="T98" s="6">
        <v>31</v>
      </c>
      <c r="U98" s="6">
        <v>23</v>
      </c>
      <c r="V98" s="76">
        <f t="shared" si="1"/>
        <v>0.74193548387096775</v>
      </c>
    </row>
    <row r="99" spans="1:22" x14ac:dyDescent="0.25">
      <c r="A99" s="6">
        <v>108</v>
      </c>
      <c r="B99" s="6">
        <v>16826</v>
      </c>
      <c r="C99" s="6" t="s">
        <v>180</v>
      </c>
      <c r="D99" s="6" t="s">
        <v>289</v>
      </c>
      <c r="E99" s="6" t="s">
        <v>299</v>
      </c>
      <c r="F99" s="6" t="s">
        <v>320</v>
      </c>
      <c r="G99" s="6">
        <v>12</v>
      </c>
      <c r="H99" s="6">
        <v>11</v>
      </c>
      <c r="I99" s="76">
        <v>0.91666666666666663</v>
      </c>
      <c r="J99" s="76">
        <v>0.91666666666666663</v>
      </c>
      <c r="K99" s="76">
        <v>0</v>
      </c>
      <c r="L99" s="76">
        <v>0.91666666666666663</v>
      </c>
      <c r="M99" s="76">
        <v>0.25</v>
      </c>
      <c r="N99" s="76">
        <v>0.90909090909090906</v>
      </c>
      <c r="O99" s="76">
        <v>0.91666666666666663</v>
      </c>
      <c r="P99" s="76">
        <v>0.91666666666666663</v>
      </c>
      <c r="Q99" s="76">
        <v>0.91666666666666663</v>
      </c>
      <c r="R99" s="59">
        <v>0.91666666666666663</v>
      </c>
      <c r="S99" s="76">
        <v>0.91666666666666663</v>
      </c>
      <c r="T99" s="6">
        <v>22</v>
      </c>
      <c r="U99" s="6">
        <v>20</v>
      </c>
      <c r="V99" s="76">
        <f t="shared" si="1"/>
        <v>0.90909090909090906</v>
      </c>
    </row>
    <row r="100" spans="1:22" x14ac:dyDescent="0.25">
      <c r="A100" s="6">
        <v>109</v>
      </c>
      <c r="B100" s="6">
        <v>17106</v>
      </c>
      <c r="C100" s="6" t="s">
        <v>182</v>
      </c>
      <c r="D100" s="6" t="s">
        <v>289</v>
      </c>
      <c r="E100" s="6" t="s">
        <v>273</v>
      </c>
      <c r="F100" s="6" t="s">
        <v>223</v>
      </c>
      <c r="G100" s="6">
        <v>11</v>
      </c>
      <c r="H100" s="6">
        <v>11</v>
      </c>
      <c r="I100" s="76">
        <v>1</v>
      </c>
      <c r="J100" s="76">
        <v>1</v>
      </c>
      <c r="K100" s="76">
        <v>1</v>
      </c>
      <c r="L100" s="76">
        <v>1</v>
      </c>
      <c r="M100" s="76">
        <v>0.18181818181818182</v>
      </c>
      <c r="N100" s="76">
        <v>1</v>
      </c>
      <c r="O100" s="76">
        <v>1</v>
      </c>
      <c r="P100" s="76">
        <v>1</v>
      </c>
      <c r="Q100" s="76">
        <v>1</v>
      </c>
      <c r="R100" s="59">
        <v>1</v>
      </c>
      <c r="S100" s="76">
        <v>1</v>
      </c>
      <c r="T100" s="6">
        <v>33</v>
      </c>
      <c r="U100" s="6">
        <v>33</v>
      </c>
      <c r="V100" s="76">
        <f t="shared" si="1"/>
        <v>1</v>
      </c>
    </row>
    <row r="101" spans="1:22" x14ac:dyDescent="0.25">
      <c r="A101" s="6">
        <v>110</v>
      </c>
      <c r="B101" s="6">
        <v>16790</v>
      </c>
      <c r="C101" s="6" t="s">
        <v>163</v>
      </c>
      <c r="D101" s="6" t="s">
        <v>289</v>
      </c>
      <c r="E101" s="6" t="s">
        <v>321</v>
      </c>
      <c r="F101" s="6" t="s">
        <v>322</v>
      </c>
      <c r="G101" s="6">
        <v>9</v>
      </c>
      <c r="H101" s="6">
        <v>8</v>
      </c>
      <c r="I101" s="76">
        <v>0.88888888888888884</v>
      </c>
      <c r="J101" s="76">
        <v>0.88888888888888884</v>
      </c>
      <c r="K101" s="76">
        <v>0.77777777777777779</v>
      </c>
      <c r="L101" s="76">
        <v>0.77777777777777779</v>
      </c>
      <c r="M101" s="76">
        <v>0.55555555555555558</v>
      </c>
      <c r="N101" s="76">
        <v>0.2857142857142857</v>
      </c>
      <c r="O101" s="76">
        <v>0.88888888888888884</v>
      </c>
      <c r="P101" s="76">
        <v>0.88888888888888884</v>
      </c>
      <c r="Q101" s="76">
        <v>0.88888888888888884</v>
      </c>
      <c r="R101" s="59">
        <v>0.88888888888888884</v>
      </c>
      <c r="S101" s="76">
        <v>0.88888888888888884</v>
      </c>
      <c r="T101" s="6">
        <v>14</v>
      </c>
      <c r="U101" s="6">
        <v>4</v>
      </c>
      <c r="V101" s="76">
        <f t="shared" si="1"/>
        <v>0.2857142857142857</v>
      </c>
    </row>
    <row r="102" spans="1:22" x14ac:dyDescent="0.25">
      <c r="A102" s="6">
        <v>111</v>
      </c>
      <c r="B102" s="6">
        <v>17164</v>
      </c>
      <c r="C102" s="6" t="s">
        <v>91</v>
      </c>
      <c r="D102" s="6" t="s">
        <v>289</v>
      </c>
      <c r="E102" s="6" t="s">
        <v>296</v>
      </c>
      <c r="F102" s="6" t="s">
        <v>223</v>
      </c>
      <c r="G102" s="6">
        <v>13</v>
      </c>
      <c r="H102" s="6">
        <v>11</v>
      </c>
      <c r="I102" s="76">
        <v>0.84615384615384615</v>
      </c>
      <c r="J102" s="76">
        <v>0.84615384615384615</v>
      </c>
      <c r="K102" s="76">
        <v>0.84615384615384615</v>
      </c>
      <c r="L102" s="76">
        <v>0.84615384615384615</v>
      </c>
      <c r="M102" s="76">
        <v>0.76923076923076927</v>
      </c>
      <c r="N102" s="76">
        <v>0.6</v>
      </c>
      <c r="O102" s="76">
        <v>0.92307692307692313</v>
      </c>
      <c r="P102" s="76">
        <v>0.84615384615384615</v>
      </c>
      <c r="Q102" s="76">
        <v>0.92307692307692313</v>
      </c>
      <c r="R102" s="59">
        <v>0.92307692307692313</v>
      </c>
      <c r="S102" s="76">
        <v>0.92307692307692313</v>
      </c>
      <c r="T102" s="6">
        <v>25</v>
      </c>
      <c r="U102" s="6">
        <v>15</v>
      </c>
      <c r="V102" s="76">
        <f t="shared" si="1"/>
        <v>0.6</v>
      </c>
    </row>
    <row r="103" spans="1:22" x14ac:dyDescent="0.25">
      <c r="A103" s="6">
        <v>112</v>
      </c>
      <c r="B103" s="6">
        <v>16902</v>
      </c>
      <c r="C103" s="6" t="s">
        <v>149</v>
      </c>
      <c r="D103" s="6" t="s">
        <v>289</v>
      </c>
      <c r="E103" s="6" t="s">
        <v>298</v>
      </c>
      <c r="F103" s="6" t="s">
        <v>320</v>
      </c>
      <c r="G103" s="6">
        <v>9</v>
      </c>
      <c r="H103" s="6">
        <v>9</v>
      </c>
      <c r="I103" s="76">
        <v>1</v>
      </c>
      <c r="J103" s="76">
        <v>1</v>
      </c>
      <c r="K103" s="76">
        <v>0.77777777777777779</v>
      </c>
      <c r="L103" s="76">
        <v>0.66666666666666663</v>
      </c>
      <c r="M103" s="76">
        <v>0.22222222222222221</v>
      </c>
      <c r="N103" s="76">
        <v>0.95652173913043481</v>
      </c>
      <c r="O103" s="76">
        <v>1</v>
      </c>
      <c r="P103" s="76">
        <v>1</v>
      </c>
      <c r="Q103" s="76">
        <v>1</v>
      </c>
      <c r="R103" s="59">
        <v>1</v>
      </c>
      <c r="S103" s="76">
        <v>1</v>
      </c>
      <c r="T103" s="6">
        <v>23</v>
      </c>
      <c r="U103" s="6">
        <v>22</v>
      </c>
      <c r="V103" s="76">
        <f t="shared" si="1"/>
        <v>0.95652173913043481</v>
      </c>
    </row>
    <row r="104" spans="1:22" x14ac:dyDescent="0.25">
      <c r="A104" s="6">
        <v>113</v>
      </c>
      <c r="B104" s="6">
        <v>16687</v>
      </c>
      <c r="C104" s="6" t="s">
        <v>100</v>
      </c>
      <c r="D104" s="6" t="s">
        <v>289</v>
      </c>
      <c r="E104" s="6" t="s">
        <v>297</v>
      </c>
      <c r="F104" s="6" t="s">
        <v>322</v>
      </c>
      <c r="G104" s="6">
        <v>22</v>
      </c>
      <c r="H104" s="6">
        <v>22</v>
      </c>
      <c r="I104" s="76">
        <v>1</v>
      </c>
      <c r="J104" s="76">
        <v>1</v>
      </c>
      <c r="K104" s="76">
        <v>0.95454545454545459</v>
      </c>
      <c r="L104" s="76">
        <v>1</v>
      </c>
      <c r="M104" s="76">
        <v>0.59090909090909094</v>
      </c>
      <c r="N104" s="76">
        <v>0.82499999999999996</v>
      </c>
      <c r="O104" s="76">
        <v>1</v>
      </c>
      <c r="P104" s="76">
        <v>1</v>
      </c>
      <c r="Q104" s="76">
        <v>1</v>
      </c>
      <c r="R104" s="59">
        <v>1</v>
      </c>
      <c r="S104" s="76">
        <v>1</v>
      </c>
      <c r="T104" s="6">
        <v>40</v>
      </c>
      <c r="U104" s="6">
        <v>33</v>
      </c>
      <c r="V104" s="76">
        <f t="shared" si="1"/>
        <v>0.82499999999999996</v>
      </c>
    </row>
    <row r="105" spans="1:22" x14ac:dyDescent="0.25">
      <c r="A105" s="6">
        <v>114</v>
      </c>
      <c r="B105" s="6">
        <v>16794</v>
      </c>
      <c r="C105" s="6" t="s">
        <v>77</v>
      </c>
      <c r="D105" s="6" t="s">
        <v>289</v>
      </c>
      <c r="E105" s="6" t="s">
        <v>295</v>
      </c>
      <c r="F105" s="6" t="s">
        <v>320</v>
      </c>
      <c r="G105" s="6">
        <v>25</v>
      </c>
      <c r="H105" s="6">
        <v>16</v>
      </c>
      <c r="I105" s="76">
        <v>0.64</v>
      </c>
      <c r="J105" s="76">
        <v>0.64</v>
      </c>
      <c r="K105" s="76">
        <v>0.56000000000000005</v>
      </c>
      <c r="L105" s="76">
        <v>0.64</v>
      </c>
      <c r="M105" s="76">
        <v>0.6</v>
      </c>
      <c r="N105" s="76">
        <v>0.30232558139534882</v>
      </c>
      <c r="O105" s="76">
        <v>0.68</v>
      </c>
      <c r="P105" s="76">
        <v>0.64</v>
      </c>
      <c r="Q105" s="76">
        <v>0.68</v>
      </c>
      <c r="R105" s="59">
        <v>0.68</v>
      </c>
      <c r="S105" s="76">
        <v>0.68</v>
      </c>
      <c r="T105" s="6">
        <v>43</v>
      </c>
      <c r="U105" s="6">
        <v>13</v>
      </c>
      <c r="V105" s="76">
        <f t="shared" si="1"/>
        <v>0.30232558139534882</v>
      </c>
    </row>
    <row r="106" spans="1:22" x14ac:dyDescent="0.25">
      <c r="A106" s="6">
        <v>115</v>
      </c>
      <c r="B106" s="6">
        <v>16779</v>
      </c>
      <c r="C106" s="6" t="s">
        <v>114</v>
      </c>
      <c r="D106" s="6" t="s">
        <v>289</v>
      </c>
      <c r="E106" s="6" t="s">
        <v>323</v>
      </c>
      <c r="F106" s="6" t="s">
        <v>322</v>
      </c>
      <c r="G106" s="6">
        <v>16</v>
      </c>
      <c r="H106" s="6">
        <v>16</v>
      </c>
      <c r="I106" s="76">
        <v>1</v>
      </c>
      <c r="J106" s="76">
        <v>1</v>
      </c>
      <c r="K106" s="76">
        <v>0.5625</v>
      </c>
      <c r="L106" s="76">
        <v>1</v>
      </c>
      <c r="M106" s="76">
        <v>0</v>
      </c>
      <c r="N106" s="76">
        <v>0.14285714285714285</v>
      </c>
      <c r="O106" s="76">
        <v>1</v>
      </c>
      <c r="P106" s="76">
        <v>1</v>
      </c>
      <c r="Q106" s="76">
        <v>1</v>
      </c>
      <c r="R106" s="59">
        <v>1</v>
      </c>
      <c r="S106" s="76">
        <v>1</v>
      </c>
      <c r="T106" s="6">
        <v>28</v>
      </c>
      <c r="U106" s="6">
        <v>4</v>
      </c>
      <c r="V106" s="76">
        <f t="shared" si="1"/>
        <v>0.14285714285714285</v>
      </c>
    </row>
    <row r="107" spans="1:22" x14ac:dyDescent="0.25">
      <c r="A107" s="6">
        <v>116</v>
      </c>
      <c r="B107" s="6">
        <v>16795</v>
      </c>
      <c r="C107" s="6" t="s">
        <v>78</v>
      </c>
      <c r="D107" s="6" t="s">
        <v>289</v>
      </c>
      <c r="E107" s="6" t="s">
        <v>295</v>
      </c>
      <c r="F107" s="6" t="s">
        <v>320</v>
      </c>
      <c r="G107" s="6">
        <v>24</v>
      </c>
      <c r="H107" s="6">
        <v>24</v>
      </c>
      <c r="I107" s="76">
        <v>1</v>
      </c>
      <c r="J107" s="76">
        <v>1</v>
      </c>
      <c r="K107" s="76">
        <v>1</v>
      </c>
      <c r="L107" s="76">
        <v>1</v>
      </c>
      <c r="M107" s="76">
        <v>0.79166666666666663</v>
      </c>
      <c r="N107" s="76">
        <v>0.17391304347826086</v>
      </c>
      <c r="O107" s="76">
        <v>1</v>
      </c>
      <c r="P107" s="76">
        <v>1</v>
      </c>
      <c r="Q107" s="76">
        <v>1</v>
      </c>
      <c r="R107" s="59">
        <v>1</v>
      </c>
      <c r="S107" s="76">
        <v>1</v>
      </c>
      <c r="T107" s="6">
        <v>46</v>
      </c>
      <c r="U107" s="6">
        <v>8</v>
      </c>
      <c r="V107" s="76">
        <f t="shared" si="1"/>
        <v>0.17391304347826086</v>
      </c>
    </row>
    <row r="108" spans="1:22" x14ac:dyDescent="0.25">
      <c r="A108" s="6">
        <v>117</v>
      </c>
      <c r="B108" s="6">
        <v>17093</v>
      </c>
      <c r="C108" s="6" t="s">
        <v>45</v>
      </c>
      <c r="D108" s="6" t="s">
        <v>289</v>
      </c>
      <c r="E108" s="6" t="s">
        <v>274</v>
      </c>
      <c r="F108" s="6" t="s">
        <v>223</v>
      </c>
      <c r="G108" s="6">
        <v>20</v>
      </c>
      <c r="H108" s="6">
        <v>20</v>
      </c>
      <c r="I108" s="76">
        <v>1</v>
      </c>
      <c r="J108" s="76">
        <v>1</v>
      </c>
      <c r="K108" s="76">
        <v>1</v>
      </c>
      <c r="L108" s="76">
        <v>0.7</v>
      </c>
      <c r="M108" s="76">
        <v>0.25</v>
      </c>
      <c r="N108" s="76">
        <v>1</v>
      </c>
      <c r="O108" s="76">
        <v>1</v>
      </c>
      <c r="P108" s="76">
        <v>1</v>
      </c>
      <c r="Q108" s="76">
        <v>1</v>
      </c>
      <c r="R108" s="59">
        <v>1</v>
      </c>
      <c r="S108" s="76">
        <v>1</v>
      </c>
      <c r="T108" s="6">
        <v>8</v>
      </c>
      <c r="U108" s="6">
        <v>8</v>
      </c>
      <c r="V108" s="76">
        <f t="shared" si="1"/>
        <v>1</v>
      </c>
    </row>
    <row r="109" spans="1:22" x14ac:dyDescent="0.25">
      <c r="A109" s="6">
        <v>118</v>
      </c>
      <c r="B109" s="6">
        <v>16900</v>
      </c>
      <c r="C109" s="6" t="s">
        <v>147</v>
      </c>
      <c r="D109" s="6" t="s">
        <v>289</v>
      </c>
      <c r="E109" s="6" t="s">
        <v>298</v>
      </c>
      <c r="F109" s="6" t="s">
        <v>320</v>
      </c>
      <c r="G109" s="6">
        <v>13</v>
      </c>
      <c r="H109" s="6">
        <v>13</v>
      </c>
      <c r="I109" s="76">
        <v>1</v>
      </c>
      <c r="J109" s="76">
        <v>0.84615384615384615</v>
      </c>
      <c r="K109" s="76">
        <v>0.84615384615384615</v>
      </c>
      <c r="L109" s="76">
        <v>0.84615384615384615</v>
      </c>
      <c r="M109" s="76">
        <v>0.38461538461538464</v>
      </c>
      <c r="N109" s="76">
        <v>1</v>
      </c>
      <c r="O109" s="76">
        <v>1</v>
      </c>
      <c r="P109" s="76">
        <v>0.84615384615384615</v>
      </c>
      <c r="Q109" s="76">
        <v>1</v>
      </c>
      <c r="R109" s="59">
        <v>1</v>
      </c>
      <c r="S109" s="76">
        <v>1</v>
      </c>
      <c r="T109" s="6">
        <v>12</v>
      </c>
      <c r="U109" s="6">
        <v>12</v>
      </c>
      <c r="V109" s="76">
        <f t="shared" si="1"/>
        <v>1</v>
      </c>
    </row>
    <row r="110" spans="1:22" x14ac:dyDescent="0.25">
      <c r="A110" s="6">
        <v>119</v>
      </c>
      <c r="B110" s="6">
        <v>16836</v>
      </c>
      <c r="C110" s="6" t="s">
        <v>118</v>
      </c>
      <c r="D110" s="6" t="s">
        <v>289</v>
      </c>
      <c r="E110" s="6" t="s">
        <v>323</v>
      </c>
      <c r="F110" s="6" t="s">
        <v>322</v>
      </c>
      <c r="G110" s="6">
        <v>12</v>
      </c>
      <c r="H110" s="6">
        <v>12</v>
      </c>
      <c r="I110" s="76">
        <v>1</v>
      </c>
      <c r="J110" s="76">
        <v>1</v>
      </c>
      <c r="K110" s="76">
        <v>0</v>
      </c>
      <c r="L110" s="76">
        <v>0</v>
      </c>
      <c r="M110" s="76">
        <v>0</v>
      </c>
      <c r="N110" s="76">
        <v>0</v>
      </c>
      <c r="O110" s="76">
        <v>1</v>
      </c>
      <c r="P110" s="76">
        <v>1</v>
      </c>
      <c r="Q110" s="76">
        <v>1</v>
      </c>
      <c r="R110" s="59">
        <v>1</v>
      </c>
      <c r="S110" s="76">
        <v>1</v>
      </c>
      <c r="T110" s="6">
        <v>17</v>
      </c>
      <c r="U110" s="6">
        <v>0</v>
      </c>
      <c r="V110" s="76">
        <f t="shared" si="1"/>
        <v>0</v>
      </c>
    </row>
    <row r="111" spans="1:22" x14ac:dyDescent="0.25">
      <c r="A111" s="6">
        <v>120</v>
      </c>
      <c r="B111" s="6">
        <v>16793</v>
      </c>
      <c r="C111" s="6" t="s">
        <v>166</v>
      </c>
      <c r="D111" s="6" t="s">
        <v>289</v>
      </c>
      <c r="E111" s="6" t="s">
        <v>321</v>
      </c>
      <c r="F111" s="6" t="s">
        <v>322</v>
      </c>
      <c r="G111" s="6">
        <v>12</v>
      </c>
      <c r="H111" s="6">
        <v>11</v>
      </c>
      <c r="I111" s="76">
        <v>0.91666666666666663</v>
      </c>
      <c r="J111" s="76">
        <v>0.91666666666666663</v>
      </c>
      <c r="K111" s="76">
        <v>0.91666666666666663</v>
      </c>
      <c r="L111" s="76">
        <v>0.91666666666666663</v>
      </c>
      <c r="M111" s="76">
        <v>0.16666666666666666</v>
      </c>
      <c r="N111" s="76">
        <v>0.80645161290322576</v>
      </c>
      <c r="O111" s="76">
        <v>0.91666666666666663</v>
      </c>
      <c r="P111" s="76">
        <v>0.91666666666666663</v>
      </c>
      <c r="Q111" s="76">
        <v>0.91666666666666663</v>
      </c>
      <c r="R111" s="59">
        <v>0.91666666666666663</v>
      </c>
      <c r="S111" s="76">
        <v>0.91666666666666663</v>
      </c>
      <c r="T111" s="6">
        <v>31</v>
      </c>
      <c r="U111" s="6">
        <v>25</v>
      </c>
      <c r="V111" s="76">
        <f t="shared" si="1"/>
        <v>0.80645161290322576</v>
      </c>
    </row>
    <row r="112" spans="1:22" x14ac:dyDescent="0.25">
      <c r="A112" s="6">
        <v>121</v>
      </c>
      <c r="B112" s="6">
        <v>16899</v>
      </c>
      <c r="C112" s="6" t="s">
        <v>146</v>
      </c>
      <c r="D112" s="6" t="s">
        <v>289</v>
      </c>
      <c r="E112" s="6" t="s">
        <v>298</v>
      </c>
      <c r="F112" s="6" t="s">
        <v>320</v>
      </c>
      <c r="G112" s="6">
        <v>9</v>
      </c>
      <c r="H112" s="6">
        <v>9</v>
      </c>
      <c r="I112" s="76">
        <v>1</v>
      </c>
      <c r="J112" s="76">
        <v>0.77777777777777779</v>
      </c>
      <c r="K112" s="76">
        <v>0.66666666666666663</v>
      </c>
      <c r="L112" s="76">
        <v>0.22222222222222221</v>
      </c>
      <c r="M112" s="76">
        <v>0.22222222222222221</v>
      </c>
      <c r="N112" s="76">
        <v>0.95</v>
      </c>
      <c r="O112" s="76">
        <v>1</v>
      </c>
      <c r="P112" s="76">
        <v>0.77777777777777779</v>
      </c>
      <c r="Q112" s="76">
        <v>1</v>
      </c>
      <c r="R112" s="59">
        <v>1</v>
      </c>
      <c r="S112" s="76">
        <v>1</v>
      </c>
      <c r="T112" s="6">
        <v>20</v>
      </c>
      <c r="U112" s="6">
        <v>19</v>
      </c>
      <c r="V112" s="76">
        <f t="shared" si="1"/>
        <v>0.95</v>
      </c>
    </row>
    <row r="113" spans="1:22" x14ac:dyDescent="0.25">
      <c r="A113" s="6">
        <v>122</v>
      </c>
      <c r="B113" s="6">
        <v>16805</v>
      </c>
      <c r="C113" s="6" t="s">
        <v>60</v>
      </c>
      <c r="D113" s="6" t="s">
        <v>289</v>
      </c>
      <c r="E113" s="6" t="s">
        <v>294</v>
      </c>
      <c r="F113" s="6" t="s">
        <v>320</v>
      </c>
      <c r="G113" s="6">
        <v>9</v>
      </c>
      <c r="H113" s="6">
        <v>9</v>
      </c>
      <c r="I113" s="76">
        <v>1</v>
      </c>
      <c r="J113" s="76">
        <v>1</v>
      </c>
      <c r="K113" s="76">
        <v>1</v>
      </c>
      <c r="L113" s="76">
        <v>0.88888888888888884</v>
      </c>
      <c r="M113" s="76">
        <v>0.22222222222222221</v>
      </c>
      <c r="N113" s="76">
        <v>0.61538461538461542</v>
      </c>
      <c r="O113" s="76">
        <v>1</v>
      </c>
      <c r="P113" s="76">
        <v>1</v>
      </c>
      <c r="Q113" s="76">
        <v>1</v>
      </c>
      <c r="R113" s="59">
        <v>1</v>
      </c>
      <c r="S113" s="76">
        <v>1</v>
      </c>
      <c r="T113" s="6">
        <v>13</v>
      </c>
      <c r="U113" s="6">
        <v>8</v>
      </c>
      <c r="V113" s="76">
        <f t="shared" si="1"/>
        <v>0.61538461538461542</v>
      </c>
    </row>
    <row r="114" spans="1:22" x14ac:dyDescent="0.25">
      <c r="A114" s="6">
        <v>123</v>
      </c>
      <c r="B114" s="6">
        <v>16772</v>
      </c>
      <c r="C114" s="6" t="s">
        <v>110</v>
      </c>
      <c r="D114" s="6" t="s">
        <v>289</v>
      </c>
      <c r="E114" s="6" t="s">
        <v>323</v>
      </c>
      <c r="F114" s="6" t="s">
        <v>322</v>
      </c>
      <c r="G114" s="6">
        <v>13</v>
      </c>
      <c r="H114" s="6">
        <v>12</v>
      </c>
      <c r="I114" s="76">
        <v>0.92307692307692313</v>
      </c>
      <c r="J114" s="76">
        <v>0.92307692307692313</v>
      </c>
      <c r="K114" s="76">
        <v>0</v>
      </c>
      <c r="L114" s="76">
        <v>0.92307692307692313</v>
      </c>
      <c r="M114" s="76">
        <v>0</v>
      </c>
      <c r="N114" s="76">
        <v>0.12</v>
      </c>
      <c r="O114" s="76">
        <v>0.92307692307692313</v>
      </c>
      <c r="P114" s="76">
        <v>0.92307692307692313</v>
      </c>
      <c r="Q114" s="76">
        <v>0.92307692307692313</v>
      </c>
      <c r="R114" s="59">
        <v>0.92307692307692313</v>
      </c>
      <c r="S114" s="76">
        <v>0.92307692307692313</v>
      </c>
      <c r="T114" s="6">
        <v>25</v>
      </c>
      <c r="U114" s="6">
        <v>3</v>
      </c>
      <c r="V114" s="76">
        <f t="shared" si="1"/>
        <v>0.12</v>
      </c>
    </row>
    <row r="115" spans="1:22" x14ac:dyDescent="0.25">
      <c r="A115" s="6">
        <v>124</v>
      </c>
      <c r="B115" s="6">
        <v>17137</v>
      </c>
      <c r="C115" s="6" t="s">
        <v>138</v>
      </c>
      <c r="D115" s="6" t="s">
        <v>289</v>
      </c>
      <c r="E115" s="6" t="s">
        <v>293</v>
      </c>
      <c r="F115" s="6" t="s">
        <v>223</v>
      </c>
      <c r="G115" s="6">
        <v>19</v>
      </c>
      <c r="H115" s="6">
        <v>19</v>
      </c>
      <c r="I115" s="76">
        <v>1</v>
      </c>
      <c r="J115" s="76">
        <v>1</v>
      </c>
      <c r="K115" s="76">
        <v>0.89473684210526316</v>
      </c>
      <c r="L115" s="76">
        <v>1</v>
      </c>
      <c r="M115" s="76">
        <v>0.26315789473684209</v>
      </c>
      <c r="N115" s="76">
        <v>1</v>
      </c>
      <c r="O115" s="76">
        <v>1</v>
      </c>
      <c r="P115" s="76">
        <v>1</v>
      </c>
      <c r="Q115" s="76">
        <v>1</v>
      </c>
      <c r="R115" s="59">
        <v>1</v>
      </c>
      <c r="S115" s="76">
        <v>1</v>
      </c>
      <c r="T115" s="6">
        <v>9</v>
      </c>
      <c r="U115" s="6">
        <v>9</v>
      </c>
      <c r="V115" s="76">
        <f t="shared" si="1"/>
        <v>1</v>
      </c>
    </row>
    <row r="116" spans="1:22" x14ac:dyDescent="0.25">
      <c r="A116" s="6">
        <v>125</v>
      </c>
      <c r="B116" s="6">
        <v>17166</v>
      </c>
      <c r="C116" s="6" t="s">
        <v>93</v>
      </c>
      <c r="D116" s="6" t="s">
        <v>289</v>
      </c>
      <c r="E116" s="6" t="s">
        <v>296</v>
      </c>
      <c r="F116" s="6" t="s">
        <v>223</v>
      </c>
      <c r="G116" s="6">
        <v>16</v>
      </c>
      <c r="H116" s="6">
        <v>16</v>
      </c>
      <c r="I116" s="76">
        <v>1</v>
      </c>
      <c r="J116" s="76">
        <v>1</v>
      </c>
      <c r="K116" s="76">
        <v>1</v>
      </c>
      <c r="L116" s="76">
        <v>1</v>
      </c>
      <c r="M116" s="76">
        <v>0.1875</v>
      </c>
      <c r="N116" s="76">
        <v>1</v>
      </c>
      <c r="O116" s="76">
        <v>1</v>
      </c>
      <c r="P116" s="76">
        <v>1</v>
      </c>
      <c r="Q116" s="76">
        <v>1</v>
      </c>
      <c r="R116" s="59">
        <v>1</v>
      </c>
      <c r="S116" s="76">
        <v>1</v>
      </c>
      <c r="T116" s="6">
        <v>31</v>
      </c>
      <c r="U116" s="6">
        <v>31</v>
      </c>
      <c r="V116" s="76">
        <f t="shared" si="1"/>
        <v>1</v>
      </c>
    </row>
    <row r="117" spans="1:22" x14ac:dyDescent="0.25">
      <c r="A117" s="6">
        <v>126</v>
      </c>
      <c r="B117" s="6">
        <v>17138</v>
      </c>
      <c r="C117" s="6" t="s">
        <v>139</v>
      </c>
      <c r="D117" s="6" t="s">
        <v>289</v>
      </c>
      <c r="E117" s="6" t="s">
        <v>293</v>
      </c>
      <c r="F117" s="6" t="s">
        <v>223</v>
      </c>
      <c r="G117" s="6">
        <v>19</v>
      </c>
      <c r="H117" s="6">
        <v>19</v>
      </c>
      <c r="I117" s="76">
        <v>1</v>
      </c>
      <c r="J117" s="76">
        <v>1</v>
      </c>
      <c r="K117" s="76">
        <v>1</v>
      </c>
      <c r="L117" s="76">
        <v>1</v>
      </c>
      <c r="M117" s="76">
        <v>0</v>
      </c>
      <c r="N117" s="76">
        <v>1</v>
      </c>
      <c r="O117" s="76">
        <v>1</v>
      </c>
      <c r="P117" s="76">
        <v>1</v>
      </c>
      <c r="Q117" s="76">
        <v>1</v>
      </c>
      <c r="R117" s="59">
        <v>1</v>
      </c>
      <c r="S117" s="76">
        <v>1</v>
      </c>
      <c r="T117" s="6">
        <v>19</v>
      </c>
      <c r="U117" s="6">
        <v>19</v>
      </c>
      <c r="V117" s="76">
        <f t="shared" si="1"/>
        <v>1</v>
      </c>
    </row>
    <row r="118" spans="1:22" x14ac:dyDescent="0.25">
      <c r="A118" s="6">
        <v>127</v>
      </c>
      <c r="B118" s="6">
        <v>16817</v>
      </c>
      <c r="C118" s="6" t="s">
        <v>106</v>
      </c>
      <c r="D118" s="6" t="s">
        <v>289</v>
      </c>
      <c r="E118" s="6" t="s">
        <v>297</v>
      </c>
      <c r="F118" s="6" t="s">
        <v>322</v>
      </c>
      <c r="G118" s="6">
        <v>17</v>
      </c>
      <c r="H118" s="6">
        <v>16</v>
      </c>
      <c r="I118" s="76">
        <v>0.94117647058823528</v>
      </c>
      <c r="J118" s="76">
        <v>0.94117647058823528</v>
      </c>
      <c r="K118" s="76">
        <v>0.94117647058823528</v>
      </c>
      <c r="L118" s="76">
        <v>0.94117647058823528</v>
      </c>
      <c r="M118" s="76">
        <v>0.47058823529411764</v>
      </c>
      <c r="N118" s="76">
        <v>0.9642857142857143</v>
      </c>
      <c r="O118" s="76">
        <v>0.94117647058823528</v>
      </c>
      <c r="P118" s="76">
        <v>0.94117647058823528</v>
      </c>
      <c r="Q118" s="76">
        <v>0.94117647058823528</v>
      </c>
      <c r="R118" s="59">
        <v>0.94117647058823528</v>
      </c>
      <c r="S118" s="76">
        <v>0.94117647058823528</v>
      </c>
      <c r="T118" s="6">
        <v>28</v>
      </c>
      <c r="U118" s="6">
        <v>27</v>
      </c>
      <c r="V118" s="76">
        <f t="shared" si="1"/>
        <v>0.9642857142857143</v>
      </c>
    </row>
    <row r="119" spans="1:22" x14ac:dyDescent="0.25">
      <c r="A119" s="6">
        <v>128</v>
      </c>
      <c r="B119" s="6">
        <v>17081</v>
      </c>
      <c r="C119" s="6" t="s">
        <v>17</v>
      </c>
      <c r="D119" s="6" t="s">
        <v>289</v>
      </c>
      <c r="E119" s="6" t="s">
        <v>291</v>
      </c>
      <c r="F119" s="6" t="s">
        <v>223</v>
      </c>
      <c r="G119" s="6">
        <v>15</v>
      </c>
      <c r="H119" s="6">
        <v>15</v>
      </c>
      <c r="I119" s="76">
        <v>1</v>
      </c>
      <c r="J119" s="76">
        <v>1</v>
      </c>
      <c r="K119" s="76">
        <v>1</v>
      </c>
      <c r="L119" s="76">
        <v>1</v>
      </c>
      <c r="M119" s="76">
        <v>0.8</v>
      </c>
      <c r="N119" s="76">
        <v>1</v>
      </c>
      <c r="O119" s="76">
        <v>1</v>
      </c>
      <c r="P119" s="76">
        <v>1</v>
      </c>
      <c r="Q119" s="76">
        <v>1</v>
      </c>
      <c r="R119" s="59">
        <v>1</v>
      </c>
      <c r="S119" s="76">
        <v>1</v>
      </c>
      <c r="T119" s="6">
        <v>17</v>
      </c>
      <c r="U119" s="6">
        <v>17</v>
      </c>
      <c r="V119" s="76">
        <f t="shared" si="1"/>
        <v>1</v>
      </c>
    </row>
    <row r="120" spans="1:22" x14ac:dyDescent="0.25">
      <c r="A120" s="6">
        <v>129</v>
      </c>
      <c r="B120" s="6">
        <v>16789</v>
      </c>
      <c r="C120" s="6" t="s">
        <v>162</v>
      </c>
      <c r="D120" s="6" t="s">
        <v>289</v>
      </c>
      <c r="E120" s="6" t="s">
        <v>321</v>
      </c>
      <c r="F120" s="6" t="s">
        <v>322</v>
      </c>
      <c r="G120" s="6">
        <v>5</v>
      </c>
      <c r="H120" s="6">
        <v>5</v>
      </c>
      <c r="I120" s="76">
        <v>1</v>
      </c>
      <c r="J120" s="76">
        <v>1</v>
      </c>
      <c r="K120" s="76">
        <v>1</v>
      </c>
      <c r="L120" s="76">
        <v>1</v>
      </c>
      <c r="M120" s="76">
        <v>0.4</v>
      </c>
      <c r="N120" s="76">
        <v>0.25</v>
      </c>
      <c r="O120" s="76">
        <v>1</v>
      </c>
      <c r="P120" s="76">
        <v>0.8</v>
      </c>
      <c r="Q120" s="76">
        <v>1</v>
      </c>
      <c r="R120" s="59">
        <v>1</v>
      </c>
      <c r="S120" s="76">
        <v>1</v>
      </c>
      <c r="T120" s="6">
        <v>8</v>
      </c>
      <c r="U120" s="6">
        <v>2</v>
      </c>
      <c r="V120" s="76">
        <f t="shared" si="1"/>
        <v>0.25</v>
      </c>
    </row>
    <row r="121" spans="1:22" x14ac:dyDescent="0.25">
      <c r="A121" s="6">
        <v>130</v>
      </c>
      <c r="B121" s="6">
        <v>17119</v>
      </c>
      <c r="C121" s="6" t="s">
        <v>195</v>
      </c>
      <c r="D121" s="6" t="s">
        <v>289</v>
      </c>
      <c r="E121" s="6" t="s">
        <v>273</v>
      </c>
      <c r="F121" s="6" t="s">
        <v>223</v>
      </c>
      <c r="G121" s="6">
        <v>2</v>
      </c>
      <c r="H121" s="6">
        <v>2</v>
      </c>
      <c r="I121" s="76">
        <v>1</v>
      </c>
      <c r="J121" s="76">
        <v>1</v>
      </c>
      <c r="K121" s="76">
        <v>1</v>
      </c>
      <c r="L121" s="76">
        <v>0.5</v>
      </c>
      <c r="M121" s="76">
        <v>1</v>
      </c>
      <c r="N121" s="76">
        <v>1</v>
      </c>
      <c r="O121" s="76">
        <v>1</v>
      </c>
      <c r="P121" s="76">
        <v>1</v>
      </c>
      <c r="Q121" s="76">
        <v>1</v>
      </c>
      <c r="R121" s="59">
        <v>1</v>
      </c>
      <c r="S121" s="76">
        <v>1</v>
      </c>
      <c r="T121" s="6">
        <v>7</v>
      </c>
      <c r="U121" s="6">
        <v>7</v>
      </c>
      <c r="V121" s="76">
        <f t="shared" si="1"/>
        <v>1</v>
      </c>
    </row>
    <row r="122" spans="1:22" x14ac:dyDescent="0.25">
      <c r="A122" s="6">
        <v>131</v>
      </c>
      <c r="B122" s="6">
        <v>17144</v>
      </c>
      <c r="C122" s="6" t="s">
        <v>30</v>
      </c>
      <c r="D122" s="6" t="s">
        <v>289</v>
      </c>
      <c r="E122" s="6" t="s">
        <v>292</v>
      </c>
      <c r="F122" s="6" t="s">
        <v>223</v>
      </c>
      <c r="G122" s="6">
        <v>15</v>
      </c>
      <c r="H122" s="6">
        <v>15</v>
      </c>
      <c r="I122" s="76">
        <v>1</v>
      </c>
      <c r="J122" s="76">
        <v>1</v>
      </c>
      <c r="K122" s="76">
        <v>1</v>
      </c>
      <c r="L122" s="76">
        <v>0.93333333333333335</v>
      </c>
      <c r="M122" s="76">
        <v>0.46666666666666667</v>
      </c>
      <c r="N122" s="76">
        <v>1</v>
      </c>
      <c r="O122" s="76">
        <v>1</v>
      </c>
      <c r="P122" s="76">
        <v>1</v>
      </c>
      <c r="Q122" s="76">
        <v>1</v>
      </c>
      <c r="R122" s="59">
        <v>1</v>
      </c>
      <c r="S122" s="76">
        <v>1</v>
      </c>
      <c r="T122" s="6">
        <v>20</v>
      </c>
      <c r="U122" s="6">
        <v>20</v>
      </c>
      <c r="V122" s="76">
        <f t="shared" si="1"/>
        <v>1</v>
      </c>
    </row>
    <row r="123" spans="1:22" x14ac:dyDescent="0.25">
      <c r="A123" s="6">
        <v>132</v>
      </c>
      <c r="B123" s="6">
        <v>17145</v>
      </c>
      <c r="C123" s="6" t="s">
        <v>31</v>
      </c>
      <c r="D123" s="6" t="s">
        <v>289</v>
      </c>
      <c r="E123" s="6" t="s">
        <v>292</v>
      </c>
      <c r="F123" s="6" t="s">
        <v>223</v>
      </c>
      <c r="G123" s="6">
        <v>7</v>
      </c>
      <c r="H123" s="6">
        <v>7</v>
      </c>
      <c r="I123" s="76">
        <v>1</v>
      </c>
      <c r="J123" s="76">
        <v>1</v>
      </c>
      <c r="K123" s="76">
        <v>1</v>
      </c>
      <c r="L123" s="76">
        <v>1</v>
      </c>
      <c r="M123" s="76">
        <v>0.14285714285714285</v>
      </c>
      <c r="N123" s="76">
        <v>1</v>
      </c>
      <c r="O123" s="76">
        <v>1</v>
      </c>
      <c r="P123" s="76">
        <v>1</v>
      </c>
      <c r="Q123" s="76">
        <v>1</v>
      </c>
      <c r="R123" s="59">
        <v>1</v>
      </c>
      <c r="S123" s="76">
        <v>1</v>
      </c>
      <c r="T123" s="6">
        <v>7</v>
      </c>
      <c r="U123" s="6">
        <v>7</v>
      </c>
      <c r="V123" s="76">
        <f t="shared" si="1"/>
        <v>1</v>
      </c>
    </row>
    <row r="124" spans="1:22" x14ac:dyDescent="0.25">
      <c r="A124" s="6">
        <v>133</v>
      </c>
      <c r="B124" s="6">
        <v>16844</v>
      </c>
      <c r="C124" s="6" t="s">
        <v>70</v>
      </c>
      <c r="D124" s="6" t="s">
        <v>289</v>
      </c>
      <c r="E124" s="6" t="s">
        <v>294</v>
      </c>
      <c r="F124" s="6" t="s">
        <v>320</v>
      </c>
      <c r="G124" s="6">
        <v>12</v>
      </c>
      <c r="H124" s="6">
        <v>12</v>
      </c>
      <c r="I124" s="76">
        <v>1</v>
      </c>
      <c r="J124" s="76">
        <v>1</v>
      </c>
      <c r="K124" s="76">
        <v>0.66666666666666663</v>
      </c>
      <c r="L124" s="76">
        <v>0.91666666666666663</v>
      </c>
      <c r="M124" s="76">
        <v>8.3333333333333329E-2</v>
      </c>
      <c r="N124" s="76">
        <v>0.76190476190476186</v>
      </c>
      <c r="O124" s="76">
        <v>1</v>
      </c>
      <c r="P124" s="76">
        <v>1</v>
      </c>
      <c r="Q124" s="76">
        <v>1</v>
      </c>
      <c r="R124" s="59">
        <v>1</v>
      </c>
      <c r="S124" s="76">
        <v>1</v>
      </c>
      <c r="T124" s="6">
        <v>21</v>
      </c>
      <c r="U124" s="6">
        <v>16</v>
      </c>
      <c r="V124" s="76">
        <f t="shared" si="1"/>
        <v>0.76190476190476186</v>
      </c>
    </row>
    <row r="125" spans="1:22" x14ac:dyDescent="0.25">
      <c r="A125" s="6">
        <v>134</v>
      </c>
      <c r="B125" s="6">
        <v>16820</v>
      </c>
      <c r="C125" s="6" t="s">
        <v>177</v>
      </c>
      <c r="D125" s="6" t="s">
        <v>289</v>
      </c>
      <c r="E125" s="6" t="s">
        <v>299</v>
      </c>
      <c r="F125" s="6" t="s">
        <v>320</v>
      </c>
      <c r="G125" s="6">
        <v>5</v>
      </c>
      <c r="H125" s="6">
        <v>5</v>
      </c>
      <c r="I125" s="76">
        <v>1</v>
      </c>
      <c r="J125" s="76">
        <v>1</v>
      </c>
      <c r="K125" s="76">
        <v>1</v>
      </c>
      <c r="L125" s="76">
        <v>1</v>
      </c>
      <c r="M125" s="76">
        <v>0.2</v>
      </c>
      <c r="N125" s="76">
        <v>0.66666666666666663</v>
      </c>
      <c r="O125" s="76">
        <v>1</v>
      </c>
      <c r="P125" s="76">
        <v>1</v>
      </c>
      <c r="Q125" s="76">
        <v>1</v>
      </c>
      <c r="R125" s="59">
        <v>1</v>
      </c>
      <c r="S125" s="76">
        <v>1</v>
      </c>
      <c r="T125" s="6">
        <v>6</v>
      </c>
      <c r="U125" s="6">
        <v>4</v>
      </c>
      <c r="V125" s="76">
        <f t="shared" si="1"/>
        <v>0.66666666666666663</v>
      </c>
    </row>
    <row r="126" spans="1:22" x14ac:dyDescent="0.25">
      <c r="A126" s="6">
        <v>135</v>
      </c>
      <c r="B126" s="6">
        <v>17109</v>
      </c>
      <c r="C126" s="6" t="s">
        <v>185</v>
      </c>
      <c r="D126" s="6" t="s">
        <v>289</v>
      </c>
      <c r="E126" s="6" t="s">
        <v>273</v>
      </c>
      <c r="F126" s="6" t="s">
        <v>223</v>
      </c>
      <c r="G126" s="6">
        <v>12</v>
      </c>
      <c r="H126" s="6">
        <v>12</v>
      </c>
      <c r="I126" s="76">
        <v>1</v>
      </c>
      <c r="J126" s="76">
        <v>1</v>
      </c>
      <c r="K126" s="76">
        <v>0.83333333333333337</v>
      </c>
      <c r="L126" s="76">
        <v>1</v>
      </c>
      <c r="M126" s="76">
        <v>0</v>
      </c>
      <c r="N126" s="76">
        <v>1</v>
      </c>
      <c r="O126" s="76">
        <v>1</v>
      </c>
      <c r="P126" s="76">
        <v>1</v>
      </c>
      <c r="Q126" s="76">
        <v>1</v>
      </c>
      <c r="R126" s="59">
        <v>1</v>
      </c>
      <c r="S126" s="76">
        <v>1</v>
      </c>
      <c r="T126" s="6">
        <v>31</v>
      </c>
      <c r="U126" s="6">
        <v>31</v>
      </c>
      <c r="V126" s="76">
        <f t="shared" si="1"/>
        <v>1</v>
      </c>
    </row>
    <row r="127" spans="1:22" x14ac:dyDescent="0.25">
      <c r="A127" s="6">
        <v>136</v>
      </c>
      <c r="B127" s="6">
        <v>16823</v>
      </c>
      <c r="C127" s="6" t="s">
        <v>179</v>
      </c>
      <c r="D127" s="6" t="s">
        <v>289</v>
      </c>
      <c r="E127" s="6" t="s">
        <v>299</v>
      </c>
      <c r="F127" s="6" t="s">
        <v>320</v>
      </c>
      <c r="G127" s="6">
        <v>7</v>
      </c>
      <c r="H127" s="6">
        <v>7</v>
      </c>
      <c r="I127" s="76">
        <v>1</v>
      </c>
      <c r="J127" s="76">
        <v>1</v>
      </c>
      <c r="K127" s="76">
        <v>0.14285714285714285</v>
      </c>
      <c r="L127" s="76">
        <v>0.42857142857142855</v>
      </c>
      <c r="M127" s="76">
        <v>0.2857142857142857</v>
      </c>
      <c r="N127" s="76">
        <v>1</v>
      </c>
      <c r="O127" s="76">
        <v>1</v>
      </c>
      <c r="P127" s="76">
        <v>1</v>
      </c>
      <c r="Q127" s="76">
        <v>1</v>
      </c>
      <c r="R127" s="59">
        <v>1</v>
      </c>
      <c r="S127" s="76">
        <v>1</v>
      </c>
      <c r="T127" s="6">
        <v>14</v>
      </c>
      <c r="U127" s="6">
        <v>14</v>
      </c>
      <c r="V127" s="76">
        <f t="shared" si="1"/>
        <v>1</v>
      </c>
    </row>
    <row r="128" spans="1:22" x14ac:dyDescent="0.25">
      <c r="A128" s="6">
        <v>137</v>
      </c>
      <c r="B128" s="6">
        <v>17163</v>
      </c>
      <c r="C128" s="6" t="s">
        <v>90</v>
      </c>
      <c r="D128" s="6" t="s">
        <v>289</v>
      </c>
      <c r="E128" s="6" t="s">
        <v>296</v>
      </c>
      <c r="F128" s="6" t="s">
        <v>223</v>
      </c>
      <c r="G128" s="6">
        <v>15</v>
      </c>
      <c r="H128" s="6">
        <v>14</v>
      </c>
      <c r="I128" s="76">
        <v>0.93333333333333335</v>
      </c>
      <c r="J128" s="76">
        <v>0.93333333333333335</v>
      </c>
      <c r="K128" s="76">
        <v>0.93333333333333335</v>
      </c>
      <c r="L128" s="76">
        <v>0.93333333333333335</v>
      </c>
      <c r="M128" s="76">
        <v>0.46666666666666667</v>
      </c>
      <c r="N128" s="76">
        <v>0.92592592592592593</v>
      </c>
      <c r="O128" s="76">
        <v>0.93333333333333335</v>
      </c>
      <c r="P128" s="76">
        <v>0.93333333333333335</v>
      </c>
      <c r="Q128" s="76">
        <v>0.93333333333333335</v>
      </c>
      <c r="R128" s="59">
        <v>0.93333333333333335</v>
      </c>
      <c r="S128" s="76">
        <v>0.93333333333333335</v>
      </c>
      <c r="T128" s="6">
        <v>27</v>
      </c>
      <c r="U128" s="6">
        <v>25</v>
      </c>
      <c r="V128" s="76">
        <f t="shared" si="1"/>
        <v>0.92592592592592593</v>
      </c>
    </row>
    <row r="129" spans="1:22" x14ac:dyDescent="0.25">
      <c r="A129" s="6">
        <v>139</v>
      </c>
      <c r="B129" s="6">
        <v>17088</v>
      </c>
      <c r="C129" s="6" t="s">
        <v>24</v>
      </c>
      <c r="D129" s="6" t="s">
        <v>289</v>
      </c>
      <c r="E129" s="6" t="s">
        <v>291</v>
      </c>
      <c r="F129" s="6" t="s">
        <v>223</v>
      </c>
      <c r="G129" s="6">
        <v>6</v>
      </c>
      <c r="H129" s="6">
        <v>5</v>
      </c>
      <c r="I129" s="76">
        <v>0.83333333333333337</v>
      </c>
      <c r="J129" s="76">
        <v>0.83333333333333337</v>
      </c>
      <c r="K129" s="76">
        <v>0.83333333333333337</v>
      </c>
      <c r="L129" s="76">
        <v>0.83333333333333337</v>
      </c>
      <c r="M129" s="76">
        <v>0.33333333333333331</v>
      </c>
      <c r="N129" s="76">
        <v>1</v>
      </c>
      <c r="O129" s="76">
        <v>0.83333333333333337</v>
      </c>
      <c r="P129" s="76">
        <v>0.83333333333333337</v>
      </c>
      <c r="Q129" s="76">
        <v>0.83333333333333337</v>
      </c>
      <c r="R129" s="59">
        <v>0.83333333333333337</v>
      </c>
      <c r="S129" s="76">
        <v>0.83333333333333337</v>
      </c>
      <c r="T129" s="6">
        <v>7</v>
      </c>
      <c r="U129" s="6">
        <v>7</v>
      </c>
      <c r="V129" s="76">
        <f t="shared" si="1"/>
        <v>1</v>
      </c>
    </row>
    <row r="130" spans="1:22" x14ac:dyDescent="0.25">
      <c r="A130" s="6">
        <v>140</v>
      </c>
      <c r="B130" s="6">
        <v>16693</v>
      </c>
      <c r="C130" s="6" t="s">
        <v>76</v>
      </c>
      <c r="D130" s="6" t="s">
        <v>289</v>
      </c>
      <c r="E130" s="6" t="s">
        <v>295</v>
      </c>
      <c r="F130" s="6" t="s">
        <v>320</v>
      </c>
      <c r="G130" s="6">
        <v>21</v>
      </c>
      <c r="H130" s="6">
        <v>21</v>
      </c>
      <c r="I130" s="76">
        <v>1</v>
      </c>
      <c r="J130" s="76">
        <v>1</v>
      </c>
      <c r="K130" s="76">
        <v>0.66666666666666663</v>
      </c>
      <c r="L130" s="76">
        <v>0.95238095238095233</v>
      </c>
      <c r="M130" s="76">
        <v>0.90476190476190477</v>
      </c>
      <c r="N130" s="76">
        <v>0.65625</v>
      </c>
      <c r="O130" s="76">
        <v>1</v>
      </c>
      <c r="P130" s="76">
        <v>1</v>
      </c>
      <c r="Q130" s="76">
        <v>1</v>
      </c>
      <c r="R130" s="59">
        <v>1</v>
      </c>
      <c r="S130" s="76">
        <v>1</v>
      </c>
      <c r="T130" s="6">
        <v>64</v>
      </c>
      <c r="U130" s="6">
        <v>42</v>
      </c>
      <c r="V130" s="76">
        <f t="shared" si="1"/>
        <v>0.65625</v>
      </c>
    </row>
    <row r="131" spans="1:22" x14ac:dyDescent="0.25">
      <c r="A131" s="6">
        <v>141</v>
      </c>
      <c r="B131" s="6">
        <v>16824</v>
      </c>
      <c r="C131" s="6" t="s">
        <v>67</v>
      </c>
      <c r="D131" s="6" t="s">
        <v>289</v>
      </c>
      <c r="E131" s="6" t="s">
        <v>294</v>
      </c>
      <c r="F131" s="6" t="s">
        <v>320</v>
      </c>
      <c r="G131" s="6">
        <v>11</v>
      </c>
      <c r="H131" s="6">
        <v>8</v>
      </c>
      <c r="I131" s="76">
        <v>0.72727272727272729</v>
      </c>
      <c r="J131" s="76">
        <v>0.81818181818181823</v>
      </c>
      <c r="K131" s="76">
        <v>0.81818181818181823</v>
      </c>
      <c r="L131" s="76">
        <v>0.72727272727272729</v>
      </c>
      <c r="M131" s="76">
        <v>0</v>
      </c>
      <c r="N131" s="76">
        <v>0.88888888888888884</v>
      </c>
      <c r="O131" s="76">
        <v>0.81818181818181823</v>
      </c>
      <c r="P131" s="76">
        <v>0.81818181818181823</v>
      </c>
      <c r="Q131" s="76">
        <v>0.81818181818181823</v>
      </c>
      <c r="R131" s="59">
        <v>0.81818181818181823</v>
      </c>
      <c r="S131" s="76">
        <v>0.81818181818181823</v>
      </c>
      <c r="T131" s="6">
        <v>18</v>
      </c>
      <c r="U131" s="6">
        <v>16</v>
      </c>
      <c r="V131" s="76">
        <f t="shared" ref="V131:V189" si="2">+U131/T131</f>
        <v>0.88888888888888884</v>
      </c>
    </row>
    <row r="132" spans="1:22" x14ac:dyDescent="0.25">
      <c r="A132" s="6">
        <v>142</v>
      </c>
      <c r="B132" s="6">
        <v>16910</v>
      </c>
      <c r="C132" t="s">
        <v>319</v>
      </c>
      <c r="D132" s="6" t="s">
        <v>289</v>
      </c>
      <c r="E132" s="6" t="s">
        <v>298</v>
      </c>
      <c r="F132" s="6" t="s">
        <v>320</v>
      </c>
      <c r="G132" s="6">
        <v>12</v>
      </c>
      <c r="H132" s="6">
        <v>12</v>
      </c>
      <c r="I132" s="76">
        <v>1</v>
      </c>
      <c r="J132" s="76">
        <v>1</v>
      </c>
      <c r="K132" s="76">
        <v>1</v>
      </c>
      <c r="L132" s="76">
        <v>0.91666666666666663</v>
      </c>
      <c r="M132" s="76">
        <v>0.25</v>
      </c>
      <c r="N132" s="76">
        <v>1</v>
      </c>
      <c r="O132" s="76">
        <v>1</v>
      </c>
      <c r="P132" s="76">
        <v>1</v>
      </c>
      <c r="Q132" s="76">
        <v>1</v>
      </c>
      <c r="R132" s="59">
        <v>1</v>
      </c>
      <c r="S132" s="76">
        <v>1</v>
      </c>
      <c r="T132" s="6">
        <v>20</v>
      </c>
      <c r="U132" s="6">
        <v>20</v>
      </c>
      <c r="V132" s="76">
        <f t="shared" si="2"/>
        <v>1</v>
      </c>
    </row>
    <row r="133" spans="1:22" x14ac:dyDescent="0.25">
      <c r="A133" s="6">
        <v>143</v>
      </c>
      <c r="B133" s="6">
        <v>16830</v>
      </c>
      <c r="C133" s="6" t="s">
        <v>64</v>
      </c>
      <c r="D133" s="6" t="s">
        <v>289</v>
      </c>
      <c r="E133" s="6" t="s">
        <v>294</v>
      </c>
      <c r="F133" s="6" t="s">
        <v>320</v>
      </c>
      <c r="G133" s="6">
        <v>13</v>
      </c>
      <c r="H133" s="6">
        <v>12</v>
      </c>
      <c r="I133" s="76">
        <v>0.92307692307692313</v>
      </c>
      <c r="J133" s="76">
        <v>0.92307692307692313</v>
      </c>
      <c r="K133" s="76">
        <v>0.92307692307692313</v>
      </c>
      <c r="L133" s="76">
        <v>0.53846153846153844</v>
      </c>
      <c r="M133" s="76">
        <v>0.30769230769230771</v>
      </c>
      <c r="N133" s="76">
        <v>0.77777777777777779</v>
      </c>
      <c r="O133" s="76">
        <v>1</v>
      </c>
      <c r="P133" s="76">
        <v>0.92307692307692313</v>
      </c>
      <c r="Q133" s="76">
        <v>1</v>
      </c>
      <c r="R133" s="59">
        <v>1</v>
      </c>
      <c r="S133" s="76">
        <v>1</v>
      </c>
      <c r="T133" s="6">
        <v>27</v>
      </c>
      <c r="U133" s="6">
        <v>21</v>
      </c>
      <c r="V133" s="76">
        <f t="shared" si="2"/>
        <v>0.77777777777777779</v>
      </c>
    </row>
    <row r="134" spans="1:22" x14ac:dyDescent="0.25">
      <c r="A134" s="6">
        <v>144</v>
      </c>
      <c r="B134" s="6">
        <v>17172</v>
      </c>
      <c r="C134" s="6" t="s">
        <v>99</v>
      </c>
      <c r="D134" s="6" t="s">
        <v>289</v>
      </c>
      <c r="E134" s="6" t="s">
        <v>296</v>
      </c>
      <c r="F134" s="6" t="s">
        <v>223</v>
      </c>
      <c r="G134" s="6">
        <v>16</v>
      </c>
      <c r="H134" s="6">
        <v>16</v>
      </c>
      <c r="I134" s="76">
        <v>1</v>
      </c>
      <c r="J134" s="76">
        <v>1</v>
      </c>
      <c r="K134" s="76">
        <v>1</v>
      </c>
      <c r="L134" s="76">
        <v>1</v>
      </c>
      <c r="M134" s="76">
        <v>0.125</v>
      </c>
      <c r="N134" s="76">
        <v>0.75</v>
      </c>
      <c r="O134" s="76">
        <v>1</v>
      </c>
      <c r="P134" s="76">
        <v>1</v>
      </c>
      <c r="Q134" s="76">
        <v>1</v>
      </c>
      <c r="R134" s="59">
        <v>1</v>
      </c>
      <c r="S134" s="76">
        <v>1</v>
      </c>
      <c r="T134" s="6">
        <v>4</v>
      </c>
      <c r="U134" s="6">
        <v>3</v>
      </c>
      <c r="V134" s="76">
        <f t="shared" si="2"/>
        <v>0.75</v>
      </c>
    </row>
    <row r="135" spans="1:22" x14ac:dyDescent="0.25">
      <c r="A135" s="6">
        <v>145</v>
      </c>
      <c r="B135" s="6">
        <v>16774</v>
      </c>
      <c r="C135" s="6" t="s">
        <v>58</v>
      </c>
      <c r="D135" s="6" t="s">
        <v>289</v>
      </c>
      <c r="E135" s="6" t="s">
        <v>294</v>
      </c>
      <c r="F135" s="6" t="s">
        <v>320</v>
      </c>
      <c r="G135" s="6">
        <v>8</v>
      </c>
      <c r="H135" s="6">
        <v>8</v>
      </c>
      <c r="I135" s="76">
        <v>1</v>
      </c>
      <c r="J135" s="76">
        <v>1</v>
      </c>
      <c r="K135" s="76">
        <v>0.125</v>
      </c>
      <c r="L135" s="76">
        <v>1</v>
      </c>
      <c r="M135" s="76">
        <v>0</v>
      </c>
      <c r="N135" s="76">
        <v>1</v>
      </c>
      <c r="O135" s="76">
        <v>1</v>
      </c>
      <c r="P135" s="76">
        <v>1</v>
      </c>
      <c r="Q135" s="76">
        <v>1</v>
      </c>
      <c r="R135" s="59">
        <v>1</v>
      </c>
      <c r="S135" s="76">
        <v>1</v>
      </c>
      <c r="T135" s="6">
        <v>14</v>
      </c>
      <c r="U135" s="6">
        <v>14</v>
      </c>
      <c r="V135" s="76">
        <f t="shared" si="2"/>
        <v>1</v>
      </c>
    </row>
    <row r="136" spans="1:22" x14ac:dyDescent="0.25">
      <c r="A136" s="6">
        <v>147</v>
      </c>
      <c r="B136" s="6">
        <v>16856</v>
      </c>
      <c r="C136" s="6" t="s">
        <v>122</v>
      </c>
      <c r="D136" s="6" t="s">
        <v>289</v>
      </c>
      <c r="E136" s="6" t="s">
        <v>323</v>
      </c>
      <c r="F136" s="6" t="s">
        <v>322</v>
      </c>
      <c r="G136" s="6">
        <v>3</v>
      </c>
      <c r="H136" s="6">
        <v>3</v>
      </c>
      <c r="I136" s="76">
        <v>1</v>
      </c>
      <c r="J136" s="76">
        <v>1</v>
      </c>
      <c r="K136" s="76">
        <v>0</v>
      </c>
      <c r="L136" s="76">
        <v>1</v>
      </c>
      <c r="M136" s="76">
        <v>0</v>
      </c>
      <c r="N136" s="76">
        <v>0</v>
      </c>
      <c r="O136" s="76">
        <v>1</v>
      </c>
      <c r="P136" s="76">
        <v>1</v>
      </c>
      <c r="Q136" s="76">
        <v>0.66666666666666663</v>
      </c>
      <c r="R136" s="59">
        <v>1</v>
      </c>
      <c r="S136" s="76">
        <v>1</v>
      </c>
      <c r="T136" s="6">
        <v>10</v>
      </c>
      <c r="U136" s="6">
        <v>0</v>
      </c>
      <c r="V136" s="76">
        <f t="shared" si="2"/>
        <v>0</v>
      </c>
    </row>
    <row r="137" spans="1:22" x14ac:dyDescent="0.25">
      <c r="A137" s="6">
        <v>148</v>
      </c>
      <c r="B137" s="6">
        <v>16853</v>
      </c>
      <c r="C137" s="6" t="s">
        <v>121</v>
      </c>
      <c r="D137" s="6" t="s">
        <v>289</v>
      </c>
      <c r="E137" s="6" t="s">
        <v>323</v>
      </c>
      <c r="F137" s="6" t="s">
        <v>322</v>
      </c>
      <c r="G137" s="6">
        <v>18</v>
      </c>
      <c r="H137" s="6">
        <v>15</v>
      </c>
      <c r="I137" s="76">
        <v>0.83333333333333337</v>
      </c>
      <c r="J137" s="76">
        <v>0.88888888888888884</v>
      </c>
      <c r="K137" s="76">
        <v>0.5</v>
      </c>
      <c r="L137" s="76">
        <v>0.83333333333333337</v>
      </c>
      <c r="M137" s="76">
        <v>5.5555555555555552E-2</v>
      </c>
      <c r="N137" s="76">
        <v>0.66666666666666663</v>
      </c>
      <c r="O137" s="76">
        <v>0.88888888888888884</v>
      </c>
      <c r="P137" s="76">
        <v>0.88888888888888884</v>
      </c>
      <c r="Q137" s="76">
        <v>0.88888888888888884</v>
      </c>
      <c r="R137" s="59">
        <v>0.88888888888888884</v>
      </c>
      <c r="S137" s="76">
        <v>0.88888888888888884</v>
      </c>
      <c r="T137" s="6">
        <v>33</v>
      </c>
      <c r="U137" s="6">
        <v>22</v>
      </c>
      <c r="V137" s="76">
        <f t="shared" si="2"/>
        <v>0.66666666666666663</v>
      </c>
    </row>
    <row r="138" spans="1:22" x14ac:dyDescent="0.25">
      <c r="A138" s="6">
        <v>149</v>
      </c>
      <c r="B138" s="6">
        <v>17098</v>
      </c>
      <c r="C138" s="6" t="s">
        <v>50</v>
      </c>
      <c r="D138" s="6" t="s">
        <v>289</v>
      </c>
      <c r="E138" s="6" t="s">
        <v>274</v>
      </c>
      <c r="F138" s="6" t="s">
        <v>223</v>
      </c>
      <c r="G138" s="6">
        <v>6</v>
      </c>
      <c r="H138" s="6">
        <v>6</v>
      </c>
      <c r="I138" s="76">
        <v>1</v>
      </c>
      <c r="J138" s="76">
        <v>1</v>
      </c>
      <c r="K138" s="76">
        <v>1</v>
      </c>
      <c r="L138" s="76">
        <v>1</v>
      </c>
      <c r="M138" s="76">
        <v>0</v>
      </c>
      <c r="N138" s="76">
        <v>1</v>
      </c>
      <c r="O138" s="76">
        <v>1</v>
      </c>
      <c r="P138" s="76">
        <v>1</v>
      </c>
      <c r="Q138" s="76">
        <v>1</v>
      </c>
      <c r="R138" s="59">
        <v>1</v>
      </c>
      <c r="S138" s="76">
        <v>1</v>
      </c>
      <c r="T138" s="6">
        <v>4</v>
      </c>
      <c r="U138" s="6">
        <v>4</v>
      </c>
      <c r="V138" s="76">
        <f t="shared" si="2"/>
        <v>1</v>
      </c>
    </row>
    <row r="139" spans="1:22" x14ac:dyDescent="0.25">
      <c r="A139" s="6">
        <v>151</v>
      </c>
      <c r="B139" s="6">
        <v>16780</v>
      </c>
      <c r="C139" s="6" t="s">
        <v>115</v>
      </c>
      <c r="D139" s="6" t="s">
        <v>289</v>
      </c>
      <c r="E139" s="6" t="s">
        <v>323</v>
      </c>
      <c r="F139" s="6" t="s">
        <v>322</v>
      </c>
      <c r="G139" s="6">
        <v>10</v>
      </c>
      <c r="H139" s="6">
        <v>10</v>
      </c>
      <c r="I139" s="76">
        <v>1</v>
      </c>
      <c r="J139" s="76">
        <v>1</v>
      </c>
      <c r="K139" s="76">
        <v>0.2</v>
      </c>
      <c r="L139" s="76">
        <v>0.8</v>
      </c>
      <c r="M139" s="76">
        <v>0.4</v>
      </c>
      <c r="N139" s="76">
        <v>0.58064516129032262</v>
      </c>
      <c r="O139" s="76">
        <v>1</v>
      </c>
      <c r="P139" s="76">
        <v>1</v>
      </c>
      <c r="Q139" s="76">
        <v>1</v>
      </c>
      <c r="R139" s="59">
        <v>1</v>
      </c>
      <c r="S139" s="76">
        <v>1</v>
      </c>
      <c r="T139" s="6">
        <v>31</v>
      </c>
      <c r="U139" s="6">
        <v>18</v>
      </c>
      <c r="V139" s="76">
        <f t="shared" si="2"/>
        <v>0.58064516129032262</v>
      </c>
    </row>
    <row r="140" spans="1:22" x14ac:dyDescent="0.25">
      <c r="A140" s="6">
        <v>152</v>
      </c>
      <c r="B140" s="6">
        <v>16809</v>
      </c>
      <c r="C140" s="6" t="s">
        <v>173</v>
      </c>
      <c r="D140" s="6" t="s">
        <v>289</v>
      </c>
      <c r="E140" s="6" t="s">
        <v>299</v>
      </c>
      <c r="F140" s="6" t="s">
        <v>320</v>
      </c>
      <c r="G140" s="6">
        <v>15</v>
      </c>
      <c r="H140" s="6">
        <v>15</v>
      </c>
      <c r="I140" s="76">
        <v>1</v>
      </c>
      <c r="J140" s="76">
        <v>1</v>
      </c>
      <c r="K140" s="76">
        <v>0.6</v>
      </c>
      <c r="L140" s="76">
        <v>1</v>
      </c>
      <c r="M140" s="76">
        <v>6.6666666666666666E-2</v>
      </c>
      <c r="N140" s="76">
        <v>1</v>
      </c>
      <c r="O140" s="76">
        <v>1</v>
      </c>
      <c r="P140" s="76">
        <v>1</v>
      </c>
      <c r="Q140" s="76">
        <v>1</v>
      </c>
      <c r="R140" s="59">
        <v>1</v>
      </c>
      <c r="S140" s="76">
        <v>1</v>
      </c>
      <c r="T140" s="6">
        <v>18</v>
      </c>
      <c r="U140" s="6">
        <v>18</v>
      </c>
      <c r="V140" s="76">
        <f t="shared" si="2"/>
        <v>1</v>
      </c>
    </row>
    <row r="141" spans="1:22" x14ac:dyDescent="0.25">
      <c r="A141" s="6">
        <v>153</v>
      </c>
      <c r="B141" s="6">
        <v>17091</v>
      </c>
      <c r="C141" s="6" t="s">
        <v>43</v>
      </c>
      <c r="D141" s="6" t="s">
        <v>289</v>
      </c>
      <c r="E141" s="6" t="s">
        <v>274</v>
      </c>
      <c r="F141" s="6" t="s">
        <v>223</v>
      </c>
      <c r="G141" s="6">
        <v>14</v>
      </c>
      <c r="H141" s="6">
        <v>14</v>
      </c>
      <c r="I141" s="76">
        <v>1</v>
      </c>
      <c r="J141" s="76">
        <v>1</v>
      </c>
      <c r="K141" s="76">
        <v>0.9285714285714286</v>
      </c>
      <c r="L141" s="76">
        <v>1</v>
      </c>
      <c r="M141" s="76">
        <v>0.21428571428571427</v>
      </c>
      <c r="N141" s="76">
        <v>1</v>
      </c>
      <c r="O141" s="76">
        <v>1</v>
      </c>
      <c r="P141" s="76">
        <v>1</v>
      </c>
      <c r="Q141" s="76">
        <v>1</v>
      </c>
      <c r="R141" s="59">
        <v>1</v>
      </c>
      <c r="S141" s="76">
        <v>1</v>
      </c>
      <c r="T141" s="6">
        <v>15</v>
      </c>
      <c r="U141" s="6">
        <v>15</v>
      </c>
      <c r="V141" s="76">
        <f t="shared" si="2"/>
        <v>1</v>
      </c>
    </row>
    <row r="142" spans="1:22" x14ac:dyDescent="0.25">
      <c r="A142" s="6">
        <v>154</v>
      </c>
      <c r="B142" s="6">
        <v>16800</v>
      </c>
      <c r="C142" s="6" t="s">
        <v>103</v>
      </c>
      <c r="D142" s="6" t="s">
        <v>289</v>
      </c>
      <c r="E142" s="6" t="s">
        <v>297</v>
      </c>
      <c r="F142" s="6" t="s">
        <v>322</v>
      </c>
      <c r="G142" s="6">
        <v>1</v>
      </c>
      <c r="H142" s="6">
        <v>1</v>
      </c>
      <c r="I142" s="76">
        <v>1</v>
      </c>
      <c r="J142" s="76">
        <v>1</v>
      </c>
      <c r="K142" s="76">
        <v>1</v>
      </c>
      <c r="L142" s="76">
        <v>1</v>
      </c>
      <c r="M142" s="76">
        <v>0</v>
      </c>
      <c r="N142" s="76">
        <v>1</v>
      </c>
      <c r="O142" s="76">
        <v>1</v>
      </c>
      <c r="P142" s="76">
        <v>1</v>
      </c>
      <c r="Q142" s="76">
        <v>1</v>
      </c>
      <c r="R142" s="59">
        <v>1</v>
      </c>
      <c r="S142" s="76">
        <v>1</v>
      </c>
      <c r="T142" s="6">
        <v>3</v>
      </c>
      <c r="U142" s="6">
        <v>3</v>
      </c>
      <c r="V142" s="76">
        <f t="shared" si="2"/>
        <v>1</v>
      </c>
    </row>
    <row r="143" spans="1:22" x14ac:dyDescent="0.25">
      <c r="A143" s="6">
        <v>155</v>
      </c>
      <c r="B143" s="6">
        <v>16851</v>
      </c>
      <c r="C143" s="6" t="s">
        <v>82</v>
      </c>
      <c r="D143" s="6" t="s">
        <v>289</v>
      </c>
      <c r="E143" s="6" t="s">
        <v>295</v>
      </c>
      <c r="F143" s="6" t="s">
        <v>320</v>
      </c>
      <c r="G143" s="6">
        <v>22</v>
      </c>
      <c r="H143" s="6">
        <v>22</v>
      </c>
      <c r="I143" s="76">
        <v>1</v>
      </c>
      <c r="J143" s="76">
        <v>1</v>
      </c>
      <c r="K143" s="76">
        <v>0.95454545454545459</v>
      </c>
      <c r="L143" s="76">
        <v>0.86363636363636365</v>
      </c>
      <c r="M143" s="76">
        <v>0.18181818181818182</v>
      </c>
      <c r="N143" s="76">
        <v>8.771929824561403E-2</v>
      </c>
      <c r="O143" s="76">
        <v>1</v>
      </c>
      <c r="P143" s="76">
        <v>1</v>
      </c>
      <c r="Q143" s="76">
        <v>1</v>
      </c>
      <c r="R143" s="59">
        <v>1</v>
      </c>
      <c r="S143" s="76">
        <v>1</v>
      </c>
      <c r="T143" s="6">
        <v>57</v>
      </c>
      <c r="U143" s="6">
        <v>5</v>
      </c>
      <c r="V143" s="76">
        <f t="shared" si="2"/>
        <v>8.771929824561403E-2</v>
      </c>
    </row>
    <row r="144" spans="1:22" x14ac:dyDescent="0.25">
      <c r="A144" s="6">
        <v>156</v>
      </c>
      <c r="B144" s="6">
        <v>16688</v>
      </c>
      <c r="C144" s="6" t="s">
        <v>101</v>
      </c>
      <c r="D144" s="6" t="s">
        <v>289</v>
      </c>
      <c r="E144" s="6" t="s">
        <v>297</v>
      </c>
      <c r="F144" s="6" t="s">
        <v>322</v>
      </c>
      <c r="G144" s="6">
        <v>19</v>
      </c>
      <c r="H144" s="6">
        <v>19</v>
      </c>
      <c r="I144" s="76">
        <v>1</v>
      </c>
      <c r="J144" s="76">
        <v>1</v>
      </c>
      <c r="K144" s="76">
        <v>0.94736842105263153</v>
      </c>
      <c r="L144" s="76">
        <v>0.89473684210526316</v>
      </c>
      <c r="M144" s="76">
        <v>0.42105263157894735</v>
      </c>
      <c r="N144" s="76">
        <v>0.8666666666666667</v>
      </c>
      <c r="O144" s="76">
        <v>1</v>
      </c>
      <c r="P144" s="76">
        <v>1</v>
      </c>
      <c r="Q144" s="76">
        <v>1</v>
      </c>
      <c r="R144" s="59">
        <v>1</v>
      </c>
      <c r="S144" s="76">
        <v>1</v>
      </c>
      <c r="T144" s="6">
        <v>30</v>
      </c>
      <c r="U144" s="6">
        <v>26</v>
      </c>
      <c r="V144" s="76">
        <f t="shared" si="2"/>
        <v>0.8666666666666667</v>
      </c>
    </row>
    <row r="145" spans="1:22" x14ac:dyDescent="0.25">
      <c r="A145" s="6">
        <v>157</v>
      </c>
      <c r="B145" s="6">
        <v>17160</v>
      </c>
      <c r="C145" s="6" t="s">
        <v>87</v>
      </c>
      <c r="D145" s="6" t="s">
        <v>289</v>
      </c>
      <c r="E145" s="6" t="s">
        <v>296</v>
      </c>
      <c r="F145" s="6" t="s">
        <v>223</v>
      </c>
      <c r="G145" s="6">
        <v>8</v>
      </c>
      <c r="H145" s="6">
        <v>8</v>
      </c>
      <c r="I145" s="76">
        <v>1</v>
      </c>
      <c r="J145" s="76">
        <v>1</v>
      </c>
      <c r="K145" s="76">
        <v>0.875</v>
      </c>
      <c r="L145" s="76">
        <v>1</v>
      </c>
      <c r="M145" s="76">
        <v>0.125</v>
      </c>
      <c r="N145" s="76">
        <v>1</v>
      </c>
      <c r="O145" s="76">
        <v>1</v>
      </c>
      <c r="P145" s="76">
        <v>1</v>
      </c>
      <c r="Q145" s="76">
        <v>1</v>
      </c>
      <c r="R145" s="59">
        <v>1</v>
      </c>
      <c r="S145" s="76">
        <v>1</v>
      </c>
      <c r="T145" s="6">
        <v>9</v>
      </c>
      <c r="U145" s="6">
        <v>9</v>
      </c>
      <c r="V145" s="76">
        <f t="shared" si="2"/>
        <v>1</v>
      </c>
    </row>
    <row r="146" spans="1:22" x14ac:dyDescent="0.25">
      <c r="A146" s="6">
        <v>158</v>
      </c>
      <c r="B146" s="6">
        <v>17079</v>
      </c>
      <c r="C146" s="6" t="s">
        <v>15</v>
      </c>
      <c r="D146" s="6" t="s">
        <v>289</v>
      </c>
      <c r="E146" s="6" t="s">
        <v>291</v>
      </c>
      <c r="F146" s="6" t="s">
        <v>223</v>
      </c>
      <c r="G146" s="6">
        <v>3</v>
      </c>
      <c r="H146" s="6">
        <v>3</v>
      </c>
      <c r="I146" s="76">
        <v>1</v>
      </c>
      <c r="J146" s="76">
        <v>1</v>
      </c>
      <c r="K146" s="76">
        <v>0.66666666666666663</v>
      </c>
      <c r="L146" s="76">
        <v>0.66666666666666663</v>
      </c>
      <c r="M146" s="76">
        <v>0</v>
      </c>
      <c r="N146" s="76">
        <v>1</v>
      </c>
      <c r="O146" s="76">
        <v>1</v>
      </c>
      <c r="P146" s="76">
        <v>1</v>
      </c>
      <c r="Q146" s="76">
        <v>1</v>
      </c>
      <c r="R146" s="59">
        <v>1</v>
      </c>
      <c r="S146" s="76">
        <v>1</v>
      </c>
      <c r="T146" s="6">
        <v>7</v>
      </c>
      <c r="U146" s="6">
        <v>7</v>
      </c>
      <c r="V146" s="76">
        <f t="shared" si="2"/>
        <v>1</v>
      </c>
    </row>
    <row r="147" spans="1:22" x14ac:dyDescent="0.25">
      <c r="A147" s="6">
        <v>159</v>
      </c>
      <c r="B147" s="6">
        <v>16777</v>
      </c>
      <c r="C147" s="6" t="s">
        <v>113</v>
      </c>
      <c r="D147" s="6" t="s">
        <v>289</v>
      </c>
      <c r="E147" s="6" t="s">
        <v>323</v>
      </c>
      <c r="F147" s="6" t="s">
        <v>322</v>
      </c>
      <c r="G147" s="6">
        <v>6</v>
      </c>
      <c r="H147" s="6">
        <v>5</v>
      </c>
      <c r="I147" s="76">
        <v>0.83333333333333337</v>
      </c>
      <c r="J147" s="76">
        <v>0.83333333333333337</v>
      </c>
      <c r="K147" s="76">
        <v>0.83333333333333337</v>
      </c>
      <c r="L147" s="76">
        <v>0.33333333333333331</v>
      </c>
      <c r="M147" s="76">
        <v>0.16666666666666666</v>
      </c>
      <c r="N147" s="76">
        <v>0.63157894736842102</v>
      </c>
      <c r="O147" s="76">
        <v>0.83333333333333337</v>
      </c>
      <c r="P147" s="76">
        <v>0.83333333333333337</v>
      </c>
      <c r="Q147" s="76">
        <v>0.83333333333333337</v>
      </c>
      <c r="R147" s="59">
        <v>0.83333333333333337</v>
      </c>
      <c r="S147" s="76">
        <v>0.83333333333333337</v>
      </c>
      <c r="T147" s="6">
        <v>19</v>
      </c>
      <c r="U147" s="6">
        <v>12</v>
      </c>
      <c r="V147" s="76">
        <f t="shared" si="2"/>
        <v>0.63157894736842102</v>
      </c>
    </row>
    <row r="148" spans="1:22" x14ac:dyDescent="0.25">
      <c r="A148" s="6">
        <v>161</v>
      </c>
      <c r="B148" s="6">
        <v>17099</v>
      </c>
      <c r="C148" s="6" t="s">
        <v>51</v>
      </c>
      <c r="D148" s="6" t="s">
        <v>289</v>
      </c>
      <c r="E148" s="6" t="s">
        <v>274</v>
      </c>
      <c r="F148" s="6" t="s">
        <v>223</v>
      </c>
      <c r="G148" s="6">
        <v>5</v>
      </c>
      <c r="H148" s="6">
        <v>5</v>
      </c>
      <c r="I148" s="76">
        <v>1</v>
      </c>
      <c r="J148" s="76">
        <v>1</v>
      </c>
      <c r="K148" s="76">
        <v>0.8</v>
      </c>
      <c r="L148" s="76">
        <v>1</v>
      </c>
      <c r="M148" s="76">
        <v>0</v>
      </c>
      <c r="N148" s="76">
        <v>1</v>
      </c>
      <c r="O148" s="76">
        <v>0.4</v>
      </c>
      <c r="P148" s="76">
        <v>1</v>
      </c>
      <c r="Q148" s="76">
        <v>0.4</v>
      </c>
      <c r="R148" s="59">
        <v>0.4</v>
      </c>
      <c r="S148" s="76">
        <v>0.4</v>
      </c>
      <c r="T148" s="6">
        <v>8</v>
      </c>
      <c r="U148" s="6">
        <v>8</v>
      </c>
      <c r="V148" s="76">
        <f t="shared" si="2"/>
        <v>1</v>
      </c>
    </row>
    <row r="149" spans="1:22" x14ac:dyDescent="0.25">
      <c r="A149" s="6">
        <v>162</v>
      </c>
      <c r="B149" s="6">
        <v>17112</v>
      </c>
      <c r="C149" s="6" t="s">
        <v>188</v>
      </c>
      <c r="D149" s="6" t="s">
        <v>289</v>
      </c>
      <c r="E149" s="6" t="s">
        <v>273</v>
      </c>
      <c r="F149" s="6" t="s">
        <v>223</v>
      </c>
      <c r="G149" s="6">
        <v>4</v>
      </c>
      <c r="H149" s="6">
        <v>4</v>
      </c>
      <c r="I149" s="76">
        <v>1</v>
      </c>
      <c r="J149" s="76">
        <v>1</v>
      </c>
      <c r="K149" s="76">
        <v>1</v>
      </c>
      <c r="L149" s="76">
        <v>1</v>
      </c>
      <c r="M149" s="76">
        <v>0.25</v>
      </c>
      <c r="N149" s="76">
        <v>0.91666666666666663</v>
      </c>
      <c r="O149" s="76">
        <v>1</v>
      </c>
      <c r="P149" s="76">
        <v>1</v>
      </c>
      <c r="Q149" s="76">
        <v>1</v>
      </c>
      <c r="R149" s="59">
        <v>1</v>
      </c>
      <c r="S149" s="76">
        <v>1</v>
      </c>
      <c r="T149" s="6">
        <v>12</v>
      </c>
      <c r="U149" s="6">
        <v>11</v>
      </c>
      <c r="V149" s="76">
        <f t="shared" si="2"/>
        <v>0.91666666666666663</v>
      </c>
    </row>
    <row r="150" spans="1:22" x14ac:dyDescent="0.25">
      <c r="A150" s="6">
        <v>163</v>
      </c>
      <c r="B150" s="6">
        <v>16837</v>
      </c>
      <c r="C150" s="6" t="s">
        <v>119</v>
      </c>
      <c r="D150" s="6" t="s">
        <v>289</v>
      </c>
      <c r="E150" s="6" t="s">
        <v>323</v>
      </c>
      <c r="F150" s="6" t="s">
        <v>322</v>
      </c>
      <c r="G150" s="6">
        <v>7</v>
      </c>
      <c r="H150" s="6">
        <v>7</v>
      </c>
      <c r="I150" s="76">
        <v>1</v>
      </c>
      <c r="J150" s="76">
        <v>1</v>
      </c>
      <c r="K150" s="76">
        <v>1</v>
      </c>
      <c r="L150" s="76">
        <v>1</v>
      </c>
      <c r="M150" s="76">
        <v>0.7142857142857143</v>
      </c>
      <c r="N150" s="76">
        <v>0.41935483870967744</v>
      </c>
      <c r="O150" s="76">
        <v>1</v>
      </c>
      <c r="P150" s="76">
        <v>1</v>
      </c>
      <c r="Q150" s="76">
        <v>1</v>
      </c>
      <c r="R150" s="59">
        <v>1</v>
      </c>
      <c r="S150" s="76">
        <v>1</v>
      </c>
      <c r="T150" s="6">
        <v>31</v>
      </c>
      <c r="U150" s="6">
        <v>13</v>
      </c>
      <c r="V150" s="76">
        <f t="shared" si="2"/>
        <v>0.41935483870967744</v>
      </c>
    </row>
    <row r="151" spans="1:22" x14ac:dyDescent="0.25">
      <c r="A151" s="6">
        <v>164</v>
      </c>
      <c r="B151" s="6">
        <v>17092</v>
      </c>
      <c r="C151" s="6" t="s">
        <v>44</v>
      </c>
      <c r="D151" s="6" t="s">
        <v>289</v>
      </c>
      <c r="E151" s="6" t="s">
        <v>274</v>
      </c>
      <c r="F151" s="6" t="s">
        <v>223</v>
      </c>
      <c r="G151" s="6">
        <v>14</v>
      </c>
      <c r="H151" s="6">
        <v>14</v>
      </c>
      <c r="I151" s="76">
        <v>1</v>
      </c>
      <c r="J151" s="76">
        <v>1</v>
      </c>
      <c r="K151" s="76">
        <v>0.9285714285714286</v>
      </c>
      <c r="L151" s="76">
        <v>0.9285714285714286</v>
      </c>
      <c r="M151" s="76">
        <v>0.14285714285714285</v>
      </c>
      <c r="N151" s="76">
        <v>1</v>
      </c>
      <c r="O151" s="76">
        <v>1</v>
      </c>
      <c r="P151" s="76">
        <v>1</v>
      </c>
      <c r="Q151" s="76">
        <v>1</v>
      </c>
      <c r="R151" s="59">
        <v>1</v>
      </c>
      <c r="S151" s="76">
        <v>1</v>
      </c>
      <c r="T151" s="6">
        <v>15</v>
      </c>
      <c r="U151" s="6">
        <v>15</v>
      </c>
      <c r="V151" s="76">
        <f t="shared" si="2"/>
        <v>1</v>
      </c>
    </row>
    <row r="152" spans="1:22" x14ac:dyDescent="0.25">
      <c r="A152" s="6">
        <v>165</v>
      </c>
      <c r="B152" s="6">
        <v>16906</v>
      </c>
      <c r="C152" s="6" t="s">
        <v>153</v>
      </c>
      <c r="D152" s="6" t="s">
        <v>289</v>
      </c>
      <c r="E152" s="6" t="s">
        <v>298</v>
      </c>
      <c r="F152" s="6" t="s">
        <v>320</v>
      </c>
      <c r="G152" s="6">
        <v>12</v>
      </c>
      <c r="H152" s="6">
        <v>12</v>
      </c>
      <c r="I152" s="76">
        <v>1</v>
      </c>
      <c r="J152" s="76">
        <v>1</v>
      </c>
      <c r="K152" s="76">
        <v>1</v>
      </c>
      <c r="L152" s="76">
        <v>1</v>
      </c>
      <c r="M152" s="76">
        <v>0.33333333333333331</v>
      </c>
      <c r="N152" s="76">
        <v>1</v>
      </c>
      <c r="O152" s="76">
        <v>1</v>
      </c>
      <c r="P152" s="76">
        <v>1</v>
      </c>
      <c r="Q152" s="76">
        <v>1</v>
      </c>
      <c r="R152" s="59">
        <v>1</v>
      </c>
      <c r="S152" s="76">
        <v>1</v>
      </c>
      <c r="T152" s="6">
        <v>4</v>
      </c>
      <c r="U152" s="6">
        <v>4</v>
      </c>
      <c r="V152" s="76">
        <f t="shared" si="2"/>
        <v>1</v>
      </c>
    </row>
    <row r="153" spans="1:22" x14ac:dyDescent="0.25">
      <c r="A153" s="6">
        <v>166</v>
      </c>
      <c r="B153" s="6">
        <v>16827</v>
      </c>
      <c r="C153" s="6" t="s">
        <v>181</v>
      </c>
      <c r="D153" s="6" t="s">
        <v>289</v>
      </c>
      <c r="E153" s="6" t="s">
        <v>299</v>
      </c>
      <c r="F153" s="6" t="s">
        <v>320</v>
      </c>
      <c r="G153" s="6">
        <v>17</v>
      </c>
      <c r="H153" s="6">
        <v>16</v>
      </c>
      <c r="I153" s="76">
        <v>0.94117647058823528</v>
      </c>
      <c r="J153" s="76">
        <v>0.94117647058823528</v>
      </c>
      <c r="K153" s="76">
        <v>0.82352941176470584</v>
      </c>
      <c r="L153" s="76">
        <v>0.94117647058823528</v>
      </c>
      <c r="M153" s="76">
        <v>0</v>
      </c>
      <c r="N153" s="76">
        <v>1</v>
      </c>
      <c r="O153" s="76">
        <v>0.94117647058823528</v>
      </c>
      <c r="P153" s="76">
        <v>0.94117647058823528</v>
      </c>
      <c r="Q153" s="76">
        <v>0.94117647058823528</v>
      </c>
      <c r="R153" s="59">
        <v>0.94117647058823528</v>
      </c>
      <c r="S153" s="76">
        <v>0.94117647058823528</v>
      </c>
      <c r="T153" s="6">
        <v>17</v>
      </c>
      <c r="U153" s="6">
        <v>17</v>
      </c>
      <c r="V153" s="76">
        <f t="shared" si="2"/>
        <v>1</v>
      </c>
    </row>
    <row r="154" spans="1:22" x14ac:dyDescent="0.25">
      <c r="A154" s="6">
        <v>167</v>
      </c>
      <c r="B154" s="6">
        <v>16801</v>
      </c>
      <c r="C154" s="6" t="s">
        <v>104</v>
      </c>
      <c r="D154" s="6" t="s">
        <v>289</v>
      </c>
      <c r="E154" s="6" t="s">
        <v>297</v>
      </c>
      <c r="F154" s="6" t="s">
        <v>322</v>
      </c>
      <c r="G154" s="6">
        <v>16</v>
      </c>
      <c r="H154" s="6">
        <v>14</v>
      </c>
      <c r="I154" s="76">
        <v>0.875</v>
      </c>
      <c r="J154" s="76">
        <v>0.8125</v>
      </c>
      <c r="K154" s="76">
        <v>0.8125</v>
      </c>
      <c r="L154" s="76">
        <v>0.4375</v>
      </c>
      <c r="M154" s="76">
        <v>0.6875</v>
      </c>
      <c r="N154" s="76">
        <v>0.65217391304347827</v>
      </c>
      <c r="O154" s="76">
        <v>0.875</v>
      </c>
      <c r="P154" s="76">
        <v>0.875</v>
      </c>
      <c r="Q154" s="76">
        <v>0.875</v>
      </c>
      <c r="R154" s="59">
        <v>0.875</v>
      </c>
      <c r="S154" s="76">
        <v>0.875</v>
      </c>
      <c r="T154" s="6">
        <v>23</v>
      </c>
      <c r="U154" s="6">
        <v>15</v>
      </c>
      <c r="V154" s="76">
        <f t="shared" si="2"/>
        <v>0.65217391304347827</v>
      </c>
    </row>
    <row r="155" spans="1:22" x14ac:dyDescent="0.25">
      <c r="A155" s="6">
        <v>168</v>
      </c>
      <c r="B155" s="6">
        <v>17083</v>
      </c>
      <c r="C155" s="6" t="s">
        <v>19</v>
      </c>
      <c r="D155" s="6" t="s">
        <v>289</v>
      </c>
      <c r="E155" s="6" t="s">
        <v>273</v>
      </c>
      <c r="F155" s="6" t="s">
        <v>223</v>
      </c>
      <c r="G155" s="6">
        <v>1</v>
      </c>
      <c r="H155" s="6">
        <v>1</v>
      </c>
      <c r="I155" s="76">
        <v>1</v>
      </c>
      <c r="J155" s="76">
        <v>0</v>
      </c>
      <c r="K155" s="76">
        <v>1</v>
      </c>
      <c r="L155" s="76">
        <v>0</v>
      </c>
      <c r="M155" s="76">
        <v>0</v>
      </c>
      <c r="N155" s="76">
        <v>1</v>
      </c>
      <c r="O155" s="76">
        <v>0</v>
      </c>
      <c r="P155" s="76">
        <v>1</v>
      </c>
      <c r="Q155" s="76">
        <v>0</v>
      </c>
      <c r="R155" s="59">
        <v>1</v>
      </c>
      <c r="S155" s="76">
        <v>0</v>
      </c>
      <c r="T155" s="6">
        <v>0</v>
      </c>
      <c r="U155" s="6">
        <v>0</v>
      </c>
      <c r="V155" s="76">
        <v>1</v>
      </c>
    </row>
    <row r="156" spans="1:22" x14ac:dyDescent="0.25">
      <c r="A156" s="6">
        <v>169</v>
      </c>
      <c r="B156" s="6">
        <v>17113</v>
      </c>
      <c r="C156" s="6" t="s">
        <v>189</v>
      </c>
      <c r="D156" s="6" t="s">
        <v>289</v>
      </c>
      <c r="E156" s="6" t="s">
        <v>273</v>
      </c>
      <c r="F156" s="6" t="s">
        <v>223</v>
      </c>
      <c r="G156" s="6">
        <v>12</v>
      </c>
      <c r="H156" s="6">
        <v>12</v>
      </c>
      <c r="I156" s="76">
        <v>1</v>
      </c>
      <c r="J156" s="76">
        <v>1</v>
      </c>
      <c r="K156" s="76">
        <v>8.3333333333333329E-2</v>
      </c>
      <c r="L156" s="76">
        <v>1</v>
      </c>
      <c r="M156" s="76">
        <v>0</v>
      </c>
      <c r="N156" s="76">
        <v>1</v>
      </c>
      <c r="O156" s="76">
        <v>1</v>
      </c>
      <c r="P156" s="76">
        <v>1</v>
      </c>
      <c r="Q156" s="76">
        <v>1</v>
      </c>
      <c r="R156" s="59">
        <v>1</v>
      </c>
      <c r="S156" s="76">
        <v>1</v>
      </c>
      <c r="T156" s="6">
        <v>21</v>
      </c>
      <c r="U156" s="6">
        <v>21</v>
      </c>
      <c r="V156" s="76">
        <f t="shared" si="2"/>
        <v>1</v>
      </c>
    </row>
    <row r="157" spans="1:22" x14ac:dyDescent="0.25">
      <c r="A157" s="6">
        <v>170</v>
      </c>
      <c r="B157" s="6">
        <v>16898</v>
      </c>
      <c r="C157" s="6" t="s">
        <v>145</v>
      </c>
      <c r="D157" s="6" t="s">
        <v>289</v>
      </c>
      <c r="E157" s="6" t="s">
        <v>298</v>
      </c>
      <c r="F157" s="6" t="s">
        <v>320</v>
      </c>
      <c r="G157" s="6">
        <v>10</v>
      </c>
      <c r="H157" s="6">
        <v>10</v>
      </c>
      <c r="I157" s="76">
        <v>1</v>
      </c>
      <c r="J157" s="76">
        <v>1</v>
      </c>
      <c r="K157" s="76">
        <v>1</v>
      </c>
      <c r="L157" s="76">
        <v>1</v>
      </c>
      <c r="M157" s="76">
        <v>0.4</v>
      </c>
      <c r="N157" s="76">
        <v>1</v>
      </c>
      <c r="O157" s="76">
        <v>1</v>
      </c>
      <c r="P157" s="76">
        <v>1</v>
      </c>
      <c r="Q157" s="76">
        <v>1</v>
      </c>
      <c r="R157" s="59">
        <v>1</v>
      </c>
      <c r="S157" s="76">
        <v>1</v>
      </c>
      <c r="T157" s="6">
        <v>24</v>
      </c>
      <c r="U157" s="6">
        <v>24</v>
      </c>
      <c r="V157" s="76">
        <f t="shared" si="2"/>
        <v>1</v>
      </c>
    </row>
    <row r="158" spans="1:22" x14ac:dyDescent="0.25">
      <c r="A158" s="6">
        <v>171</v>
      </c>
      <c r="B158" s="6">
        <v>16822</v>
      </c>
      <c r="C158" s="6" t="s">
        <v>178</v>
      </c>
      <c r="D158" s="6" t="s">
        <v>289</v>
      </c>
      <c r="E158" s="6" t="s">
        <v>299</v>
      </c>
      <c r="F158" s="6" t="s">
        <v>320</v>
      </c>
      <c r="G158" s="6">
        <v>7</v>
      </c>
      <c r="H158" s="6">
        <v>7</v>
      </c>
      <c r="I158" s="76">
        <v>1</v>
      </c>
      <c r="J158" s="76">
        <v>1</v>
      </c>
      <c r="K158" s="76">
        <v>0.8571428571428571</v>
      </c>
      <c r="L158" s="76">
        <v>0.8571428571428571</v>
      </c>
      <c r="M158" s="76">
        <v>0</v>
      </c>
      <c r="N158" s="76">
        <v>1</v>
      </c>
      <c r="O158" s="76">
        <v>1</v>
      </c>
      <c r="P158" s="76">
        <v>1</v>
      </c>
      <c r="Q158" s="76">
        <v>1</v>
      </c>
      <c r="R158" s="59">
        <v>1</v>
      </c>
      <c r="S158" s="76">
        <v>1</v>
      </c>
      <c r="T158" s="6">
        <v>17</v>
      </c>
      <c r="U158" s="6">
        <v>17</v>
      </c>
      <c r="V158" s="76">
        <f t="shared" si="2"/>
        <v>1</v>
      </c>
    </row>
    <row r="159" spans="1:22" x14ac:dyDescent="0.25">
      <c r="A159" s="6">
        <v>172</v>
      </c>
      <c r="B159" s="6">
        <v>17162</v>
      </c>
      <c r="C159" s="6" t="s">
        <v>89</v>
      </c>
      <c r="D159" s="6" t="s">
        <v>289</v>
      </c>
      <c r="E159" s="6" t="s">
        <v>296</v>
      </c>
      <c r="F159" s="6" t="s">
        <v>223</v>
      </c>
      <c r="G159" s="6">
        <v>15</v>
      </c>
      <c r="H159" s="6">
        <v>15</v>
      </c>
      <c r="I159" s="76">
        <v>1</v>
      </c>
      <c r="J159" s="76">
        <v>1</v>
      </c>
      <c r="K159" s="76">
        <v>1</v>
      </c>
      <c r="L159" s="76">
        <v>1</v>
      </c>
      <c r="M159" s="76">
        <v>0.33333333333333331</v>
      </c>
      <c r="N159" s="76">
        <v>1</v>
      </c>
      <c r="O159" s="76">
        <v>1</v>
      </c>
      <c r="P159" s="76">
        <v>1</v>
      </c>
      <c r="Q159" s="76">
        <v>1</v>
      </c>
      <c r="R159" s="59">
        <v>1</v>
      </c>
      <c r="S159" s="76">
        <v>1</v>
      </c>
      <c r="T159" s="6">
        <v>25</v>
      </c>
      <c r="U159" s="6">
        <v>25</v>
      </c>
      <c r="V159" s="76">
        <f t="shared" si="2"/>
        <v>1</v>
      </c>
    </row>
    <row r="160" spans="1:22" x14ac:dyDescent="0.25">
      <c r="A160" s="6">
        <v>174</v>
      </c>
      <c r="B160" s="6">
        <v>17121</v>
      </c>
      <c r="C160" s="6" t="s">
        <v>197</v>
      </c>
      <c r="D160" s="6" t="s">
        <v>289</v>
      </c>
      <c r="E160" s="6" t="s">
        <v>273</v>
      </c>
      <c r="F160" s="6" t="s">
        <v>223</v>
      </c>
      <c r="G160" s="6">
        <v>9</v>
      </c>
      <c r="H160" s="6">
        <v>9</v>
      </c>
      <c r="I160" s="76">
        <v>1</v>
      </c>
      <c r="J160" s="76">
        <v>1</v>
      </c>
      <c r="K160" s="76">
        <v>1</v>
      </c>
      <c r="L160" s="76">
        <v>1</v>
      </c>
      <c r="M160" s="76">
        <v>0.44444444444444442</v>
      </c>
      <c r="N160" s="76">
        <v>1</v>
      </c>
      <c r="O160" s="76">
        <v>1</v>
      </c>
      <c r="P160" s="76">
        <v>1</v>
      </c>
      <c r="Q160" s="76">
        <v>1</v>
      </c>
      <c r="R160" s="59">
        <v>1</v>
      </c>
      <c r="S160" s="76">
        <v>1</v>
      </c>
      <c r="T160" s="6">
        <v>16</v>
      </c>
      <c r="U160" s="6">
        <v>16</v>
      </c>
      <c r="V160" s="76">
        <f t="shared" si="2"/>
        <v>1</v>
      </c>
    </row>
    <row r="161" spans="1:22" x14ac:dyDescent="0.25">
      <c r="A161" s="6">
        <v>175</v>
      </c>
      <c r="B161" s="6">
        <v>16792</v>
      </c>
      <c r="C161" s="6" t="s">
        <v>165</v>
      </c>
      <c r="D161" s="6" t="s">
        <v>289</v>
      </c>
      <c r="E161" s="6" t="s">
        <v>321</v>
      </c>
      <c r="F161" s="6" t="s">
        <v>322</v>
      </c>
      <c r="G161" s="6">
        <v>12</v>
      </c>
      <c r="H161" s="6">
        <v>12</v>
      </c>
      <c r="I161" s="76">
        <v>1</v>
      </c>
      <c r="J161" s="76">
        <v>1</v>
      </c>
      <c r="K161" s="76">
        <v>0.16666666666666666</v>
      </c>
      <c r="L161" s="76">
        <v>8.3333333333333329E-2</v>
      </c>
      <c r="M161" s="76">
        <v>0.16666666666666666</v>
      </c>
      <c r="N161" s="76">
        <v>9.375E-2</v>
      </c>
      <c r="O161" s="76">
        <v>1</v>
      </c>
      <c r="P161" s="76">
        <v>1</v>
      </c>
      <c r="Q161" s="76">
        <v>1</v>
      </c>
      <c r="R161" s="59">
        <v>1</v>
      </c>
      <c r="S161" s="76">
        <v>1</v>
      </c>
      <c r="T161" s="6">
        <v>32</v>
      </c>
      <c r="U161" s="6">
        <v>3</v>
      </c>
      <c r="V161" s="76">
        <f t="shared" si="2"/>
        <v>9.375E-2</v>
      </c>
    </row>
    <row r="162" spans="1:22" x14ac:dyDescent="0.25">
      <c r="A162" s="6">
        <v>176</v>
      </c>
      <c r="B162" s="6">
        <v>16781</v>
      </c>
      <c r="C162" s="6" t="s">
        <v>116</v>
      </c>
      <c r="D162" s="6" t="s">
        <v>289</v>
      </c>
      <c r="E162" s="6" t="s">
        <v>323</v>
      </c>
      <c r="F162" s="6" t="s">
        <v>322</v>
      </c>
      <c r="G162" s="6">
        <v>12</v>
      </c>
      <c r="H162" s="6">
        <v>12</v>
      </c>
      <c r="I162" s="76">
        <v>1</v>
      </c>
      <c r="J162" s="76">
        <v>1</v>
      </c>
      <c r="K162" s="76">
        <v>0.83333333333333337</v>
      </c>
      <c r="L162" s="76">
        <v>0.83333333333333337</v>
      </c>
      <c r="M162" s="76">
        <v>0.41666666666666669</v>
      </c>
      <c r="N162" s="76">
        <v>0.5161290322580645</v>
      </c>
      <c r="O162" s="76">
        <v>1</v>
      </c>
      <c r="P162" s="76">
        <v>1</v>
      </c>
      <c r="Q162" s="76">
        <v>1</v>
      </c>
      <c r="R162" s="59">
        <v>1</v>
      </c>
      <c r="S162" s="76">
        <v>1</v>
      </c>
      <c r="T162" s="6">
        <v>31</v>
      </c>
      <c r="U162" s="6">
        <v>16</v>
      </c>
      <c r="V162" s="76">
        <f t="shared" si="2"/>
        <v>0.5161290322580645</v>
      </c>
    </row>
    <row r="163" spans="1:22" x14ac:dyDescent="0.25">
      <c r="A163" s="6">
        <v>177</v>
      </c>
      <c r="B163" s="6">
        <v>16905</v>
      </c>
      <c r="C163" s="6" t="s">
        <v>152</v>
      </c>
      <c r="D163" s="6" t="s">
        <v>289</v>
      </c>
      <c r="E163" s="6" t="s">
        <v>298</v>
      </c>
      <c r="F163" s="6" t="s">
        <v>320</v>
      </c>
      <c r="G163" s="6">
        <v>14</v>
      </c>
      <c r="H163" s="6">
        <v>14</v>
      </c>
      <c r="I163" s="76">
        <v>1</v>
      </c>
      <c r="J163" s="76">
        <v>1</v>
      </c>
      <c r="K163" s="76">
        <v>1</v>
      </c>
      <c r="L163" s="76">
        <v>1</v>
      </c>
      <c r="M163" s="76">
        <v>0.14285714285714285</v>
      </c>
      <c r="N163" s="76">
        <v>1</v>
      </c>
      <c r="O163" s="76">
        <v>1</v>
      </c>
      <c r="P163" s="76">
        <v>1</v>
      </c>
      <c r="Q163" s="76">
        <v>1</v>
      </c>
      <c r="R163" s="59">
        <v>1</v>
      </c>
      <c r="S163" s="76">
        <v>1</v>
      </c>
      <c r="T163" s="6">
        <v>9</v>
      </c>
      <c r="U163" s="6">
        <v>9</v>
      </c>
      <c r="V163" s="76">
        <f t="shared" si="2"/>
        <v>1</v>
      </c>
    </row>
    <row r="164" spans="1:22" x14ac:dyDescent="0.25">
      <c r="A164" s="6">
        <v>178</v>
      </c>
      <c r="B164" s="6">
        <v>17171</v>
      </c>
      <c r="C164" s="6" t="s">
        <v>98</v>
      </c>
      <c r="D164" s="6" t="s">
        <v>289</v>
      </c>
      <c r="E164" s="6" t="s">
        <v>296</v>
      </c>
      <c r="F164" s="6" t="s">
        <v>223</v>
      </c>
      <c r="G164" s="6">
        <v>10</v>
      </c>
      <c r="H164" s="6">
        <v>10</v>
      </c>
      <c r="I164" s="76">
        <v>1</v>
      </c>
      <c r="J164" s="76">
        <v>1</v>
      </c>
      <c r="K164" s="76">
        <v>1</v>
      </c>
      <c r="L164" s="76">
        <v>0.3</v>
      </c>
      <c r="M164" s="76">
        <v>0.2</v>
      </c>
      <c r="N164" s="76">
        <v>0.83333333333333337</v>
      </c>
      <c r="O164" s="76">
        <v>1</v>
      </c>
      <c r="P164" s="76">
        <v>1</v>
      </c>
      <c r="Q164" s="76">
        <v>1</v>
      </c>
      <c r="R164" s="59">
        <v>1</v>
      </c>
      <c r="S164" s="76">
        <v>1</v>
      </c>
      <c r="T164" s="6">
        <v>6</v>
      </c>
      <c r="U164" s="6">
        <v>5</v>
      </c>
      <c r="V164" s="76">
        <f t="shared" si="2"/>
        <v>0.83333333333333337</v>
      </c>
    </row>
    <row r="165" spans="1:22" x14ac:dyDescent="0.25">
      <c r="A165" s="6">
        <v>179</v>
      </c>
      <c r="B165" s="6">
        <v>17077</v>
      </c>
      <c r="C165" s="6" t="s">
        <v>13</v>
      </c>
      <c r="D165" s="6" t="s">
        <v>289</v>
      </c>
      <c r="E165" s="6" t="s">
        <v>291</v>
      </c>
      <c r="F165" s="6" t="s">
        <v>223</v>
      </c>
      <c r="G165" s="6">
        <v>21</v>
      </c>
      <c r="H165" s="6">
        <v>21</v>
      </c>
      <c r="I165" s="76">
        <v>1</v>
      </c>
      <c r="J165" s="76">
        <v>1</v>
      </c>
      <c r="K165" s="76">
        <v>0.90476190476190477</v>
      </c>
      <c r="L165" s="76">
        <v>1</v>
      </c>
      <c r="M165" s="76">
        <v>1</v>
      </c>
      <c r="N165" s="76">
        <v>1</v>
      </c>
      <c r="O165" s="76">
        <v>1</v>
      </c>
      <c r="P165" s="76">
        <v>1</v>
      </c>
      <c r="Q165" s="76">
        <v>1</v>
      </c>
      <c r="R165" s="59">
        <v>1</v>
      </c>
      <c r="S165" s="76">
        <v>1</v>
      </c>
      <c r="T165" s="6">
        <v>8</v>
      </c>
      <c r="U165" s="6">
        <v>8</v>
      </c>
      <c r="V165" s="76">
        <f t="shared" si="2"/>
        <v>1</v>
      </c>
    </row>
    <row r="166" spans="1:22" x14ac:dyDescent="0.25">
      <c r="A166" s="6">
        <v>180</v>
      </c>
      <c r="B166" s="6">
        <v>17133</v>
      </c>
      <c r="C166" s="6" t="s">
        <v>134</v>
      </c>
      <c r="D166" s="6" t="s">
        <v>289</v>
      </c>
      <c r="E166" s="6" t="s">
        <v>293</v>
      </c>
      <c r="F166" s="6" t="s">
        <v>223</v>
      </c>
      <c r="G166" s="6">
        <v>6</v>
      </c>
      <c r="H166" s="6">
        <v>6</v>
      </c>
      <c r="I166" s="76">
        <v>1</v>
      </c>
      <c r="J166" s="76">
        <v>1</v>
      </c>
      <c r="K166" s="76">
        <v>1</v>
      </c>
      <c r="L166" s="76">
        <v>1</v>
      </c>
      <c r="M166" s="76">
        <v>0</v>
      </c>
      <c r="N166" s="76">
        <v>0.875</v>
      </c>
      <c r="O166" s="76">
        <v>1</v>
      </c>
      <c r="P166" s="76">
        <v>1</v>
      </c>
      <c r="Q166" s="76">
        <v>1</v>
      </c>
      <c r="R166" s="59">
        <v>1</v>
      </c>
      <c r="S166" s="76">
        <v>1</v>
      </c>
      <c r="T166" s="6">
        <v>8</v>
      </c>
      <c r="U166" s="6">
        <v>7</v>
      </c>
      <c r="V166" s="76">
        <f t="shared" si="2"/>
        <v>0.875</v>
      </c>
    </row>
    <row r="167" spans="1:22" x14ac:dyDescent="0.25">
      <c r="A167" s="6">
        <v>181</v>
      </c>
      <c r="B167" s="6">
        <v>17120</v>
      </c>
      <c r="C167" s="6" t="s">
        <v>196</v>
      </c>
      <c r="D167" s="6" t="s">
        <v>289</v>
      </c>
      <c r="E167" s="6" t="s">
        <v>273</v>
      </c>
      <c r="F167" s="6" t="s">
        <v>223</v>
      </c>
      <c r="G167" s="6">
        <v>9</v>
      </c>
      <c r="H167" s="6">
        <v>9</v>
      </c>
      <c r="I167" s="76">
        <v>1</v>
      </c>
      <c r="J167" s="76">
        <v>1</v>
      </c>
      <c r="K167" s="76">
        <v>0.88888888888888884</v>
      </c>
      <c r="L167" s="76">
        <v>0.88888888888888884</v>
      </c>
      <c r="M167" s="76">
        <v>0</v>
      </c>
      <c r="N167" s="76">
        <v>1</v>
      </c>
      <c r="O167" s="76">
        <v>1</v>
      </c>
      <c r="P167" s="76">
        <v>1</v>
      </c>
      <c r="Q167" s="76">
        <v>1</v>
      </c>
      <c r="R167" s="59">
        <v>1</v>
      </c>
      <c r="S167" s="76">
        <v>1</v>
      </c>
      <c r="T167" s="6">
        <v>16</v>
      </c>
      <c r="U167" s="6">
        <v>16</v>
      </c>
      <c r="V167" s="76">
        <f t="shared" si="2"/>
        <v>1</v>
      </c>
    </row>
    <row r="168" spans="1:22" x14ac:dyDescent="0.25">
      <c r="A168" s="6">
        <v>182</v>
      </c>
      <c r="B168" s="6">
        <v>16838</v>
      </c>
      <c r="C168" s="6" t="s">
        <v>120</v>
      </c>
      <c r="D168" s="6" t="s">
        <v>289</v>
      </c>
      <c r="E168" s="6" t="s">
        <v>323</v>
      </c>
      <c r="F168" s="6" t="s">
        <v>322</v>
      </c>
      <c r="G168" s="6">
        <v>18</v>
      </c>
      <c r="H168" s="6">
        <v>13</v>
      </c>
      <c r="I168" s="76">
        <v>0.72222222222222221</v>
      </c>
      <c r="J168" s="76">
        <v>0.72222222222222221</v>
      </c>
      <c r="K168" s="76">
        <v>0.72222222222222221</v>
      </c>
      <c r="L168" s="76">
        <v>0.61111111111111116</v>
      </c>
      <c r="M168" s="76">
        <v>0.22222222222222221</v>
      </c>
      <c r="N168" s="76">
        <v>0.35714285714285715</v>
      </c>
      <c r="O168" s="76">
        <v>0.72222222222222221</v>
      </c>
      <c r="P168" s="76">
        <v>0.72222222222222221</v>
      </c>
      <c r="Q168" s="76">
        <v>0.72222222222222221</v>
      </c>
      <c r="R168" s="59">
        <v>0.72222222222222221</v>
      </c>
      <c r="S168" s="76">
        <v>0.72222222222222221</v>
      </c>
      <c r="T168" s="6">
        <v>14</v>
      </c>
      <c r="U168" s="6">
        <v>5</v>
      </c>
      <c r="V168" s="76">
        <f t="shared" si="2"/>
        <v>0.35714285714285715</v>
      </c>
    </row>
    <row r="169" spans="1:22" x14ac:dyDescent="0.25">
      <c r="A169" s="6">
        <v>183</v>
      </c>
      <c r="B169" s="6">
        <v>17159</v>
      </c>
      <c r="C169" s="6" t="s">
        <v>86</v>
      </c>
      <c r="D169" s="6" t="s">
        <v>289</v>
      </c>
      <c r="E169" s="6" t="s">
        <v>296</v>
      </c>
      <c r="F169" s="6" t="s">
        <v>223</v>
      </c>
      <c r="G169" s="6">
        <v>10</v>
      </c>
      <c r="H169" s="6">
        <v>10</v>
      </c>
      <c r="I169" s="76">
        <v>1</v>
      </c>
      <c r="J169" s="76">
        <v>1</v>
      </c>
      <c r="K169" s="76">
        <v>0</v>
      </c>
      <c r="L169" s="76">
        <v>0.2</v>
      </c>
      <c r="M169" s="76">
        <v>0.1</v>
      </c>
      <c r="N169" s="76">
        <v>1</v>
      </c>
      <c r="O169" s="76">
        <v>1</v>
      </c>
      <c r="P169" s="76">
        <v>1</v>
      </c>
      <c r="Q169" s="76">
        <v>1</v>
      </c>
      <c r="R169" s="59">
        <v>1</v>
      </c>
      <c r="S169" s="76">
        <v>1</v>
      </c>
      <c r="T169" s="6">
        <v>15</v>
      </c>
      <c r="U169" s="6">
        <v>15</v>
      </c>
      <c r="V169" s="76">
        <f t="shared" si="2"/>
        <v>1</v>
      </c>
    </row>
    <row r="170" spans="1:22" x14ac:dyDescent="0.25">
      <c r="A170" s="6">
        <v>184</v>
      </c>
      <c r="B170" s="6">
        <v>17157</v>
      </c>
      <c r="C170" s="6" t="s">
        <v>84</v>
      </c>
      <c r="D170" s="6" t="s">
        <v>289</v>
      </c>
      <c r="E170" s="6" t="s">
        <v>296</v>
      </c>
      <c r="F170" s="6" t="s">
        <v>223</v>
      </c>
      <c r="G170" s="6">
        <v>18</v>
      </c>
      <c r="H170" s="6">
        <v>18</v>
      </c>
      <c r="I170" s="76">
        <v>1</v>
      </c>
      <c r="J170" s="76">
        <v>0.94444444444444442</v>
      </c>
      <c r="K170" s="76">
        <v>0</v>
      </c>
      <c r="L170" s="76">
        <v>0</v>
      </c>
      <c r="M170" s="76">
        <v>0</v>
      </c>
      <c r="N170" s="76">
        <v>1</v>
      </c>
      <c r="O170" s="76">
        <v>0.94444444444444442</v>
      </c>
      <c r="P170" s="76">
        <v>0.94444444444444442</v>
      </c>
      <c r="Q170" s="76">
        <v>0.94444444444444442</v>
      </c>
      <c r="R170" s="59">
        <v>0.94444444444444442</v>
      </c>
      <c r="S170" s="76">
        <v>0.94444444444444442</v>
      </c>
      <c r="T170" s="6">
        <v>29</v>
      </c>
      <c r="U170" s="6">
        <v>29</v>
      </c>
      <c r="V170" s="76">
        <f t="shared" si="2"/>
        <v>1</v>
      </c>
    </row>
    <row r="171" spans="1:22" x14ac:dyDescent="0.25">
      <c r="A171" s="6">
        <v>185</v>
      </c>
      <c r="B171" s="6">
        <v>16791</v>
      </c>
      <c r="C171" s="6" t="s">
        <v>164</v>
      </c>
      <c r="D171" s="6" t="s">
        <v>289</v>
      </c>
      <c r="E171" s="6" t="s">
        <v>321</v>
      </c>
      <c r="F171" s="6" t="s">
        <v>322</v>
      </c>
      <c r="G171" s="6">
        <v>11</v>
      </c>
      <c r="H171" s="6">
        <v>9</v>
      </c>
      <c r="I171" s="76">
        <v>0.81818181818181823</v>
      </c>
      <c r="J171" s="76">
        <v>0.81818181818181823</v>
      </c>
      <c r="K171" s="76">
        <v>0</v>
      </c>
      <c r="L171" s="76">
        <v>0</v>
      </c>
      <c r="M171" s="76">
        <v>0</v>
      </c>
      <c r="N171" s="76">
        <v>0.26315789473684209</v>
      </c>
      <c r="O171" s="76">
        <v>0.81818181818181823</v>
      </c>
      <c r="P171" s="76">
        <v>0.81818181818181823</v>
      </c>
      <c r="Q171" s="76">
        <v>0.81818181818181823</v>
      </c>
      <c r="R171" s="59">
        <v>0.81818181818181823</v>
      </c>
      <c r="S171" s="76">
        <v>0.81818181818181823</v>
      </c>
      <c r="T171" s="6">
        <v>38</v>
      </c>
      <c r="U171" s="6">
        <v>10</v>
      </c>
      <c r="V171" s="76">
        <f t="shared" si="2"/>
        <v>0.26315789473684209</v>
      </c>
    </row>
    <row r="172" spans="1:22" x14ac:dyDescent="0.25">
      <c r="A172" s="6">
        <v>186</v>
      </c>
      <c r="B172" s="6">
        <v>17087</v>
      </c>
      <c r="C172" s="6" t="s">
        <v>23</v>
      </c>
      <c r="D172" s="6" t="s">
        <v>289</v>
      </c>
      <c r="E172" s="6" t="s">
        <v>291</v>
      </c>
      <c r="F172" s="6" t="s">
        <v>223</v>
      </c>
      <c r="G172" s="6">
        <v>6</v>
      </c>
      <c r="H172" s="6">
        <v>6</v>
      </c>
      <c r="I172" s="76">
        <v>1</v>
      </c>
      <c r="J172" s="76">
        <v>1</v>
      </c>
      <c r="K172" s="76">
        <v>0.16666666666666666</v>
      </c>
      <c r="L172" s="76">
        <v>1</v>
      </c>
      <c r="M172" s="76">
        <v>0.16666666666666666</v>
      </c>
      <c r="N172" s="76">
        <v>1</v>
      </c>
      <c r="O172" s="76">
        <v>1</v>
      </c>
      <c r="P172" s="76">
        <v>1</v>
      </c>
      <c r="Q172" s="76">
        <v>1</v>
      </c>
      <c r="R172" s="59">
        <v>1</v>
      </c>
      <c r="S172" s="76">
        <v>1</v>
      </c>
      <c r="T172" s="6">
        <v>10</v>
      </c>
      <c r="U172" s="6">
        <v>10</v>
      </c>
      <c r="V172" s="76">
        <f t="shared" si="2"/>
        <v>1</v>
      </c>
    </row>
    <row r="173" spans="1:22" x14ac:dyDescent="0.25">
      <c r="A173" s="6">
        <v>189</v>
      </c>
      <c r="B173" s="6">
        <v>16778</v>
      </c>
      <c r="C173" s="6" t="s">
        <v>168</v>
      </c>
      <c r="D173" s="6" t="s">
        <v>289</v>
      </c>
      <c r="E173" s="6" t="s">
        <v>321</v>
      </c>
      <c r="F173" s="6" t="s">
        <v>322</v>
      </c>
      <c r="G173" s="6">
        <v>14</v>
      </c>
      <c r="H173" s="6">
        <v>13</v>
      </c>
      <c r="I173" s="76">
        <v>0.9285714285714286</v>
      </c>
      <c r="J173" s="76">
        <v>0.9285714285714286</v>
      </c>
      <c r="K173" s="76">
        <v>0.9285714285714286</v>
      </c>
      <c r="L173" s="76">
        <v>0.9285714285714286</v>
      </c>
      <c r="M173" s="76">
        <v>0.7142857142857143</v>
      </c>
      <c r="N173" s="76">
        <v>0.57777777777777772</v>
      </c>
      <c r="O173" s="76">
        <v>0.9285714285714286</v>
      </c>
      <c r="P173" s="76">
        <v>0.9285714285714286</v>
      </c>
      <c r="Q173" s="76">
        <v>0.9285714285714286</v>
      </c>
      <c r="R173" s="59">
        <v>0.9285714285714286</v>
      </c>
      <c r="S173" s="76">
        <v>0.9285714285714286</v>
      </c>
      <c r="T173" s="6">
        <v>45</v>
      </c>
      <c r="U173" s="6">
        <v>26</v>
      </c>
      <c r="V173" s="76">
        <f t="shared" si="2"/>
        <v>0.57777777777777772</v>
      </c>
    </row>
    <row r="174" spans="1:22" x14ac:dyDescent="0.25">
      <c r="A174" s="6">
        <v>190</v>
      </c>
      <c r="B174" s="6">
        <v>17167</v>
      </c>
      <c r="C174" s="6" t="s">
        <v>94</v>
      </c>
      <c r="D174" s="6" t="s">
        <v>289</v>
      </c>
      <c r="E174" s="6" t="s">
        <v>296</v>
      </c>
      <c r="F174" s="6" t="s">
        <v>223</v>
      </c>
      <c r="G174" s="6">
        <v>7</v>
      </c>
      <c r="H174" s="6">
        <v>7</v>
      </c>
      <c r="I174" s="76">
        <v>1</v>
      </c>
      <c r="J174" s="76">
        <v>1</v>
      </c>
      <c r="K174" s="76">
        <v>1</v>
      </c>
      <c r="L174" s="76">
        <v>1</v>
      </c>
      <c r="M174" s="76">
        <v>0.7142857142857143</v>
      </c>
      <c r="N174" s="76">
        <v>0.78260869565217395</v>
      </c>
      <c r="O174" s="76">
        <v>1</v>
      </c>
      <c r="P174" s="76">
        <v>1</v>
      </c>
      <c r="Q174" s="76">
        <v>1</v>
      </c>
      <c r="R174" s="59">
        <v>1</v>
      </c>
      <c r="S174" s="76">
        <v>1</v>
      </c>
      <c r="T174" s="6">
        <v>23</v>
      </c>
      <c r="U174" s="6">
        <v>18</v>
      </c>
      <c r="V174" s="76">
        <f t="shared" si="2"/>
        <v>0.78260869565217395</v>
      </c>
    </row>
    <row r="175" spans="1:22" x14ac:dyDescent="0.25">
      <c r="A175" s="6">
        <v>192</v>
      </c>
      <c r="B175" s="6">
        <v>17117</v>
      </c>
      <c r="C175" s="6" t="s">
        <v>193</v>
      </c>
      <c r="D175" s="6" t="s">
        <v>289</v>
      </c>
      <c r="E175" s="6" t="s">
        <v>273</v>
      </c>
      <c r="F175" s="6" t="s">
        <v>223</v>
      </c>
      <c r="G175" s="6">
        <v>10</v>
      </c>
      <c r="H175" s="6">
        <v>10</v>
      </c>
      <c r="I175" s="76">
        <v>1</v>
      </c>
      <c r="J175" s="76">
        <v>1</v>
      </c>
      <c r="K175" s="76">
        <v>0.8</v>
      </c>
      <c r="L175" s="76">
        <v>0.5</v>
      </c>
      <c r="M175" s="76">
        <v>0.8</v>
      </c>
      <c r="N175" s="76">
        <v>1</v>
      </c>
      <c r="O175" s="76">
        <v>1</v>
      </c>
      <c r="P175" s="76">
        <v>1</v>
      </c>
      <c r="Q175" s="76">
        <v>1</v>
      </c>
      <c r="R175" s="59">
        <v>1</v>
      </c>
      <c r="S175" s="76">
        <v>1</v>
      </c>
      <c r="T175" s="6">
        <v>10</v>
      </c>
      <c r="U175" s="6">
        <v>10</v>
      </c>
      <c r="V175" s="76">
        <f t="shared" si="2"/>
        <v>1</v>
      </c>
    </row>
    <row r="176" spans="1:22" x14ac:dyDescent="0.25">
      <c r="A176" s="6">
        <v>193</v>
      </c>
      <c r="B176" s="6">
        <v>16907</v>
      </c>
      <c r="C176" s="6" t="s">
        <v>154</v>
      </c>
      <c r="D176" s="6" t="s">
        <v>289</v>
      </c>
      <c r="E176" s="6" t="s">
        <v>298</v>
      </c>
      <c r="F176" s="6" t="s">
        <v>320</v>
      </c>
      <c r="G176" s="6">
        <v>14</v>
      </c>
      <c r="H176" s="6">
        <v>14</v>
      </c>
      <c r="I176" s="76">
        <v>1</v>
      </c>
      <c r="J176" s="76">
        <v>1</v>
      </c>
      <c r="K176" s="76">
        <v>1</v>
      </c>
      <c r="L176" s="76">
        <v>1</v>
      </c>
      <c r="M176" s="76">
        <v>0</v>
      </c>
      <c r="N176" s="76">
        <v>1</v>
      </c>
      <c r="O176" s="76">
        <v>1</v>
      </c>
      <c r="P176" s="76">
        <v>1</v>
      </c>
      <c r="Q176" s="76">
        <v>1</v>
      </c>
      <c r="R176" s="59">
        <v>1</v>
      </c>
      <c r="S176" s="76">
        <v>1</v>
      </c>
      <c r="T176" s="6">
        <v>6</v>
      </c>
      <c r="U176" s="6">
        <v>6</v>
      </c>
      <c r="V176" s="76">
        <f t="shared" si="2"/>
        <v>1</v>
      </c>
    </row>
    <row r="177" spans="1:22" x14ac:dyDescent="0.25">
      <c r="A177" s="6">
        <v>194</v>
      </c>
      <c r="B177" s="6">
        <v>17118</v>
      </c>
      <c r="C177" s="6" t="s">
        <v>194</v>
      </c>
      <c r="D177" s="6" t="s">
        <v>289</v>
      </c>
      <c r="E177" s="6" t="s">
        <v>274</v>
      </c>
      <c r="F177" s="6" t="s">
        <v>223</v>
      </c>
      <c r="G177" s="6">
        <v>1</v>
      </c>
      <c r="H177" s="6">
        <v>1</v>
      </c>
      <c r="I177" s="76">
        <v>1</v>
      </c>
      <c r="J177" s="76">
        <v>1</v>
      </c>
      <c r="K177" s="76">
        <v>1</v>
      </c>
      <c r="L177" s="76">
        <v>1</v>
      </c>
      <c r="M177" s="76">
        <v>1</v>
      </c>
      <c r="N177" s="76">
        <v>1</v>
      </c>
      <c r="O177" s="76">
        <v>1</v>
      </c>
      <c r="P177" s="76">
        <v>1</v>
      </c>
      <c r="Q177" s="76">
        <v>1</v>
      </c>
      <c r="R177" s="59">
        <v>1</v>
      </c>
      <c r="S177" s="76">
        <v>1</v>
      </c>
      <c r="T177" s="6">
        <v>0</v>
      </c>
      <c r="U177" s="6">
        <v>0</v>
      </c>
      <c r="V177" s="76">
        <v>1</v>
      </c>
    </row>
    <row r="178" spans="1:22" x14ac:dyDescent="0.25">
      <c r="A178" s="6">
        <v>195</v>
      </c>
      <c r="B178" s="6">
        <v>17082</v>
      </c>
      <c r="C178" s="6" t="s">
        <v>18</v>
      </c>
      <c r="D178" s="6" t="s">
        <v>289</v>
      </c>
      <c r="E178" s="6" t="s">
        <v>273</v>
      </c>
      <c r="F178" s="6" t="s">
        <v>223</v>
      </c>
      <c r="G178" s="6">
        <v>2</v>
      </c>
      <c r="H178" s="6">
        <v>2</v>
      </c>
      <c r="I178" s="76">
        <v>1</v>
      </c>
      <c r="J178" s="76">
        <v>1</v>
      </c>
      <c r="K178" s="76">
        <v>1</v>
      </c>
      <c r="L178" s="76">
        <v>1</v>
      </c>
      <c r="M178" s="76">
        <v>1</v>
      </c>
      <c r="N178" s="76">
        <v>1</v>
      </c>
      <c r="O178" s="76">
        <v>1</v>
      </c>
      <c r="P178" s="76">
        <v>1</v>
      </c>
      <c r="Q178" s="76">
        <v>1</v>
      </c>
      <c r="R178" s="59">
        <v>1</v>
      </c>
      <c r="S178" s="76">
        <v>1</v>
      </c>
      <c r="T178" s="6">
        <v>6</v>
      </c>
      <c r="U178" s="6">
        <v>6</v>
      </c>
      <c r="V178" s="76">
        <f t="shared" si="2"/>
        <v>1</v>
      </c>
    </row>
    <row r="179" spans="1:22" x14ac:dyDescent="0.25">
      <c r="A179" s="6">
        <v>196</v>
      </c>
      <c r="B179" s="6">
        <v>17168</v>
      </c>
      <c r="C179" s="6" t="s">
        <v>95</v>
      </c>
      <c r="D179" s="6" t="s">
        <v>289</v>
      </c>
      <c r="E179" s="6" t="s">
        <v>296</v>
      </c>
      <c r="F179" s="6" t="s">
        <v>223</v>
      </c>
      <c r="G179" s="6">
        <v>13</v>
      </c>
      <c r="H179" s="6">
        <v>12</v>
      </c>
      <c r="I179" s="76">
        <v>0.92307692307692313</v>
      </c>
      <c r="J179" s="76">
        <v>1</v>
      </c>
      <c r="K179" s="76">
        <v>0.69230769230769229</v>
      </c>
      <c r="L179" s="76">
        <v>0.69230769230769229</v>
      </c>
      <c r="M179" s="76">
        <v>0.23076923076923078</v>
      </c>
      <c r="N179" s="76">
        <v>0.9375</v>
      </c>
      <c r="O179" s="76">
        <v>1</v>
      </c>
      <c r="P179" s="76">
        <v>1</v>
      </c>
      <c r="Q179" s="76">
        <v>1</v>
      </c>
      <c r="R179" s="59">
        <v>1</v>
      </c>
      <c r="S179" s="76">
        <v>1</v>
      </c>
      <c r="T179" s="6">
        <v>16</v>
      </c>
      <c r="U179" s="6">
        <v>15</v>
      </c>
      <c r="V179" s="76">
        <f t="shared" si="2"/>
        <v>0.9375</v>
      </c>
    </row>
    <row r="180" spans="1:22" x14ac:dyDescent="0.25">
      <c r="A180" s="6">
        <v>197</v>
      </c>
      <c r="B180" s="6">
        <v>16908</v>
      </c>
      <c r="C180" s="6" t="s">
        <v>155</v>
      </c>
      <c r="D180" s="6" t="s">
        <v>289</v>
      </c>
      <c r="E180" s="6" t="s">
        <v>298</v>
      </c>
      <c r="F180" s="6" t="s">
        <v>320</v>
      </c>
      <c r="G180" s="6">
        <v>17</v>
      </c>
      <c r="H180" s="6">
        <v>17</v>
      </c>
      <c r="I180" s="76">
        <v>1</v>
      </c>
      <c r="J180" s="76">
        <v>1</v>
      </c>
      <c r="K180" s="76">
        <v>1</v>
      </c>
      <c r="L180" s="76">
        <v>1</v>
      </c>
      <c r="M180" s="76">
        <v>0.35294117647058826</v>
      </c>
      <c r="N180" s="76">
        <v>0.9</v>
      </c>
      <c r="O180" s="76">
        <v>1</v>
      </c>
      <c r="P180" s="76">
        <v>1</v>
      </c>
      <c r="Q180" s="76">
        <v>1</v>
      </c>
      <c r="R180" s="59">
        <v>1</v>
      </c>
      <c r="S180" s="76">
        <v>1</v>
      </c>
      <c r="T180" s="6">
        <v>10</v>
      </c>
      <c r="U180" s="6">
        <v>9</v>
      </c>
      <c r="V180" s="76">
        <f t="shared" si="2"/>
        <v>0.9</v>
      </c>
    </row>
    <row r="181" spans="1:22" x14ac:dyDescent="0.25">
      <c r="A181" s="6">
        <v>198</v>
      </c>
      <c r="B181" s="6">
        <v>16783</v>
      </c>
      <c r="C181" s="6" t="s">
        <v>117</v>
      </c>
      <c r="D181" s="6" t="s">
        <v>289</v>
      </c>
      <c r="E181" s="6" t="s">
        <v>323</v>
      </c>
      <c r="F181" s="6" t="s">
        <v>322</v>
      </c>
      <c r="G181" s="6">
        <v>4</v>
      </c>
      <c r="H181" s="6">
        <v>4</v>
      </c>
      <c r="I181" s="76">
        <v>1</v>
      </c>
      <c r="J181" s="76">
        <v>1</v>
      </c>
      <c r="K181" s="76">
        <v>1</v>
      </c>
      <c r="L181" s="76">
        <v>1</v>
      </c>
      <c r="M181" s="76">
        <v>0.5</v>
      </c>
      <c r="N181" s="76">
        <v>0.8</v>
      </c>
      <c r="O181" s="76">
        <v>1</v>
      </c>
      <c r="P181" s="76">
        <v>1</v>
      </c>
      <c r="Q181" s="76">
        <v>1</v>
      </c>
      <c r="R181" s="59">
        <v>1</v>
      </c>
      <c r="S181" s="76">
        <v>1</v>
      </c>
      <c r="T181" s="6">
        <v>5</v>
      </c>
      <c r="U181" s="6">
        <v>4</v>
      </c>
      <c r="V181" s="76">
        <f t="shared" si="2"/>
        <v>0.8</v>
      </c>
    </row>
    <row r="182" spans="1:22" x14ac:dyDescent="0.25">
      <c r="A182" s="6">
        <v>199</v>
      </c>
      <c r="B182" s="6">
        <v>17161</v>
      </c>
      <c r="C182" s="6" t="s">
        <v>88</v>
      </c>
      <c r="D182" s="6" t="s">
        <v>289</v>
      </c>
      <c r="E182" s="6" t="s">
        <v>296</v>
      </c>
      <c r="F182" s="6" t="s">
        <v>223</v>
      </c>
      <c r="G182" s="6">
        <v>12</v>
      </c>
      <c r="H182" s="6">
        <v>11</v>
      </c>
      <c r="I182" s="76">
        <v>0.91666666666666663</v>
      </c>
      <c r="J182" s="76">
        <v>0.91666666666666663</v>
      </c>
      <c r="K182" s="76">
        <v>0.16666666666666666</v>
      </c>
      <c r="L182" s="76">
        <v>0.91666666666666663</v>
      </c>
      <c r="M182" s="76">
        <v>0.16666666666666666</v>
      </c>
      <c r="N182" s="76">
        <v>1</v>
      </c>
      <c r="O182" s="76">
        <v>0.91666666666666663</v>
      </c>
      <c r="P182" s="76">
        <v>0.91666666666666663</v>
      </c>
      <c r="Q182" s="76">
        <v>0.91666666666666663</v>
      </c>
      <c r="R182" s="59">
        <v>0.91666666666666663</v>
      </c>
      <c r="S182" s="76">
        <v>0.91666666666666663</v>
      </c>
      <c r="T182" s="6">
        <v>13</v>
      </c>
      <c r="U182" s="6">
        <v>13</v>
      </c>
      <c r="V182" s="76">
        <f t="shared" si="2"/>
        <v>1</v>
      </c>
    </row>
    <row r="183" spans="1:22" x14ac:dyDescent="0.25">
      <c r="A183" s="6">
        <v>200</v>
      </c>
      <c r="B183" s="6">
        <v>17110</v>
      </c>
      <c r="C183" s="6" t="s">
        <v>186</v>
      </c>
      <c r="D183" s="6" t="s">
        <v>289</v>
      </c>
      <c r="E183" s="6" t="s">
        <v>273</v>
      </c>
      <c r="F183" s="6" t="s">
        <v>223</v>
      </c>
      <c r="G183" s="6">
        <v>20</v>
      </c>
      <c r="H183" s="6">
        <v>17</v>
      </c>
      <c r="I183" s="76">
        <v>0.85</v>
      </c>
      <c r="J183" s="76">
        <v>0.85</v>
      </c>
      <c r="K183" s="76">
        <v>0.85</v>
      </c>
      <c r="L183" s="76">
        <v>0.85</v>
      </c>
      <c r="M183" s="76">
        <v>0.05</v>
      </c>
      <c r="N183" s="76">
        <v>1</v>
      </c>
      <c r="O183" s="76">
        <v>0.85</v>
      </c>
      <c r="P183" s="76">
        <v>0.85</v>
      </c>
      <c r="Q183" s="76">
        <v>0.85</v>
      </c>
      <c r="R183" s="59">
        <v>0.85</v>
      </c>
      <c r="S183" s="76">
        <v>0.85</v>
      </c>
      <c r="T183" s="6">
        <v>31</v>
      </c>
      <c r="U183" s="6">
        <v>31</v>
      </c>
      <c r="V183" s="76">
        <f t="shared" si="2"/>
        <v>1</v>
      </c>
    </row>
    <row r="184" spans="1:22" x14ac:dyDescent="0.25">
      <c r="A184" s="6">
        <v>201</v>
      </c>
      <c r="B184" s="6">
        <v>17107</v>
      </c>
      <c r="C184" s="6" t="s">
        <v>183</v>
      </c>
      <c r="D184" s="6" t="s">
        <v>289</v>
      </c>
      <c r="E184" s="6" t="s">
        <v>273</v>
      </c>
      <c r="F184" s="6" t="s">
        <v>223</v>
      </c>
      <c r="G184" s="6">
        <v>9</v>
      </c>
      <c r="H184" s="6">
        <v>9</v>
      </c>
      <c r="I184" s="76">
        <v>1</v>
      </c>
      <c r="J184" s="76">
        <v>1</v>
      </c>
      <c r="K184" s="76">
        <v>0.88888888888888884</v>
      </c>
      <c r="L184" s="76">
        <v>0.33333333333333331</v>
      </c>
      <c r="M184" s="76">
        <v>0.55555555555555558</v>
      </c>
      <c r="N184" s="76">
        <v>0.91666666666666663</v>
      </c>
      <c r="O184" s="76">
        <v>1</v>
      </c>
      <c r="P184" s="76">
        <v>1</v>
      </c>
      <c r="Q184" s="76">
        <v>1</v>
      </c>
      <c r="R184" s="59">
        <v>1</v>
      </c>
      <c r="S184" s="76">
        <v>1</v>
      </c>
      <c r="T184" s="6">
        <v>24</v>
      </c>
      <c r="U184" s="6">
        <v>22</v>
      </c>
      <c r="V184" s="76">
        <f t="shared" si="2"/>
        <v>0.91666666666666663</v>
      </c>
    </row>
    <row r="185" spans="1:22" x14ac:dyDescent="0.25">
      <c r="A185" s="6">
        <v>202</v>
      </c>
      <c r="B185" s="6">
        <v>17114</v>
      </c>
      <c r="C185" s="6" t="s">
        <v>190</v>
      </c>
      <c r="D185" s="6" t="s">
        <v>289</v>
      </c>
      <c r="E185" s="6" t="s">
        <v>273</v>
      </c>
      <c r="F185" s="6" t="s">
        <v>223</v>
      </c>
      <c r="G185" s="6">
        <v>8</v>
      </c>
      <c r="H185" s="6">
        <v>8</v>
      </c>
      <c r="I185" s="76">
        <v>1</v>
      </c>
      <c r="J185" s="76">
        <v>1</v>
      </c>
      <c r="K185" s="76">
        <v>0.25</v>
      </c>
      <c r="L185" s="76">
        <v>1</v>
      </c>
      <c r="M185" s="76">
        <v>0</v>
      </c>
      <c r="N185" s="76">
        <v>1</v>
      </c>
      <c r="O185" s="76">
        <v>1</v>
      </c>
      <c r="P185" s="76">
        <v>1</v>
      </c>
      <c r="Q185" s="76">
        <v>1</v>
      </c>
      <c r="R185" s="59">
        <v>1</v>
      </c>
      <c r="S185" s="76">
        <v>1</v>
      </c>
      <c r="T185" s="6">
        <v>18</v>
      </c>
      <c r="U185" s="6">
        <v>18</v>
      </c>
      <c r="V185" s="76">
        <f t="shared" si="2"/>
        <v>1</v>
      </c>
    </row>
    <row r="186" spans="1:22" x14ac:dyDescent="0.25">
      <c r="A186" s="6">
        <v>203</v>
      </c>
      <c r="B186" s="6">
        <v>17076</v>
      </c>
      <c r="C186" s="6" t="s">
        <v>12</v>
      </c>
      <c r="D186" s="6" t="s">
        <v>289</v>
      </c>
      <c r="E186" s="6" t="s">
        <v>291</v>
      </c>
      <c r="F186" s="6" t="s">
        <v>223</v>
      </c>
      <c r="G186" s="6">
        <v>12</v>
      </c>
      <c r="H186" s="6">
        <v>11</v>
      </c>
      <c r="I186" s="76">
        <v>0.91666666666666663</v>
      </c>
      <c r="J186" s="76">
        <v>0.91666666666666663</v>
      </c>
      <c r="K186" s="76">
        <v>0.75</v>
      </c>
      <c r="L186" s="76">
        <v>0.91666666666666663</v>
      </c>
      <c r="M186" s="76">
        <v>0.75</v>
      </c>
      <c r="N186" s="76">
        <v>1</v>
      </c>
      <c r="O186" s="76">
        <v>0.91666666666666663</v>
      </c>
      <c r="P186" s="76">
        <v>0.91666666666666663</v>
      </c>
      <c r="Q186" s="76">
        <v>0.91666666666666663</v>
      </c>
      <c r="R186" s="59">
        <v>0.91666666666666663</v>
      </c>
      <c r="S186" s="76">
        <v>0.83333333333333337</v>
      </c>
      <c r="T186" s="6">
        <v>25</v>
      </c>
      <c r="U186" s="6">
        <v>25</v>
      </c>
      <c r="V186" s="76">
        <f t="shared" si="2"/>
        <v>1</v>
      </c>
    </row>
    <row r="187" spans="1:22" x14ac:dyDescent="0.25">
      <c r="A187" s="6">
        <v>204</v>
      </c>
      <c r="B187" s="6">
        <v>17108</v>
      </c>
      <c r="C187" s="6" t="s">
        <v>184</v>
      </c>
      <c r="D187" s="6" t="s">
        <v>289</v>
      </c>
      <c r="E187" s="6" t="s">
        <v>273</v>
      </c>
      <c r="F187" s="6" t="s">
        <v>223</v>
      </c>
      <c r="G187" s="6">
        <v>8</v>
      </c>
      <c r="H187" s="6">
        <v>7</v>
      </c>
      <c r="I187" s="76">
        <v>0.875</v>
      </c>
      <c r="J187" s="76">
        <v>1</v>
      </c>
      <c r="K187" s="76">
        <v>1</v>
      </c>
      <c r="L187" s="76">
        <v>0.875</v>
      </c>
      <c r="M187" s="76">
        <v>0.5</v>
      </c>
      <c r="N187" s="76">
        <v>1</v>
      </c>
      <c r="O187" s="76">
        <v>1</v>
      </c>
      <c r="P187" s="76">
        <v>1</v>
      </c>
      <c r="Q187" s="76">
        <v>1</v>
      </c>
      <c r="R187" s="59">
        <v>1</v>
      </c>
      <c r="S187" s="76">
        <v>1</v>
      </c>
      <c r="T187" s="6">
        <v>16</v>
      </c>
      <c r="U187" s="6">
        <v>16</v>
      </c>
      <c r="V187" s="76">
        <f t="shared" si="2"/>
        <v>1</v>
      </c>
    </row>
    <row r="188" spans="1:22" x14ac:dyDescent="0.25">
      <c r="A188" s="6">
        <v>205</v>
      </c>
      <c r="B188" s="6">
        <v>16786</v>
      </c>
      <c r="C188" s="6" t="s">
        <v>160</v>
      </c>
      <c r="D188" s="6" t="s">
        <v>289</v>
      </c>
      <c r="E188" s="6" t="s">
        <v>321</v>
      </c>
      <c r="F188" s="6" t="s">
        <v>322</v>
      </c>
      <c r="G188" s="6">
        <v>11</v>
      </c>
      <c r="H188" s="6">
        <v>10</v>
      </c>
      <c r="I188" s="76">
        <v>0.90909090909090906</v>
      </c>
      <c r="J188" s="76">
        <v>0.90909090909090906</v>
      </c>
      <c r="K188" s="76">
        <v>0.81818181818181823</v>
      </c>
      <c r="L188" s="76">
        <v>0.63636363636363635</v>
      </c>
      <c r="M188" s="76">
        <v>0.63636363636363635</v>
      </c>
      <c r="N188" s="76">
        <v>0.58620689655172409</v>
      </c>
      <c r="O188" s="76">
        <v>0.90909090909090906</v>
      </c>
      <c r="P188" s="76">
        <v>0.81818181818181823</v>
      </c>
      <c r="Q188" s="76">
        <v>0.90909090909090906</v>
      </c>
      <c r="R188" s="59">
        <v>0.90909090909090906</v>
      </c>
      <c r="S188" s="76">
        <v>0.90909090909090906</v>
      </c>
      <c r="T188" s="6">
        <v>29</v>
      </c>
      <c r="U188" s="6">
        <v>17</v>
      </c>
      <c r="V188" s="76">
        <f t="shared" si="2"/>
        <v>0.58620689655172409</v>
      </c>
    </row>
    <row r="189" spans="1:22" x14ac:dyDescent="0.25">
      <c r="A189" s="6">
        <v>206</v>
      </c>
      <c r="B189" s="6">
        <v>16775</v>
      </c>
      <c r="C189" s="6" t="s">
        <v>111</v>
      </c>
      <c r="D189" s="6" t="s">
        <v>289</v>
      </c>
      <c r="E189" s="6" t="s">
        <v>323</v>
      </c>
      <c r="F189" s="6" t="s">
        <v>322</v>
      </c>
      <c r="G189" s="6">
        <v>5</v>
      </c>
      <c r="H189" s="6">
        <v>5</v>
      </c>
      <c r="I189" s="76">
        <v>1</v>
      </c>
      <c r="J189" s="76">
        <v>1</v>
      </c>
      <c r="K189" s="76">
        <v>0.6</v>
      </c>
      <c r="L189" s="76">
        <v>1</v>
      </c>
      <c r="M189" s="76">
        <v>0.6</v>
      </c>
      <c r="N189" s="76">
        <v>1</v>
      </c>
      <c r="O189" s="76">
        <v>1</v>
      </c>
      <c r="P189" s="76">
        <v>1</v>
      </c>
      <c r="Q189" s="76">
        <v>1</v>
      </c>
      <c r="R189" s="59">
        <v>1</v>
      </c>
      <c r="S189" s="76">
        <v>1</v>
      </c>
      <c r="T189" s="6">
        <v>9</v>
      </c>
      <c r="U189" s="6">
        <v>9</v>
      </c>
      <c r="V189" s="76">
        <f t="shared" si="2"/>
        <v>1</v>
      </c>
    </row>
  </sheetData>
  <conditionalFormatting sqref="C93">
    <cfRule type="duplicateValues" dxfId="1" priority="2"/>
  </conditionalFormatting>
  <conditionalFormatting sqref="C13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A4FD6-D455-44C5-A918-2E0AC851092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86426d8-1e28-4adb-8b45-e1be5951e4de}" enabled="0" method="" siteId="{886426d8-1e28-4adb-8b45-e1be5951e4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Liquidacion Supervisores</vt:lpstr>
      <vt:lpstr>TD Supervisores Y Lideres Prom</vt:lpstr>
      <vt:lpstr>Liquidacion Comision Septiembre</vt:lpstr>
      <vt:lpstr>Indicadores</vt:lpstr>
      <vt:lpstr>INDICADORES CAPTURA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Abril</dc:creator>
  <cp:lastModifiedBy>DYLAN ALEJANDRO RODRIGUEZ ROA</cp:lastModifiedBy>
  <dcterms:created xsi:type="dcterms:W3CDTF">2026-01-13T12:59:45Z</dcterms:created>
  <dcterms:modified xsi:type="dcterms:W3CDTF">2026-10-16T13:21:18Z</dcterms:modified>
</cp:coreProperties>
</file>